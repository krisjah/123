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ntrol" sheetId="2" state="visible" r:id="rId2"/>
    <sheet name="Assumptions_Global" sheetId="3" state="visible" r:id="rId3"/>
    <sheet name="Product_Matrix" sheetId="4" state="visible" r:id="rId4"/>
    <sheet name="Volume_Assumptions" sheetId="5" state="visible" r:id="rId5"/>
    <sheet name="Pricing_Revenue" sheetId="6" state="visible" r:id="rId6"/>
    <sheet name="Production_Capacity" sheetId="7" state="visible" r:id="rId7"/>
    <sheet name="COGS_Buildup" sheetId="8" state="visible" r:id="rId8"/>
    <sheet name="Logistics_Distribution" sheetId="9" state="visible" r:id="rId9"/>
    <sheet name="SG&amp;A" sheetId="10" state="visible" r:id="rId10"/>
    <sheet name="Capex_Schedule" sheetId="11" state="visible" r:id="rId11"/>
    <sheet name="Working_Capital" sheetId="12" state="visible" r:id="rId12"/>
    <sheet name="Debt_Schedule" sheetId="13" state="visible" r:id="rId13"/>
    <sheet name="Equity" sheetId="14" state="visible" r:id="rId14"/>
    <sheet name="P&amp;L" sheetId="15" state="visible" r:id="rId15"/>
    <sheet name="CashFlow" sheetId="16" state="visible" r:id="rId16"/>
    <sheet name="BalanceSheet" sheetId="17" state="visible" r:id="rId17"/>
    <sheet name="KPI_Dashboard" sheetId="18" state="visible" r:id="rId18"/>
    <sheet name="Checks_Errors" sheetId="19" state="visible" r:id="rId19"/>
    <sheet name="Documentation" sheetId="20" state="visible" r:id="rId20"/>
    <sheet name="Change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d-mmm-yyyy"/>
    <numFmt numFmtId="165" formatCode="mmm-yyyy"/>
    <numFmt numFmtId="166" formatCode="0.000"/>
    <numFmt numFmtId="167" formatCode="0.0%"/>
    <numFmt numFmtId="168" formatCode="$#,##0.00"/>
    <numFmt numFmtId="169" formatCode="0.00000"/>
    <numFmt numFmtId="170" formatCode="$#,##0"/>
    <numFmt numFmtId="171" formatCode="$#,##0.0,,&quot;M&quot;"/>
  </numFmts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i val="1"/>
    </font>
    <font>
      <b val="1"/>
    </font>
    <font>
      <i val="1"/>
      <sz val="9"/>
    </font>
    <font>
      <b val="1"/>
      <sz val="11"/>
    </font>
    <font>
      <b val="1"/>
      <color rgb="00FFFFFF"/>
    </font>
    <font>
      <sz val="9"/>
    </font>
    <font>
      <color rgb="00808080"/>
      <sz val="9"/>
    </font>
    <font>
      <b val="1"/>
      <sz val="9"/>
    </font>
    <font>
      <b val="1"/>
      <color rgb="00FF0000"/>
    </font>
    <font>
      <b val="1"/>
      <color rgb="00FFFFFF"/>
      <sz val="20"/>
    </font>
    <font>
      <color rgb="004472C4"/>
      <sz val="14"/>
    </font>
    <font>
      <b val="1"/>
      <color rgb="00FFFFFF"/>
      <sz val="12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6E7"/>
        <bgColor rgb="00B4C6E7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0" fillId="3" borderId="0" pivotButton="0" quotePrefix="0" xfId="0"/>
    <xf numFmtId="165" fontId="0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167" fontId="0" fillId="3" borderId="0" pivotButton="0" quotePrefix="0" xfId="0"/>
    <xf numFmtId="167" fontId="0" fillId="4" borderId="0" pivotButton="0" quotePrefix="0" xfId="0"/>
    <xf numFmtId="168" fontId="0" fillId="3" borderId="0" pivotButton="0" quotePrefix="0" xfId="0"/>
    <xf numFmtId="168" fontId="0" fillId="4" borderId="0" pivotButton="0" quotePrefix="0" xfId="0"/>
    <xf numFmtId="167" fontId="0" fillId="0" borderId="0" pivotButton="0" quotePrefix="0" xfId="0"/>
    <xf numFmtId="169" fontId="0" fillId="0" borderId="0" pivotButton="0" quotePrefix="0" xfId="0"/>
    <xf numFmtId="164" fontId="0" fillId="3" borderId="0" pivotButton="0" quotePrefix="0" xfId="0"/>
    <xf numFmtId="165" fontId="0" fillId="4" borderId="0" pivotButton="0" quotePrefix="0" xfId="0"/>
    <xf numFmtId="166" fontId="0" fillId="0" borderId="0" pivotButton="0" quotePrefix="0" xfId="0"/>
    <xf numFmtId="167" fontId="0" fillId="3" borderId="0" pivotButton="0" quotePrefix="0" xfId="0"/>
    <xf numFmtId="167" fontId="0" fillId="4" borderId="0" pivotButton="0" quotePrefix="0" xfId="0"/>
    <xf numFmtId="168" fontId="0" fillId="3" borderId="0" pivotButton="0" quotePrefix="0" xfId="0"/>
    <xf numFmtId="168" fontId="0" fillId="4" borderId="0" pivotButton="0" quotePrefix="0" xfId="0"/>
    <xf numFmtId="167" fontId="0" fillId="0" borderId="0" pivotButton="0" quotePrefix="0" xfId="0"/>
    <xf numFmtId="169" fontId="0" fillId="0" borderId="0" pivotButton="0" quotePrefix="0" xfId="0"/>
    <xf numFmtId="0" fontId="8" fillId="0" borderId="0" pivotButton="0" quotePrefix="0" xfId="0"/>
    <xf numFmtId="17" fontId="4" fillId="0" borderId="0" pivotButton="0" quotePrefix="0" xfId="0"/>
    <xf numFmtId="2" fontId="9" fillId="0" borderId="0" pivotButton="0" quotePrefix="0" xfId="0"/>
    <xf numFmtId="2" fontId="0" fillId="3" borderId="0" pivotButton="0" quotePrefix="0" xfId="0"/>
    <xf numFmtId="2" fontId="4" fillId="0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4" fillId="5" borderId="0" pivotButton="0" quotePrefix="0" xfId="0"/>
    <xf numFmtId="3" fontId="4" fillId="5" borderId="0" pivotButton="0" quotePrefix="0" xfId="0"/>
    <xf numFmtId="170" fontId="0" fillId="3" borderId="0" pivotButton="0" quotePrefix="0" xfId="0"/>
    <xf numFmtId="9" fontId="0" fillId="3" borderId="0" pivotButton="0" quotePrefix="0" xfId="0"/>
    <xf numFmtId="9" fontId="0" fillId="0" borderId="0" pivotButton="0" quotePrefix="0" xfId="0"/>
    <xf numFmtId="3" fontId="0" fillId="4" borderId="0" pivotButton="0" quotePrefix="0" xfId="0"/>
    <xf numFmtId="167" fontId="4" fillId="0" borderId="0" pivotButton="0" quotePrefix="0" xfId="0"/>
    <xf numFmtId="170" fontId="0" fillId="4" borderId="0" pivotButton="0" quotePrefix="0" xfId="0"/>
    <xf numFmtId="0" fontId="6" fillId="5" borderId="0" pivotButton="0" quotePrefix="0" xfId="0"/>
    <xf numFmtId="170" fontId="0" fillId="0" borderId="0" pivotButton="0" quotePrefix="0" xfId="0"/>
    <xf numFmtId="170" fontId="0" fillId="5" borderId="0" pivotButton="0" quotePrefix="0" xfId="0"/>
    <xf numFmtId="170" fontId="4" fillId="0" borderId="0" pivotButton="0" quotePrefix="0" xfId="0"/>
    <xf numFmtId="0" fontId="10" fillId="0" borderId="0" pivotButton="0" quotePrefix="0" xfId="0"/>
    <xf numFmtId="170" fontId="4" fillId="5" borderId="0" pivotButton="0" quotePrefix="0" xfId="0"/>
    <xf numFmtId="0" fontId="4" fillId="6" borderId="0" pivotButton="0" quotePrefix="0" xfId="0"/>
    <xf numFmtId="170" fontId="4" fillId="6" borderId="0" pivotButton="0" quotePrefix="0" xfId="0"/>
    <xf numFmtId="0" fontId="11" fillId="0" borderId="0" pivotButton="0" quotePrefix="0" xfId="0"/>
    <xf numFmtId="170" fontId="11" fillId="0" borderId="0" pivotButton="0" quotePrefix="0" xfId="0"/>
    <xf numFmtId="171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4" fillId="2" borderId="0" pivotButton="0" quotePrefix="0" xfId="0"/>
    <xf numFmtId="0" fontId="15" fillId="7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30" customWidth="1" min="3" max="3"/>
  </cols>
  <sheetData>
    <row r="1" ht="25" customHeight="1">
      <c r="A1" s="54" t="inlineStr">
        <is>
          <t>BEER BREWERY FINANCIAL MODEL</t>
        </is>
      </c>
    </row>
    <row r="2">
      <c r="A2" s="55" t="inlineStr">
        <is>
          <t>Australia &amp; New Zealand Operations</t>
        </is>
      </c>
    </row>
    <row r="4">
      <c r="A4" t="inlineStr">
        <is>
          <t>Model Version:</t>
        </is>
      </c>
      <c r="B4" s="8" t="inlineStr">
        <is>
          <t>1.0</t>
        </is>
      </c>
    </row>
    <row r="5">
      <c r="A5" t="inlineStr">
        <is>
          <t>Date Created:</t>
        </is>
      </c>
      <c r="B5" t="inlineStr">
        <is>
          <t>16-Nov-2025</t>
        </is>
      </c>
    </row>
    <row r="6">
      <c r="A6" t="inlineStr">
        <is>
          <t>Currency:</t>
        </is>
      </c>
      <c r="B6" t="inlineStr">
        <is>
          <t>AUD</t>
        </is>
      </c>
    </row>
    <row r="7">
      <c r="A7" t="inlineStr">
        <is>
          <t>Projection Period:</t>
        </is>
      </c>
      <c r="B7" t="inlineStr">
        <is>
          <t>10 years (120 months)</t>
        </is>
      </c>
    </row>
    <row r="10">
      <c r="A10" s="56" t="inlineStr">
        <is>
          <t>NAVIGATION</t>
        </is>
      </c>
    </row>
    <row r="11">
      <c r="A11" t="inlineStr">
        <is>
          <t>Control &amp; Inputs</t>
        </is>
      </c>
      <c r="B11" t="inlineStr">
        <is>
          <t>→</t>
        </is>
      </c>
      <c r="C11" s="57">
        <f>HYPERLINK("#'Control'!A1","Go to Control")</f>
        <v/>
      </c>
    </row>
    <row r="12">
      <c r="A12" t="inlineStr">
        <is>
          <t>Assumptions (Global)</t>
        </is>
      </c>
      <c r="B12" t="inlineStr">
        <is>
          <t>→</t>
        </is>
      </c>
      <c r="C12" s="57">
        <f>HYPERLINK("#'Assumptions_Global'!A1","Go to Assumptions_Global")</f>
        <v/>
      </c>
    </row>
    <row r="13">
      <c r="A13" t="inlineStr">
        <is>
          <t>Product Matrix</t>
        </is>
      </c>
      <c r="B13" t="inlineStr">
        <is>
          <t>→</t>
        </is>
      </c>
      <c r="C13" s="57">
        <f>HYPERLINK("#'Product_Matrix'!A1","Go to Product_Matrix")</f>
        <v/>
      </c>
    </row>
    <row r="14">
      <c r="A14" t="inlineStr">
        <is>
          <t>Volume Assumptions</t>
        </is>
      </c>
      <c r="B14" t="inlineStr">
        <is>
          <t>→</t>
        </is>
      </c>
      <c r="C14" s="57">
        <f>HYPERLINK("#'Volume_Assumptions'!A1","Go to Volume_Assumptions")</f>
        <v/>
      </c>
    </row>
    <row r="15">
      <c r="A15" t="inlineStr">
        <is>
          <t>Pricing &amp; Revenue</t>
        </is>
      </c>
      <c r="B15" t="inlineStr">
        <is>
          <t>→</t>
        </is>
      </c>
      <c r="C15" s="57">
        <f>HYPERLINK("#'Pricing_Revenue'!A1","Go to Pricing_Revenue")</f>
        <v/>
      </c>
    </row>
    <row r="16">
      <c r="A16" t="inlineStr">
        <is>
          <t>Production &amp; Capacity</t>
        </is>
      </c>
      <c r="B16" t="inlineStr">
        <is>
          <t>→</t>
        </is>
      </c>
      <c r="C16" s="57">
        <f>HYPERLINK("#'Production_Capacity'!A1","Go to Production_Capacity")</f>
        <v/>
      </c>
    </row>
    <row r="17">
      <c r="A17" t="inlineStr">
        <is>
          <t>COGS</t>
        </is>
      </c>
      <c r="B17" t="inlineStr">
        <is>
          <t>→</t>
        </is>
      </c>
      <c r="C17" s="57">
        <f>HYPERLINK("#'COGS_Buildup'!A1","Go to COGS_Buildup")</f>
        <v/>
      </c>
    </row>
    <row r="18">
      <c r="A18" t="inlineStr">
        <is>
          <t>Logistics</t>
        </is>
      </c>
      <c r="B18" t="inlineStr">
        <is>
          <t>→</t>
        </is>
      </c>
      <c r="C18" s="57">
        <f>HYPERLINK("#'Logistics_Distribution'!A1","Go to Logistics_Distribution")</f>
        <v/>
      </c>
    </row>
    <row r="19">
      <c r="A19" t="inlineStr">
        <is>
          <t>SG&amp;A</t>
        </is>
      </c>
      <c r="B19" t="inlineStr">
        <is>
          <t>→</t>
        </is>
      </c>
      <c r="C19" s="57">
        <f>HYPERLINK("#'SG&amp;A'!A1","Go to SG&amp;A")</f>
        <v/>
      </c>
    </row>
    <row r="20">
      <c r="A20" t="inlineStr">
        <is>
          <t>Capex</t>
        </is>
      </c>
      <c r="B20" t="inlineStr">
        <is>
          <t>→</t>
        </is>
      </c>
      <c r="C20" s="57">
        <f>HYPERLINK("#'Capex_Schedule'!A1","Go to Capex_Schedule")</f>
        <v/>
      </c>
    </row>
    <row r="21">
      <c r="A21" t="inlineStr">
        <is>
          <t>Working Capital</t>
        </is>
      </c>
      <c r="B21" t="inlineStr">
        <is>
          <t>→</t>
        </is>
      </c>
      <c r="C21" s="57">
        <f>HYPERLINK("#'Working_Capital'!A1","Go to Working_Capital")</f>
        <v/>
      </c>
    </row>
    <row r="22">
      <c r="A22" t="inlineStr">
        <is>
          <t>Debt</t>
        </is>
      </c>
      <c r="B22" t="inlineStr">
        <is>
          <t>→</t>
        </is>
      </c>
      <c r="C22" s="57">
        <f>HYPERLINK("#'Debt_Schedule'!A1","Go to Debt_Schedule")</f>
        <v/>
      </c>
    </row>
    <row r="23">
      <c r="A23" t="inlineStr">
        <is>
          <t>Equity</t>
        </is>
      </c>
      <c r="B23" t="inlineStr">
        <is>
          <t>→</t>
        </is>
      </c>
      <c r="C23" s="57">
        <f>HYPERLINK("#'Equity'!A1","Go to Equity")</f>
        <v/>
      </c>
    </row>
    <row r="24">
      <c r="A24" t="inlineStr">
        <is>
          <t>P&amp;L</t>
        </is>
      </c>
      <c r="B24" t="inlineStr">
        <is>
          <t>→</t>
        </is>
      </c>
      <c r="C24" s="57">
        <f>HYPERLINK("#'P&amp;L'!A1","Go to P&amp;L")</f>
        <v/>
      </c>
    </row>
    <row r="25">
      <c r="A25" t="inlineStr">
        <is>
          <t>Cash Flow</t>
        </is>
      </c>
      <c r="B25" t="inlineStr">
        <is>
          <t>→</t>
        </is>
      </c>
      <c r="C25" s="57">
        <f>HYPERLINK("#'CashFlow'!A1","Go to CashFlow")</f>
        <v/>
      </c>
    </row>
    <row r="26">
      <c r="A26" t="inlineStr">
        <is>
          <t>Balance Sheet</t>
        </is>
      </c>
      <c r="B26" t="inlineStr">
        <is>
          <t>→</t>
        </is>
      </c>
      <c r="C26" s="57">
        <f>HYPERLINK("#'BalanceSheet'!A1","Go to BalanceSheet")</f>
        <v/>
      </c>
    </row>
    <row r="27">
      <c r="A27" t="inlineStr">
        <is>
          <t>KPI Dashboard</t>
        </is>
      </c>
      <c r="B27" t="inlineStr">
        <is>
          <t>→</t>
        </is>
      </c>
      <c r="C27" s="57">
        <f>HYPERLINK("#'KPI_Dashboard'!A1","Go to KPI_Dashboard")</f>
        <v/>
      </c>
    </row>
    <row r="28">
      <c r="A28" t="inlineStr">
        <is>
          <t>Checks &amp; Errors</t>
        </is>
      </c>
      <c r="B28" t="inlineStr">
        <is>
          <t>→</t>
        </is>
      </c>
      <c r="C28" s="57">
        <f>HYPERLINK("#'Checks_Errors'!A1","Go to Checks_Errors")</f>
        <v/>
      </c>
    </row>
    <row r="31">
      <c r="A31" s="56" t="inlineStr">
        <is>
          <t>USER INSTRUCTIONS</t>
        </is>
      </c>
    </row>
    <row r="32">
      <c r="A32" s="58" t="inlineStr">
        <is>
          <t>1. Start with CONTROL sheet - select scenario (Base/Upside/Downside)</t>
        </is>
      </c>
    </row>
    <row r="33">
      <c r="A33" s="58" t="inlineStr">
        <is>
          <t>2. Review all BLUE cells (inputs) in assumption sheets</t>
        </is>
      </c>
    </row>
    <row r="34">
      <c r="A34" s="58" t="inlineStr">
        <is>
          <t>3. All other cells are calculated - do not edit</t>
        </is>
      </c>
    </row>
    <row r="35">
      <c r="A35" s="58" t="inlineStr">
        <is>
          <t>4. Enable iterative calculation: File → Options → Formulas</t>
        </is>
      </c>
    </row>
    <row r="36">
      <c r="A36" s="58" t="inlineStr">
        <is>
          <t>5. Check Checks_Errors sheet for model integrity</t>
        </is>
      </c>
    </row>
    <row r="37">
      <c r="A37" s="58" t="inlineStr">
        <is>
          <t>6. Review outputs in P&amp;L, CashFlow, BalanceSheet, KPIs</t>
        </is>
      </c>
    </row>
  </sheetData>
  <mergeCells count="4">
    <mergeCell ref="A2:E2"/>
    <mergeCell ref="A1:E1"/>
    <mergeCell ref="A31:E31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</cols>
  <sheetData>
    <row r="1" ht="25" customHeight="1">
      <c r="A1" s="1" t="inlineStr">
        <is>
          <t>CONTROL PANEL</t>
        </is>
      </c>
    </row>
    <row r="3">
      <c r="A3" s="2" t="inlineStr">
        <is>
          <t>Model Timeline</t>
        </is>
      </c>
    </row>
    <row r="4">
      <c r="A4" t="inlineStr">
        <is>
          <t>Model start date</t>
        </is>
      </c>
      <c r="B4" s="19" t="n">
        <v>45658</v>
      </c>
      <c r="C4" s="4" t="inlineStr">
        <is>
          <t>← INPUT</t>
        </is>
      </c>
    </row>
    <row r="5">
      <c r="A5" t="inlineStr">
        <is>
          <t>Projection period (months)</t>
        </is>
      </c>
      <c r="B5" s="5" t="n">
        <v>120</v>
      </c>
    </row>
    <row r="6">
      <c r="A6" t="inlineStr">
        <is>
          <t>Model end date</t>
        </is>
      </c>
      <c r="B6" s="20">
        <f>EDATE(B4,B5-1)</f>
        <v/>
      </c>
      <c r="C6" s="4">
        <f>DATE formula</f>
        <v/>
      </c>
    </row>
    <row r="8">
      <c r="A8" s="2" t="inlineStr">
        <is>
          <t>Scenario Selection</t>
        </is>
      </c>
    </row>
    <row r="9">
      <c r="A9" t="inlineStr">
        <is>
          <t>Active scenario</t>
        </is>
      </c>
      <c r="B9" s="5" t="inlineStr">
        <is>
          <t>Base</t>
        </is>
      </c>
      <c r="C9" s="4" t="inlineStr">
        <is>
          <t>← DROPDOWN</t>
        </is>
      </c>
    </row>
    <row r="10">
      <c r="A10" t="inlineStr">
        <is>
          <t>Scenario index</t>
        </is>
      </c>
      <c r="B10" s="7">
        <f>MATCH(B9,{"Base";"Upside";"Downside"},0)</f>
        <v/>
      </c>
      <c r="C10" s="4" t="inlineStr">
        <is>
          <t>Returns 1/2/3</t>
        </is>
      </c>
    </row>
    <row r="12">
      <c r="A12" s="2" t="inlineStr">
        <is>
          <t>Model Settings</t>
        </is>
      </c>
    </row>
    <row r="13">
      <c r="A13" t="inlineStr">
        <is>
          <t>Enable Excel iterations?</t>
        </is>
      </c>
      <c r="B13" s="8" t="inlineStr">
        <is>
          <t>YES</t>
        </is>
      </c>
      <c r="C13" s="4" t="inlineStr">
        <is>
          <t>Manual check</t>
        </is>
      </c>
      <c r="D13" s="9" t="inlineStr">
        <is>
          <t>File→Options→Formulas</t>
        </is>
      </c>
    </row>
    <row r="14">
      <c r="A14" t="inlineStr">
        <is>
          <t>Max iterations</t>
        </is>
      </c>
      <c r="B14" t="n">
        <v>100</v>
      </c>
    </row>
    <row r="15">
      <c r="A15" t="inlineStr">
        <is>
          <t>Max change</t>
        </is>
      </c>
      <c r="B15" s="21" t="n">
        <v>0.001</v>
      </c>
    </row>
  </sheetData>
  <mergeCells count="1">
    <mergeCell ref="A1:D1"/>
  </mergeCells>
  <dataValidations count="1">
    <dataValidation sqref="B9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A1" s="1" t="inlineStr">
        <is>
          <t>GLOBAL ASSUMPTIONS</t>
        </is>
      </c>
    </row>
    <row r="3">
      <c r="A3" s="11" t="inlineStr">
        <is>
          <t>Inflation &amp; Escalation</t>
        </is>
      </c>
    </row>
    <row r="4">
      <c r="A4" s="12" t="inlineStr">
        <is>
          <t>Assumption</t>
        </is>
      </c>
      <c r="B4" s="12" t="inlineStr">
        <is>
          <t>Base</t>
        </is>
      </c>
      <c r="C4" s="12" t="inlineStr">
        <is>
          <t>Upside</t>
        </is>
      </c>
      <c r="D4" s="12" t="inlineStr">
        <is>
          <t>Downside</t>
        </is>
      </c>
      <c r="E4" s="12" t="inlineStr">
        <is>
          <t>Active</t>
        </is>
      </c>
    </row>
    <row r="5">
      <c r="A5" t="inlineStr">
        <is>
          <t>CPI (general inflation) % p.a.</t>
        </is>
      </c>
      <c r="B5" s="22" t="n">
        <v>0.025</v>
      </c>
      <c r="C5" s="22" t="n">
        <v>0.03</v>
      </c>
      <c r="D5" s="22" t="n">
        <v>0.02</v>
      </c>
      <c r="E5" s="23">
        <f>INDEX(B5:D5,1,Control!$B$10)</f>
        <v/>
      </c>
    </row>
    <row r="6">
      <c r="A6" t="inlineStr">
        <is>
          <t>Wage inflation % p.a.</t>
        </is>
      </c>
      <c r="B6" s="22" t="n">
        <v>0.03</v>
      </c>
      <c r="C6" s="22" t="n">
        <v>0.035</v>
      </c>
      <c r="D6" s="22" t="n">
        <v>0.025</v>
      </c>
      <c r="E6" s="23">
        <f>INDEX(B6:D6,1,Control!$B$10)</f>
        <v/>
      </c>
    </row>
    <row r="7">
      <c r="A7" t="inlineStr">
        <is>
          <t>Materials cost inflation % p.a.</t>
        </is>
      </c>
      <c r="B7" s="22" t="n">
        <v>0.025</v>
      </c>
      <c r="C7" s="22" t="n">
        <v>0.035</v>
      </c>
      <c r="D7" s="22" t="n">
        <v>0.02</v>
      </c>
      <c r="E7" s="23">
        <f>INDEX(B7:D7,1,Control!$B$10)</f>
        <v/>
      </c>
    </row>
    <row r="8">
      <c r="A8" t="inlineStr">
        <is>
          <t>Packaging cost inflation % p.a.</t>
        </is>
      </c>
      <c r="B8" s="22" t="n">
        <v>0.03</v>
      </c>
      <c r="C8" s="22" t="n">
        <v>0.04</v>
      </c>
      <c r="D8" s="22" t="n">
        <v>0.025</v>
      </c>
      <c r="E8" s="23">
        <f>INDEX(B8:D8,1,Control!$B$10)</f>
        <v/>
      </c>
    </row>
    <row r="9">
      <c r="A9" t="inlineStr">
        <is>
          <t>Utilities inflation % p.a.</t>
        </is>
      </c>
      <c r="B9" s="22" t="n">
        <v>0.04</v>
      </c>
      <c r="C9" s="22" t="n">
        <v>0.05</v>
      </c>
      <c r="D9" s="22" t="n">
        <v>0.03</v>
      </c>
      <c r="E9" s="23">
        <f>INDEX(B9:D9,1,Control!$B$10)</f>
        <v/>
      </c>
    </row>
    <row r="11">
      <c r="A11" s="11" t="inlineStr">
        <is>
          <t>Tax &amp; Regulatory</t>
        </is>
      </c>
    </row>
    <row r="12">
      <c r="A12" t="inlineStr">
        <is>
          <t>Corporate tax rate %</t>
        </is>
      </c>
      <c r="B12" s="22" t="n">
        <v>0.3</v>
      </c>
      <c r="C12" s="22" t="n">
        <v>0.3</v>
      </c>
      <c r="D12" s="22" t="n">
        <v>0.3</v>
      </c>
      <c r="E12" s="23">
        <f>INDEX(B12:D12,1,Control!$B$10)</f>
        <v/>
      </c>
    </row>
    <row r="13">
      <c r="A13" t="inlineStr">
        <is>
          <t>Excise duty ($/LAL)</t>
        </is>
      </c>
      <c r="B13" s="24" t="n">
        <v>58.26</v>
      </c>
      <c r="C13" s="24" t="n">
        <v>58.26</v>
      </c>
      <c r="D13" s="24" t="n">
        <v>58.26</v>
      </c>
      <c r="E13" s="25">
        <f>INDEX(B13:D13,1,Control!$B$10)</f>
        <v/>
      </c>
    </row>
    <row r="14">
      <c r="A14" t="inlineStr">
        <is>
          <t>Excise shock (Year 3+)</t>
        </is>
      </c>
      <c r="B14" s="24" t="n">
        <v>0</v>
      </c>
      <c r="C14" s="24" t="n">
        <v>0</v>
      </c>
      <c r="D14" s="24" t="n">
        <v>0.1</v>
      </c>
      <c r="E14" s="25">
        <f>INDEX(B14:D14,1,Control!$B$10)</f>
        <v/>
      </c>
    </row>
    <row r="15">
      <c r="A15" t="inlineStr">
        <is>
          <t>VAT/GST rate %</t>
        </is>
      </c>
      <c r="B15" s="22" t="n">
        <v>0.1</v>
      </c>
      <c r="C15" s="22" t="n">
        <v>0.1</v>
      </c>
      <c r="D15" s="22" t="n">
        <v>0.1</v>
      </c>
      <c r="E15" s="23">
        <f>INDEX(B15:D15,1,Control!$B$10)</f>
        <v/>
      </c>
    </row>
    <row r="17">
      <c r="A17" s="11" t="inlineStr">
        <is>
          <t>Discount Rate (for NPV)</t>
        </is>
      </c>
    </row>
    <row r="18">
      <c r="A18" t="inlineStr">
        <is>
          <t>WACC / Discount rate %</t>
        </is>
      </c>
      <c r="B18" s="22" t="n">
        <v>0.12</v>
      </c>
      <c r="C18" s="22" t="n">
        <v>0.11</v>
      </c>
      <c r="D18" s="22" t="n">
        <v>0.13</v>
      </c>
      <c r="E18" s="23">
        <f>INDEX(B18:D18,1,Control!$B$10)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5" customWidth="1" min="4" max="4"/>
    <col width="20" customWidth="1" min="5" max="5"/>
  </cols>
  <sheetData>
    <row r="1" ht="25" customHeight="1">
      <c r="A1" s="1" t="inlineStr">
        <is>
          <t>PRODUCT MATRIX</t>
        </is>
      </c>
    </row>
    <row r="3">
      <c r="A3" s="11" t="inlineStr">
        <is>
          <t>Brand List</t>
        </is>
      </c>
    </row>
    <row r="4">
      <c r="A4" s="12" t="inlineStr">
        <is>
          <t>Brand ID</t>
        </is>
      </c>
      <c r="B4" s="12" t="inlineStr">
        <is>
          <t>Brand Name</t>
        </is>
      </c>
      <c r="C4" s="12" t="inlineStr">
        <is>
          <t>Brand Type</t>
        </is>
      </c>
      <c r="D4" s="12" t="inlineStr">
        <is>
          <t>ABV %</t>
        </is>
      </c>
      <c r="E4" s="12" t="inlineStr">
        <is>
          <t>Recipe Type</t>
        </is>
      </c>
    </row>
    <row r="5">
      <c r="A5" t="n">
        <v>1</v>
      </c>
      <c r="B5" t="inlineStr">
        <is>
          <t>SkyBrew</t>
        </is>
      </c>
      <c r="C5" t="inlineStr">
        <is>
          <t>Lager</t>
        </is>
      </c>
      <c r="D5" s="26" t="n">
        <v>0.045</v>
      </c>
      <c r="E5" t="inlineStr">
        <is>
          <t>Core</t>
        </is>
      </c>
    </row>
    <row r="6">
      <c r="A6" t="n">
        <v>2</v>
      </c>
      <c r="B6" t="inlineStr">
        <is>
          <t>AllDark</t>
        </is>
      </c>
      <c r="C6" t="inlineStr">
        <is>
          <t>Stout</t>
        </is>
      </c>
      <c r="D6" s="26" t="n">
        <v>0.058</v>
      </c>
      <c r="E6" t="inlineStr">
        <is>
          <t>Craft</t>
        </is>
      </c>
    </row>
    <row r="7">
      <c r="A7" t="n">
        <v>3</v>
      </c>
      <c r="B7" t="inlineStr">
        <is>
          <t>GoldCoast</t>
        </is>
      </c>
      <c r="C7" t="inlineStr">
        <is>
          <t>Pale Ale</t>
        </is>
      </c>
      <c r="D7" s="26" t="n">
        <v>0.052</v>
      </c>
      <c r="E7" t="inlineStr">
        <is>
          <t>Craft</t>
        </is>
      </c>
    </row>
    <row r="8">
      <c r="A8" t="n">
        <v>4</v>
      </c>
      <c r="B8" t="inlineStr">
        <is>
          <t>CityLight</t>
        </is>
      </c>
      <c r="C8" t="inlineStr">
        <is>
          <t>Light Lager</t>
        </is>
      </c>
      <c r="D8" s="26" t="n">
        <v>0.035</v>
      </c>
      <c r="E8" t="inlineStr">
        <is>
          <t>Core</t>
        </is>
      </c>
    </row>
    <row r="9">
      <c r="A9" t="n">
        <v>5</v>
      </c>
      <c r="B9" t="inlineStr">
        <is>
          <t>HarborIPA</t>
        </is>
      </c>
      <c r="C9" t="inlineStr">
        <is>
          <t>IPA</t>
        </is>
      </c>
      <c r="D9" s="26" t="n">
        <v>0.062</v>
      </c>
      <c r="E9" t="inlineStr">
        <is>
          <t>Premium</t>
        </is>
      </c>
    </row>
    <row r="11">
      <c r="A11" s="11" t="inlineStr">
        <is>
          <t>Pack Type List</t>
        </is>
      </c>
    </row>
    <row r="12">
      <c r="A12" s="12" t="inlineStr">
        <is>
          <t>Pack ID</t>
        </is>
      </c>
      <c r="B12" s="12" t="inlineStr">
        <is>
          <t>Pack Type</t>
        </is>
      </c>
      <c r="C12" s="12" t="inlineStr">
        <is>
          <t>HL per unit</t>
        </is>
      </c>
      <c r="D12" s="12" t="inlineStr">
        <is>
          <t>Packaging</t>
        </is>
      </c>
      <c r="E12" s="12" t="inlineStr">
        <is>
          <t>Returnable?</t>
        </is>
      </c>
    </row>
    <row r="13">
      <c r="A13" t="n">
        <v>1</v>
      </c>
      <c r="B13" t="inlineStr">
        <is>
          <t>Bottles</t>
        </is>
      </c>
      <c r="C13" s="27" t="n">
        <v>0.00033</v>
      </c>
      <c r="D13" t="inlineStr">
        <is>
          <t>Glass 330ml</t>
        </is>
      </c>
      <c r="E13" t="inlineStr">
        <is>
          <t>No</t>
        </is>
      </c>
    </row>
    <row r="14">
      <c r="A14" t="n">
        <v>2</v>
      </c>
      <c r="B14" t="inlineStr">
        <is>
          <t>Cans</t>
        </is>
      </c>
      <c r="C14" s="27" t="n">
        <v>0.00037</v>
      </c>
      <c r="D14" t="inlineStr">
        <is>
          <t>Aluminum 375ml</t>
        </is>
      </c>
      <c r="E14" t="inlineStr">
        <is>
          <t>No</t>
        </is>
      </c>
    </row>
    <row r="15">
      <c r="A15" t="n">
        <v>3</v>
      </c>
      <c r="B15" t="inlineStr">
        <is>
          <t>Kegs</t>
        </is>
      </c>
      <c r="C15" s="27" t="n">
        <v>0.5</v>
      </c>
      <c r="D15" t="inlineStr">
        <is>
          <t>Stainless 50L</t>
        </is>
      </c>
      <c r="E15" t="inlineStr">
        <is>
          <t>Yes</t>
        </is>
      </c>
    </row>
    <row r="17">
      <c r="A17" s="11" t="inlineStr">
        <is>
          <t>Channel List</t>
        </is>
      </c>
    </row>
    <row r="18">
      <c r="A18" s="12" t="inlineStr">
        <is>
          <t>Channel ID</t>
        </is>
      </c>
      <c r="B18" s="12" t="inlineStr">
        <is>
          <t>Channel Name</t>
        </is>
      </c>
      <c r="C18" s="12" t="inlineStr">
        <is>
          <t>Customer Type</t>
        </is>
      </c>
    </row>
    <row r="19">
      <c r="A19" t="n">
        <v>1</v>
      </c>
      <c r="B19" t="inlineStr">
        <is>
          <t>OnTrade</t>
        </is>
      </c>
      <c r="C19" t="inlineStr">
        <is>
          <t>Bars, Restaurants, Pubs</t>
        </is>
      </c>
    </row>
    <row r="20">
      <c r="A20" t="n">
        <v>2</v>
      </c>
      <c r="B20" t="inlineStr">
        <is>
          <t>OffTrade</t>
        </is>
      </c>
      <c r="C20" t="inlineStr">
        <is>
          <t>Retail, Supermarkets, Bottle shops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U50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 ht="25" customHeight="1">
      <c r="A1" s="1" t="inlineStr">
        <is>
          <t>VOLUME ASSUMPTIONS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6">
      <c r="A6" t="inlineStr">
        <is>
          <t>FY</t>
        </is>
      </c>
      <c r="F6" s="8">
        <f>YEAR(F4)</f>
        <v/>
      </c>
      <c r="G6" s="8">
        <f>YEAR(G4)</f>
        <v/>
      </c>
      <c r="H6" s="8">
        <f>YEAR(H4)</f>
        <v/>
      </c>
      <c r="I6" s="8">
        <f>YEAR(I4)</f>
        <v/>
      </c>
      <c r="J6" s="8">
        <f>YEAR(J4)</f>
        <v/>
      </c>
      <c r="K6" s="8">
        <f>YEAR(K4)</f>
        <v/>
      </c>
      <c r="L6" s="8">
        <f>YEAR(L4)</f>
        <v/>
      </c>
      <c r="M6" s="8">
        <f>YEAR(M4)</f>
        <v/>
      </c>
      <c r="N6" s="8">
        <f>YEAR(N4)</f>
        <v/>
      </c>
      <c r="O6" s="8">
        <f>YEAR(O4)</f>
        <v/>
      </c>
      <c r="P6" s="8">
        <f>YEAR(P4)</f>
        <v/>
      </c>
      <c r="Q6" s="8">
        <f>YEAR(Q4)</f>
        <v/>
      </c>
      <c r="R6" s="8">
        <f>YEAR(R4)</f>
        <v/>
      </c>
      <c r="S6" s="8">
        <f>YEAR(S4)</f>
        <v/>
      </c>
      <c r="T6" s="8">
        <f>YEAR(T4)</f>
        <v/>
      </c>
      <c r="U6" s="8">
        <f>YEAR(U4)</f>
        <v/>
      </c>
      <c r="V6" s="8">
        <f>YEAR(V4)</f>
        <v/>
      </c>
      <c r="W6" s="8">
        <f>YEAR(W4)</f>
        <v/>
      </c>
      <c r="X6" s="8">
        <f>YEAR(X4)</f>
        <v/>
      </c>
      <c r="Y6" s="8">
        <f>YEAR(Y4)</f>
        <v/>
      </c>
      <c r="Z6" s="8">
        <f>YEAR(Z4)</f>
        <v/>
      </c>
      <c r="AA6" s="8">
        <f>YEAR(AA4)</f>
        <v/>
      </c>
      <c r="AB6" s="8">
        <f>YEAR(AB4)</f>
        <v/>
      </c>
      <c r="AC6" s="8">
        <f>YEAR(AC4)</f>
        <v/>
      </c>
      <c r="AD6" s="8">
        <f>YEAR(AD4)</f>
        <v/>
      </c>
      <c r="AE6" s="8">
        <f>YEAR(AE4)</f>
        <v/>
      </c>
      <c r="AF6" s="8">
        <f>YEAR(AF4)</f>
        <v/>
      </c>
      <c r="AG6" s="8">
        <f>YEAR(AG4)</f>
        <v/>
      </c>
      <c r="AH6" s="8">
        <f>YEAR(AH4)</f>
        <v/>
      </c>
      <c r="AI6" s="8">
        <f>YEAR(AI4)</f>
        <v/>
      </c>
      <c r="AJ6" s="8">
        <f>YEAR(AJ4)</f>
        <v/>
      </c>
      <c r="AK6" s="8">
        <f>YEAR(AK4)</f>
        <v/>
      </c>
      <c r="AL6" s="8">
        <f>YEAR(AL4)</f>
        <v/>
      </c>
      <c r="AM6" s="8">
        <f>YEAR(AM4)</f>
        <v/>
      </c>
      <c r="AN6" s="8">
        <f>YEAR(AN4)</f>
        <v/>
      </c>
      <c r="AO6" s="8">
        <f>YEAR(AO4)</f>
        <v/>
      </c>
      <c r="AP6" s="8">
        <f>YEAR(AP4)</f>
        <v/>
      </c>
      <c r="AQ6" s="8">
        <f>YEAR(AQ4)</f>
        <v/>
      </c>
      <c r="AR6" s="8">
        <f>YEAR(AR4)</f>
        <v/>
      </c>
      <c r="AS6" s="8">
        <f>YEAR(AS4)</f>
        <v/>
      </c>
      <c r="AT6" s="8">
        <f>YEAR(AT4)</f>
        <v/>
      </c>
      <c r="AU6" s="8">
        <f>YEAR(AU4)</f>
        <v/>
      </c>
      <c r="AV6" s="8">
        <f>YEAR(AV4)</f>
        <v/>
      </c>
      <c r="AW6" s="8">
        <f>YEAR(AW4)</f>
        <v/>
      </c>
      <c r="AX6" s="8">
        <f>YEAR(AX4)</f>
        <v/>
      </c>
      <c r="AY6" s="8">
        <f>YEAR(AY4)</f>
        <v/>
      </c>
      <c r="AZ6" s="8">
        <f>YEAR(AZ4)</f>
        <v/>
      </c>
      <c r="BA6" s="8">
        <f>YEAR(BA4)</f>
        <v/>
      </c>
      <c r="BB6" s="8">
        <f>YEAR(BB4)</f>
        <v/>
      </c>
      <c r="BC6" s="8">
        <f>YEAR(BC4)</f>
        <v/>
      </c>
      <c r="BD6" s="8">
        <f>YEAR(BD4)</f>
        <v/>
      </c>
      <c r="BE6" s="8">
        <f>YEAR(BE4)</f>
        <v/>
      </c>
      <c r="BF6" s="8">
        <f>YEAR(BF4)</f>
        <v/>
      </c>
      <c r="BG6" s="8">
        <f>YEAR(BG4)</f>
        <v/>
      </c>
      <c r="BH6" s="8">
        <f>YEAR(BH4)</f>
        <v/>
      </c>
      <c r="BI6" s="8">
        <f>YEAR(BI4)</f>
        <v/>
      </c>
      <c r="BJ6" s="8">
        <f>YEAR(BJ4)</f>
        <v/>
      </c>
      <c r="BK6" s="8">
        <f>YEAR(BK4)</f>
        <v/>
      </c>
      <c r="BL6" s="8">
        <f>YEAR(BL4)</f>
        <v/>
      </c>
      <c r="BM6" s="8">
        <f>YEAR(BM4)</f>
        <v/>
      </c>
      <c r="BN6" s="8">
        <f>YEAR(BN4)</f>
        <v/>
      </c>
      <c r="BO6" s="8">
        <f>YEAR(BO4)</f>
        <v/>
      </c>
      <c r="BP6" s="8">
        <f>YEAR(BP4)</f>
        <v/>
      </c>
      <c r="BQ6" s="8">
        <f>YEAR(BQ4)</f>
        <v/>
      </c>
      <c r="BR6" s="8">
        <f>YEAR(BR4)</f>
        <v/>
      </c>
      <c r="BS6" s="8">
        <f>YEAR(BS4)</f>
        <v/>
      </c>
      <c r="BT6" s="8">
        <f>YEAR(BT4)</f>
        <v/>
      </c>
      <c r="BU6" s="8">
        <f>YEAR(BU4)</f>
        <v/>
      </c>
      <c r="BV6" s="8">
        <f>YEAR(BV4)</f>
        <v/>
      </c>
      <c r="BW6" s="8">
        <f>YEAR(BW4)</f>
        <v/>
      </c>
      <c r="BX6" s="8">
        <f>YEAR(BX4)</f>
        <v/>
      </c>
      <c r="BY6" s="8">
        <f>YEAR(BY4)</f>
        <v/>
      </c>
      <c r="BZ6" s="8">
        <f>YEAR(BZ4)</f>
        <v/>
      </c>
      <c r="CA6" s="8">
        <f>YEAR(CA4)</f>
        <v/>
      </c>
      <c r="CB6" s="8">
        <f>YEAR(CB4)</f>
        <v/>
      </c>
      <c r="CC6" s="8">
        <f>YEAR(CC4)</f>
        <v/>
      </c>
      <c r="CD6" s="8">
        <f>YEAR(CD4)</f>
        <v/>
      </c>
      <c r="CE6" s="8">
        <f>YEAR(CE4)</f>
        <v/>
      </c>
      <c r="CF6" s="8">
        <f>YEAR(CF4)</f>
        <v/>
      </c>
      <c r="CG6" s="8">
        <f>YEAR(CG4)</f>
        <v/>
      </c>
      <c r="CH6" s="8">
        <f>YEAR(CH4)</f>
        <v/>
      </c>
      <c r="CI6" s="8">
        <f>YEAR(CI4)</f>
        <v/>
      </c>
      <c r="CJ6" s="8">
        <f>YEAR(CJ4)</f>
        <v/>
      </c>
      <c r="CK6" s="8">
        <f>YEAR(CK4)</f>
        <v/>
      </c>
      <c r="CL6" s="8">
        <f>YEAR(CL4)</f>
        <v/>
      </c>
      <c r="CM6" s="8">
        <f>YEAR(CM4)</f>
        <v/>
      </c>
      <c r="CN6" s="8">
        <f>YEAR(CN4)</f>
        <v/>
      </c>
      <c r="CO6" s="8">
        <f>YEAR(CO4)</f>
        <v/>
      </c>
      <c r="CP6" s="8">
        <f>YEAR(CP4)</f>
        <v/>
      </c>
      <c r="CQ6" s="8">
        <f>YEAR(CQ4)</f>
        <v/>
      </c>
      <c r="CR6" s="8">
        <f>YEAR(CR4)</f>
        <v/>
      </c>
      <c r="CS6" s="8">
        <f>YEAR(CS4)</f>
        <v/>
      </c>
      <c r="CT6" s="8">
        <f>YEAR(CT4)</f>
        <v/>
      </c>
      <c r="CU6" s="8">
        <f>YEAR(CU4)</f>
        <v/>
      </c>
      <c r="CV6" s="8">
        <f>YEAR(CV4)</f>
        <v/>
      </c>
      <c r="CW6" s="8">
        <f>YEAR(CW4)</f>
        <v/>
      </c>
      <c r="CX6" s="8">
        <f>YEAR(CX4)</f>
        <v/>
      </c>
      <c r="CY6" s="8">
        <f>YEAR(CY4)</f>
        <v/>
      </c>
      <c r="CZ6" s="8">
        <f>YEAR(CZ4)</f>
        <v/>
      </c>
      <c r="DA6" s="8">
        <f>YEAR(DA4)</f>
        <v/>
      </c>
      <c r="DB6" s="8">
        <f>YEAR(DB4)</f>
        <v/>
      </c>
      <c r="DC6" s="8">
        <f>YEAR(DC4)</f>
        <v/>
      </c>
      <c r="DD6" s="8">
        <f>YEAR(DD4)</f>
        <v/>
      </c>
      <c r="DE6" s="8">
        <f>YEAR(DE4)</f>
        <v/>
      </c>
      <c r="DF6" s="8">
        <f>YEAR(DF4)</f>
        <v/>
      </c>
      <c r="DG6" s="8">
        <f>YEAR(DG4)</f>
        <v/>
      </c>
      <c r="DH6" s="8">
        <f>YEAR(DH4)</f>
        <v/>
      </c>
      <c r="DI6" s="8">
        <f>YEAR(DI4)</f>
        <v/>
      </c>
      <c r="DJ6" s="8">
        <f>YEAR(DJ4)</f>
        <v/>
      </c>
      <c r="DK6" s="8">
        <f>YEAR(DK4)</f>
        <v/>
      </c>
      <c r="DL6" s="8">
        <f>YEAR(DL4)</f>
        <v/>
      </c>
      <c r="DM6" s="8">
        <f>YEAR(DM4)</f>
        <v/>
      </c>
      <c r="DN6" s="8">
        <f>YEAR(DN4)</f>
        <v/>
      </c>
      <c r="DO6" s="8">
        <f>YEAR(DO4)</f>
        <v/>
      </c>
      <c r="DP6" s="8">
        <f>YEAR(DP4)</f>
        <v/>
      </c>
      <c r="DQ6" s="8">
        <f>YEAR(DQ4)</f>
        <v/>
      </c>
      <c r="DR6" s="8">
        <f>YEAR(DR4)</f>
        <v/>
      </c>
      <c r="DS6" s="8">
        <f>YEAR(DS4)</f>
        <v/>
      </c>
      <c r="DT6" s="8">
        <f>YEAR(DT4)</f>
        <v/>
      </c>
      <c r="DU6" s="8">
        <f>YEAR(DU4)</f>
        <v/>
      </c>
    </row>
    <row r="7">
      <c r="A7" t="inlineStr">
        <is>
          <t>Quarter</t>
        </is>
      </c>
      <c r="F7" s="8">
        <f>"Q"&amp;ROUNDUP(MONTH(F4)/3,0)</f>
        <v/>
      </c>
      <c r="G7" s="8">
        <f>"Q"&amp;ROUNDUP(MONTH(G4)/3,0)</f>
        <v/>
      </c>
      <c r="H7" s="8">
        <f>"Q"&amp;ROUNDUP(MONTH(H4)/3,0)</f>
        <v/>
      </c>
      <c r="I7" s="8">
        <f>"Q"&amp;ROUNDUP(MONTH(I4)/3,0)</f>
        <v/>
      </c>
      <c r="J7" s="8">
        <f>"Q"&amp;ROUNDUP(MONTH(J4)/3,0)</f>
        <v/>
      </c>
      <c r="K7" s="8">
        <f>"Q"&amp;ROUNDUP(MONTH(K4)/3,0)</f>
        <v/>
      </c>
      <c r="L7" s="8">
        <f>"Q"&amp;ROUNDUP(MONTH(L4)/3,0)</f>
        <v/>
      </c>
      <c r="M7" s="8">
        <f>"Q"&amp;ROUNDUP(MONTH(M4)/3,0)</f>
        <v/>
      </c>
      <c r="N7" s="8">
        <f>"Q"&amp;ROUNDUP(MONTH(N4)/3,0)</f>
        <v/>
      </c>
      <c r="O7" s="8">
        <f>"Q"&amp;ROUNDUP(MONTH(O4)/3,0)</f>
        <v/>
      </c>
      <c r="P7" s="8">
        <f>"Q"&amp;ROUNDUP(MONTH(P4)/3,0)</f>
        <v/>
      </c>
      <c r="Q7" s="8">
        <f>"Q"&amp;ROUNDUP(MONTH(Q4)/3,0)</f>
        <v/>
      </c>
      <c r="R7" s="8">
        <f>"Q"&amp;ROUNDUP(MONTH(R4)/3,0)</f>
        <v/>
      </c>
      <c r="S7" s="8">
        <f>"Q"&amp;ROUNDUP(MONTH(S4)/3,0)</f>
        <v/>
      </c>
      <c r="T7" s="8">
        <f>"Q"&amp;ROUNDUP(MONTH(T4)/3,0)</f>
        <v/>
      </c>
      <c r="U7" s="8">
        <f>"Q"&amp;ROUNDUP(MONTH(U4)/3,0)</f>
        <v/>
      </c>
      <c r="V7" s="8">
        <f>"Q"&amp;ROUNDUP(MONTH(V4)/3,0)</f>
        <v/>
      </c>
      <c r="W7" s="8">
        <f>"Q"&amp;ROUNDUP(MONTH(W4)/3,0)</f>
        <v/>
      </c>
      <c r="X7" s="8">
        <f>"Q"&amp;ROUNDUP(MONTH(X4)/3,0)</f>
        <v/>
      </c>
      <c r="Y7" s="8">
        <f>"Q"&amp;ROUNDUP(MONTH(Y4)/3,0)</f>
        <v/>
      </c>
      <c r="Z7" s="8">
        <f>"Q"&amp;ROUNDUP(MONTH(Z4)/3,0)</f>
        <v/>
      </c>
      <c r="AA7" s="8">
        <f>"Q"&amp;ROUNDUP(MONTH(AA4)/3,0)</f>
        <v/>
      </c>
      <c r="AB7" s="8">
        <f>"Q"&amp;ROUNDUP(MONTH(AB4)/3,0)</f>
        <v/>
      </c>
      <c r="AC7" s="8">
        <f>"Q"&amp;ROUNDUP(MONTH(AC4)/3,0)</f>
        <v/>
      </c>
      <c r="AD7" s="8">
        <f>"Q"&amp;ROUNDUP(MONTH(AD4)/3,0)</f>
        <v/>
      </c>
      <c r="AE7" s="8">
        <f>"Q"&amp;ROUNDUP(MONTH(AE4)/3,0)</f>
        <v/>
      </c>
      <c r="AF7" s="8">
        <f>"Q"&amp;ROUNDUP(MONTH(AF4)/3,0)</f>
        <v/>
      </c>
      <c r="AG7" s="8">
        <f>"Q"&amp;ROUNDUP(MONTH(AG4)/3,0)</f>
        <v/>
      </c>
      <c r="AH7" s="8">
        <f>"Q"&amp;ROUNDUP(MONTH(AH4)/3,0)</f>
        <v/>
      </c>
      <c r="AI7" s="8">
        <f>"Q"&amp;ROUNDUP(MONTH(AI4)/3,0)</f>
        <v/>
      </c>
      <c r="AJ7" s="8">
        <f>"Q"&amp;ROUNDUP(MONTH(AJ4)/3,0)</f>
        <v/>
      </c>
      <c r="AK7" s="8">
        <f>"Q"&amp;ROUNDUP(MONTH(AK4)/3,0)</f>
        <v/>
      </c>
      <c r="AL7" s="8">
        <f>"Q"&amp;ROUNDUP(MONTH(AL4)/3,0)</f>
        <v/>
      </c>
      <c r="AM7" s="8">
        <f>"Q"&amp;ROUNDUP(MONTH(AM4)/3,0)</f>
        <v/>
      </c>
      <c r="AN7" s="8">
        <f>"Q"&amp;ROUNDUP(MONTH(AN4)/3,0)</f>
        <v/>
      </c>
      <c r="AO7" s="8">
        <f>"Q"&amp;ROUNDUP(MONTH(AO4)/3,0)</f>
        <v/>
      </c>
      <c r="AP7" s="8">
        <f>"Q"&amp;ROUNDUP(MONTH(AP4)/3,0)</f>
        <v/>
      </c>
      <c r="AQ7" s="8">
        <f>"Q"&amp;ROUNDUP(MONTH(AQ4)/3,0)</f>
        <v/>
      </c>
      <c r="AR7" s="8">
        <f>"Q"&amp;ROUNDUP(MONTH(AR4)/3,0)</f>
        <v/>
      </c>
      <c r="AS7" s="8">
        <f>"Q"&amp;ROUNDUP(MONTH(AS4)/3,0)</f>
        <v/>
      </c>
      <c r="AT7" s="8">
        <f>"Q"&amp;ROUNDUP(MONTH(AT4)/3,0)</f>
        <v/>
      </c>
      <c r="AU7" s="8">
        <f>"Q"&amp;ROUNDUP(MONTH(AU4)/3,0)</f>
        <v/>
      </c>
      <c r="AV7" s="8">
        <f>"Q"&amp;ROUNDUP(MONTH(AV4)/3,0)</f>
        <v/>
      </c>
      <c r="AW7" s="8">
        <f>"Q"&amp;ROUNDUP(MONTH(AW4)/3,0)</f>
        <v/>
      </c>
      <c r="AX7" s="8">
        <f>"Q"&amp;ROUNDUP(MONTH(AX4)/3,0)</f>
        <v/>
      </c>
      <c r="AY7" s="8">
        <f>"Q"&amp;ROUNDUP(MONTH(AY4)/3,0)</f>
        <v/>
      </c>
      <c r="AZ7" s="8">
        <f>"Q"&amp;ROUNDUP(MONTH(AZ4)/3,0)</f>
        <v/>
      </c>
      <c r="BA7" s="8">
        <f>"Q"&amp;ROUNDUP(MONTH(BA4)/3,0)</f>
        <v/>
      </c>
      <c r="BB7" s="8">
        <f>"Q"&amp;ROUNDUP(MONTH(BB4)/3,0)</f>
        <v/>
      </c>
      <c r="BC7" s="8">
        <f>"Q"&amp;ROUNDUP(MONTH(BC4)/3,0)</f>
        <v/>
      </c>
      <c r="BD7" s="8">
        <f>"Q"&amp;ROUNDUP(MONTH(BD4)/3,0)</f>
        <v/>
      </c>
      <c r="BE7" s="8">
        <f>"Q"&amp;ROUNDUP(MONTH(BE4)/3,0)</f>
        <v/>
      </c>
      <c r="BF7" s="8">
        <f>"Q"&amp;ROUNDUP(MONTH(BF4)/3,0)</f>
        <v/>
      </c>
      <c r="BG7" s="8">
        <f>"Q"&amp;ROUNDUP(MONTH(BG4)/3,0)</f>
        <v/>
      </c>
      <c r="BH7" s="8">
        <f>"Q"&amp;ROUNDUP(MONTH(BH4)/3,0)</f>
        <v/>
      </c>
      <c r="BI7" s="8">
        <f>"Q"&amp;ROUNDUP(MONTH(BI4)/3,0)</f>
        <v/>
      </c>
      <c r="BJ7" s="8">
        <f>"Q"&amp;ROUNDUP(MONTH(BJ4)/3,0)</f>
        <v/>
      </c>
      <c r="BK7" s="8">
        <f>"Q"&amp;ROUNDUP(MONTH(BK4)/3,0)</f>
        <v/>
      </c>
      <c r="BL7" s="8">
        <f>"Q"&amp;ROUNDUP(MONTH(BL4)/3,0)</f>
        <v/>
      </c>
      <c r="BM7" s="8">
        <f>"Q"&amp;ROUNDUP(MONTH(BM4)/3,0)</f>
        <v/>
      </c>
      <c r="BN7" s="8">
        <f>"Q"&amp;ROUNDUP(MONTH(BN4)/3,0)</f>
        <v/>
      </c>
      <c r="BO7" s="8">
        <f>"Q"&amp;ROUNDUP(MONTH(BO4)/3,0)</f>
        <v/>
      </c>
      <c r="BP7" s="8">
        <f>"Q"&amp;ROUNDUP(MONTH(BP4)/3,0)</f>
        <v/>
      </c>
      <c r="BQ7" s="8">
        <f>"Q"&amp;ROUNDUP(MONTH(BQ4)/3,0)</f>
        <v/>
      </c>
      <c r="BR7" s="8">
        <f>"Q"&amp;ROUNDUP(MONTH(BR4)/3,0)</f>
        <v/>
      </c>
      <c r="BS7" s="8">
        <f>"Q"&amp;ROUNDUP(MONTH(BS4)/3,0)</f>
        <v/>
      </c>
      <c r="BT7" s="8">
        <f>"Q"&amp;ROUNDUP(MONTH(BT4)/3,0)</f>
        <v/>
      </c>
      <c r="BU7" s="8">
        <f>"Q"&amp;ROUNDUP(MONTH(BU4)/3,0)</f>
        <v/>
      </c>
      <c r="BV7" s="8">
        <f>"Q"&amp;ROUNDUP(MONTH(BV4)/3,0)</f>
        <v/>
      </c>
      <c r="BW7" s="8">
        <f>"Q"&amp;ROUNDUP(MONTH(BW4)/3,0)</f>
        <v/>
      </c>
      <c r="BX7" s="8">
        <f>"Q"&amp;ROUNDUP(MONTH(BX4)/3,0)</f>
        <v/>
      </c>
      <c r="BY7" s="8">
        <f>"Q"&amp;ROUNDUP(MONTH(BY4)/3,0)</f>
        <v/>
      </c>
      <c r="BZ7" s="8">
        <f>"Q"&amp;ROUNDUP(MONTH(BZ4)/3,0)</f>
        <v/>
      </c>
      <c r="CA7" s="8">
        <f>"Q"&amp;ROUNDUP(MONTH(CA4)/3,0)</f>
        <v/>
      </c>
      <c r="CB7" s="8">
        <f>"Q"&amp;ROUNDUP(MONTH(CB4)/3,0)</f>
        <v/>
      </c>
      <c r="CC7" s="8">
        <f>"Q"&amp;ROUNDUP(MONTH(CC4)/3,0)</f>
        <v/>
      </c>
      <c r="CD7" s="8">
        <f>"Q"&amp;ROUNDUP(MONTH(CD4)/3,0)</f>
        <v/>
      </c>
      <c r="CE7" s="8">
        <f>"Q"&amp;ROUNDUP(MONTH(CE4)/3,0)</f>
        <v/>
      </c>
      <c r="CF7" s="8">
        <f>"Q"&amp;ROUNDUP(MONTH(CF4)/3,0)</f>
        <v/>
      </c>
      <c r="CG7" s="8">
        <f>"Q"&amp;ROUNDUP(MONTH(CG4)/3,0)</f>
        <v/>
      </c>
      <c r="CH7" s="8">
        <f>"Q"&amp;ROUNDUP(MONTH(CH4)/3,0)</f>
        <v/>
      </c>
      <c r="CI7" s="8">
        <f>"Q"&amp;ROUNDUP(MONTH(CI4)/3,0)</f>
        <v/>
      </c>
      <c r="CJ7" s="8">
        <f>"Q"&amp;ROUNDUP(MONTH(CJ4)/3,0)</f>
        <v/>
      </c>
      <c r="CK7" s="8">
        <f>"Q"&amp;ROUNDUP(MONTH(CK4)/3,0)</f>
        <v/>
      </c>
      <c r="CL7" s="8">
        <f>"Q"&amp;ROUNDUP(MONTH(CL4)/3,0)</f>
        <v/>
      </c>
      <c r="CM7" s="8">
        <f>"Q"&amp;ROUNDUP(MONTH(CM4)/3,0)</f>
        <v/>
      </c>
      <c r="CN7" s="8">
        <f>"Q"&amp;ROUNDUP(MONTH(CN4)/3,0)</f>
        <v/>
      </c>
      <c r="CO7" s="8">
        <f>"Q"&amp;ROUNDUP(MONTH(CO4)/3,0)</f>
        <v/>
      </c>
      <c r="CP7" s="8">
        <f>"Q"&amp;ROUNDUP(MONTH(CP4)/3,0)</f>
        <v/>
      </c>
      <c r="CQ7" s="8">
        <f>"Q"&amp;ROUNDUP(MONTH(CQ4)/3,0)</f>
        <v/>
      </c>
      <c r="CR7" s="8">
        <f>"Q"&amp;ROUNDUP(MONTH(CR4)/3,0)</f>
        <v/>
      </c>
      <c r="CS7" s="8">
        <f>"Q"&amp;ROUNDUP(MONTH(CS4)/3,0)</f>
        <v/>
      </c>
      <c r="CT7" s="8">
        <f>"Q"&amp;ROUNDUP(MONTH(CT4)/3,0)</f>
        <v/>
      </c>
      <c r="CU7" s="8">
        <f>"Q"&amp;ROUNDUP(MONTH(CU4)/3,0)</f>
        <v/>
      </c>
      <c r="CV7" s="8">
        <f>"Q"&amp;ROUNDUP(MONTH(CV4)/3,0)</f>
        <v/>
      </c>
      <c r="CW7" s="8">
        <f>"Q"&amp;ROUNDUP(MONTH(CW4)/3,0)</f>
        <v/>
      </c>
      <c r="CX7" s="8">
        <f>"Q"&amp;ROUNDUP(MONTH(CX4)/3,0)</f>
        <v/>
      </c>
      <c r="CY7" s="8">
        <f>"Q"&amp;ROUNDUP(MONTH(CY4)/3,0)</f>
        <v/>
      </c>
      <c r="CZ7" s="8">
        <f>"Q"&amp;ROUNDUP(MONTH(CZ4)/3,0)</f>
        <v/>
      </c>
      <c r="DA7" s="8">
        <f>"Q"&amp;ROUNDUP(MONTH(DA4)/3,0)</f>
        <v/>
      </c>
      <c r="DB7" s="8">
        <f>"Q"&amp;ROUNDUP(MONTH(DB4)/3,0)</f>
        <v/>
      </c>
      <c r="DC7" s="8">
        <f>"Q"&amp;ROUNDUP(MONTH(DC4)/3,0)</f>
        <v/>
      </c>
      <c r="DD7" s="8">
        <f>"Q"&amp;ROUNDUP(MONTH(DD4)/3,0)</f>
        <v/>
      </c>
      <c r="DE7" s="8">
        <f>"Q"&amp;ROUNDUP(MONTH(DE4)/3,0)</f>
        <v/>
      </c>
      <c r="DF7" s="8">
        <f>"Q"&amp;ROUNDUP(MONTH(DF4)/3,0)</f>
        <v/>
      </c>
      <c r="DG7" s="8">
        <f>"Q"&amp;ROUNDUP(MONTH(DG4)/3,0)</f>
        <v/>
      </c>
      <c r="DH7" s="8">
        <f>"Q"&amp;ROUNDUP(MONTH(DH4)/3,0)</f>
        <v/>
      </c>
      <c r="DI7" s="8">
        <f>"Q"&amp;ROUNDUP(MONTH(DI4)/3,0)</f>
        <v/>
      </c>
      <c r="DJ7" s="8">
        <f>"Q"&amp;ROUNDUP(MONTH(DJ4)/3,0)</f>
        <v/>
      </c>
      <c r="DK7" s="8">
        <f>"Q"&amp;ROUNDUP(MONTH(DK4)/3,0)</f>
        <v/>
      </c>
      <c r="DL7" s="8">
        <f>"Q"&amp;ROUNDUP(MONTH(DL4)/3,0)</f>
        <v/>
      </c>
      <c r="DM7" s="8">
        <f>"Q"&amp;ROUNDUP(MONTH(DM4)/3,0)</f>
        <v/>
      </c>
      <c r="DN7" s="8">
        <f>"Q"&amp;ROUNDUP(MONTH(DN4)/3,0)</f>
        <v/>
      </c>
      <c r="DO7" s="8">
        <f>"Q"&amp;ROUNDUP(MONTH(DO4)/3,0)</f>
        <v/>
      </c>
      <c r="DP7" s="8">
        <f>"Q"&amp;ROUNDUP(MONTH(DP4)/3,0)</f>
        <v/>
      </c>
      <c r="DQ7" s="8">
        <f>"Q"&amp;ROUNDUP(MONTH(DQ4)/3,0)</f>
        <v/>
      </c>
      <c r="DR7" s="8">
        <f>"Q"&amp;ROUNDUP(MONTH(DR4)/3,0)</f>
        <v/>
      </c>
      <c r="DS7" s="8">
        <f>"Q"&amp;ROUNDUP(MONTH(DS4)/3,0)</f>
        <v/>
      </c>
      <c r="DT7" s="8">
        <f>"Q"&amp;ROUNDUP(MONTH(DT4)/3,0)</f>
        <v/>
      </c>
      <c r="DU7" s="8">
        <f>"Q"&amp;ROUNDUP(MONTH(DU4)/3,0)</f>
        <v/>
      </c>
    </row>
    <row r="10">
      <c r="A10" s="11" t="inlineStr">
        <is>
          <t>Seasonality Factors</t>
        </is>
      </c>
    </row>
    <row r="11">
      <c r="A11" t="inlineStr">
        <is>
          <t>Month (1-12)</t>
        </is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</row>
    <row r="12">
      <c r="A12" t="inlineStr">
        <is>
          <t>Month name</t>
        </is>
      </c>
      <c r="B12" t="inlineStr">
        <is>
          <t>Jan</t>
        </is>
      </c>
      <c r="C12" t="inlineStr">
        <is>
          <t>Feb</t>
        </is>
      </c>
      <c r="D12" t="inlineStr">
        <is>
          <t>Mar</t>
        </is>
      </c>
      <c r="E12" t="inlineStr">
        <is>
          <t>Apr</t>
        </is>
      </c>
      <c r="F12" t="inlineStr">
        <is>
          <t>May</t>
        </is>
      </c>
      <c r="G12" t="inlineStr">
        <is>
          <t>Jun</t>
        </is>
      </c>
      <c r="H12" t="inlineStr">
        <is>
          <t>Jul</t>
        </is>
      </c>
      <c r="I12" t="inlineStr">
        <is>
          <t>Aug</t>
        </is>
      </c>
      <c r="J12" t="inlineStr">
        <is>
          <t>Sep</t>
        </is>
      </c>
      <c r="K12" t="inlineStr">
        <is>
          <t>Oct</t>
        </is>
      </c>
      <c r="L12" t="inlineStr">
        <is>
          <t>Nov</t>
        </is>
      </c>
      <c r="M12" t="inlineStr">
        <is>
          <t>Dec</t>
        </is>
      </c>
    </row>
    <row r="13">
      <c r="A13" t="inlineStr">
        <is>
          <t>Seasonality factor</t>
        </is>
      </c>
      <c r="B13" s="31" t="n">
        <v>1.2</v>
      </c>
      <c r="C13" s="31" t="n">
        <v>1.15</v>
      </c>
      <c r="D13" s="31" t="n">
        <v>1.05</v>
      </c>
      <c r="E13" s="31" t="n">
        <v>0.95</v>
      </c>
      <c r="F13" s="31" t="n">
        <v>0.9</v>
      </c>
      <c r="G13" s="31" t="n">
        <v>0.85</v>
      </c>
      <c r="H13" s="31" t="n">
        <v>0.85</v>
      </c>
      <c r="I13" s="31" t="n">
        <v>0.88</v>
      </c>
      <c r="J13" s="31" t="n">
        <v>0.95</v>
      </c>
      <c r="K13" s="31" t="n">
        <v>1</v>
      </c>
      <c r="L13" s="31" t="n">
        <v>1.1</v>
      </c>
      <c r="M13" s="31" t="n">
        <v>1.12</v>
      </c>
    </row>
    <row r="14">
      <c r="A14" t="inlineStr">
        <is>
          <t>Check sum</t>
        </is>
      </c>
      <c r="B14" s="32">
        <f>SUM(B13:M13)</f>
        <v/>
      </c>
      <c r="C14" s="9" t="inlineStr">
        <is>
          <t>(must = 12.00)</t>
        </is>
      </c>
    </row>
    <row r="18">
      <c r="A18" s="12" t="inlineStr">
        <is>
          <t>Brand-Pack-Channel</t>
        </is>
      </c>
      <c r="B18" s="12" t="inlineStr">
        <is>
          <t>Year 1 Base (HL p.a.)</t>
        </is>
      </c>
      <c r="C18" s="12" t="inlineStr">
        <is>
          <t>Growth % Base</t>
        </is>
      </c>
      <c r="D18" s="12" t="inlineStr">
        <is>
          <t>Upside</t>
        </is>
      </c>
      <c r="E18" s="12" t="inlineStr">
        <is>
          <t>Downside</t>
        </is>
      </c>
    </row>
    <row r="19">
      <c r="A19" t="inlineStr">
        <is>
          <t>SkyBrew-Bottles-OnTrade</t>
        </is>
      </c>
      <c r="B19" s="33" t="n">
        <v>50000</v>
      </c>
      <c r="C19" s="22" t="n">
        <v>0.03</v>
      </c>
      <c r="D19" s="22" t="n">
        <v>0.05</v>
      </c>
      <c r="E19" s="22" t="n">
        <v>0.01</v>
      </c>
      <c r="F19" s="34">
        <f>($B19/12)*(1+INDEX($C19:$E19,1,Control!$B$10))^F5*INDEX($B$13:$M$13,1,MOD(1-1,12)+1)</f>
        <v/>
      </c>
      <c r="G19" s="34">
        <f>($B19/12)*(1+INDEX($C19:$E19,1,Control!$B$10))^G5*INDEX($B$13:$M$13,1,MOD(2-1,12)+1)</f>
        <v/>
      </c>
      <c r="H19" s="34">
        <f>($B19/12)*(1+INDEX($C19:$E19,1,Control!$B$10))^H5*INDEX($B$13:$M$13,1,MOD(3-1,12)+1)</f>
        <v/>
      </c>
      <c r="I19" s="34">
        <f>($B19/12)*(1+INDEX($C19:$E19,1,Control!$B$10))^I5*INDEX($B$13:$M$13,1,MOD(4-1,12)+1)</f>
        <v/>
      </c>
      <c r="J19" s="34">
        <f>($B19/12)*(1+INDEX($C19:$E19,1,Control!$B$10))^J5*INDEX($B$13:$M$13,1,MOD(5-1,12)+1)</f>
        <v/>
      </c>
      <c r="K19" s="34">
        <f>($B19/12)*(1+INDEX($C19:$E19,1,Control!$B$10))^K5*INDEX($B$13:$M$13,1,MOD(6-1,12)+1)</f>
        <v/>
      </c>
      <c r="L19" s="34">
        <f>($B19/12)*(1+INDEX($C19:$E19,1,Control!$B$10))^L5*INDEX($B$13:$M$13,1,MOD(7-1,12)+1)</f>
        <v/>
      </c>
      <c r="M19" s="34">
        <f>($B19/12)*(1+INDEX($C19:$E19,1,Control!$B$10))^M5*INDEX($B$13:$M$13,1,MOD(8-1,12)+1)</f>
        <v/>
      </c>
      <c r="N19" s="34">
        <f>($B19/12)*(1+INDEX($C19:$E19,1,Control!$B$10))^N5*INDEX($B$13:$M$13,1,MOD(9-1,12)+1)</f>
        <v/>
      </c>
      <c r="O19" s="34">
        <f>($B19/12)*(1+INDEX($C19:$E19,1,Control!$B$10))^O5*INDEX($B$13:$M$13,1,MOD(10-1,12)+1)</f>
        <v/>
      </c>
      <c r="P19" s="34">
        <f>($B19/12)*(1+INDEX($C19:$E19,1,Control!$B$10))^P5*INDEX($B$13:$M$13,1,MOD(11-1,12)+1)</f>
        <v/>
      </c>
      <c r="Q19" s="34">
        <f>($B19/12)*(1+INDEX($C19:$E19,1,Control!$B$10))^Q5*INDEX($B$13:$M$13,1,MOD(12-1,12)+1)</f>
        <v/>
      </c>
      <c r="R19" s="34">
        <f>($B19/12)*(1+INDEX($C19:$E19,1,Control!$B$10))^R5*INDEX($B$13:$M$13,1,MOD(13-1,12)+1)</f>
        <v/>
      </c>
      <c r="S19" s="34">
        <f>($B19/12)*(1+INDEX($C19:$E19,1,Control!$B$10))^S5*INDEX($B$13:$M$13,1,MOD(14-1,12)+1)</f>
        <v/>
      </c>
      <c r="T19" s="34">
        <f>($B19/12)*(1+INDEX($C19:$E19,1,Control!$B$10))^T5*INDEX($B$13:$M$13,1,MOD(15-1,12)+1)</f>
        <v/>
      </c>
      <c r="U19" s="34">
        <f>($B19/12)*(1+INDEX($C19:$E19,1,Control!$B$10))^U5*INDEX($B$13:$M$13,1,MOD(16-1,12)+1)</f>
        <v/>
      </c>
      <c r="V19" s="34">
        <f>($B19/12)*(1+INDEX($C19:$E19,1,Control!$B$10))^V5*INDEX($B$13:$M$13,1,MOD(17-1,12)+1)</f>
        <v/>
      </c>
      <c r="W19" s="34">
        <f>($B19/12)*(1+INDEX($C19:$E19,1,Control!$B$10))^W5*INDEX($B$13:$M$13,1,MOD(18-1,12)+1)</f>
        <v/>
      </c>
      <c r="X19" s="34">
        <f>($B19/12)*(1+INDEX($C19:$E19,1,Control!$B$10))^X5*INDEX($B$13:$M$13,1,MOD(19-1,12)+1)</f>
        <v/>
      </c>
      <c r="Y19" s="34">
        <f>($B19/12)*(1+INDEX($C19:$E19,1,Control!$B$10))^Y5*INDEX($B$13:$M$13,1,MOD(20-1,12)+1)</f>
        <v/>
      </c>
      <c r="Z19" s="34">
        <f>($B19/12)*(1+INDEX($C19:$E19,1,Control!$B$10))^Z5*INDEX($B$13:$M$13,1,MOD(21-1,12)+1)</f>
        <v/>
      </c>
      <c r="AA19" s="34">
        <f>($B19/12)*(1+INDEX($C19:$E19,1,Control!$B$10))^AA5*INDEX($B$13:$M$13,1,MOD(22-1,12)+1)</f>
        <v/>
      </c>
      <c r="AB19" s="34">
        <f>($B19/12)*(1+INDEX($C19:$E19,1,Control!$B$10))^AB5*INDEX($B$13:$M$13,1,MOD(23-1,12)+1)</f>
        <v/>
      </c>
      <c r="AC19" s="34">
        <f>($B19/12)*(1+INDEX($C19:$E19,1,Control!$B$10))^AC5*INDEX($B$13:$M$13,1,MOD(24-1,12)+1)</f>
        <v/>
      </c>
      <c r="AD19" s="34">
        <f>($B19/12)*(1+INDEX($C19:$E19,1,Control!$B$10))^AD5*INDEX($B$13:$M$13,1,MOD(25-1,12)+1)</f>
        <v/>
      </c>
      <c r="AE19" s="34">
        <f>($B19/12)*(1+INDEX($C19:$E19,1,Control!$B$10))^AE5*INDEX($B$13:$M$13,1,MOD(26-1,12)+1)</f>
        <v/>
      </c>
      <c r="AF19" s="34">
        <f>($B19/12)*(1+INDEX($C19:$E19,1,Control!$B$10))^AF5*INDEX($B$13:$M$13,1,MOD(27-1,12)+1)</f>
        <v/>
      </c>
      <c r="AG19" s="34">
        <f>($B19/12)*(1+INDEX($C19:$E19,1,Control!$B$10))^AG5*INDEX($B$13:$M$13,1,MOD(28-1,12)+1)</f>
        <v/>
      </c>
      <c r="AH19" s="34">
        <f>($B19/12)*(1+INDEX($C19:$E19,1,Control!$B$10))^AH5*INDEX($B$13:$M$13,1,MOD(29-1,12)+1)</f>
        <v/>
      </c>
      <c r="AI19" s="34">
        <f>($B19/12)*(1+INDEX($C19:$E19,1,Control!$B$10))^AI5*INDEX($B$13:$M$13,1,MOD(30-1,12)+1)</f>
        <v/>
      </c>
      <c r="AJ19" s="34">
        <f>($B19/12)*(1+INDEX($C19:$E19,1,Control!$B$10))^AJ5*INDEX($B$13:$M$13,1,MOD(31-1,12)+1)</f>
        <v/>
      </c>
      <c r="AK19" s="34">
        <f>($B19/12)*(1+INDEX($C19:$E19,1,Control!$B$10))^AK5*INDEX($B$13:$M$13,1,MOD(32-1,12)+1)</f>
        <v/>
      </c>
      <c r="AL19" s="34">
        <f>($B19/12)*(1+INDEX($C19:$E19,1,Control!$B$10))^AL5*INDEX($B$13:$M$13,1,MOD(33-1,12)+1)</f>
        <v/>
      </c>
      <c r="AM19" s="34">
        <f>($B19/12)*(1+INDEX($C19:$E19,1,Control!$B$10))^AM5*INDEX($B$13:$M$13,1,MOD(34-1,12)+1)</f>
        <v/>
      </c>
      <c r="AN19" s="34">
        <f>($B19/12)*(1+INDEX($C19:$E19,1,Control!$B$10))^AN5*INDEX($B$13:$M$13,1,MOD(35-1,12)+1)</f>
        <v/>
      </c>
      <c r="AO19" s="34">
        <f>($B19/12)*(1+INDEX($C19:$E19,1,Control!$B$10))^AO5*INDEX($B$13:$M$13,1,MOD(36-1,12)+1)</f>
        <v/>
      </c>
      <c r="AP19" s="34">
        <f>($B19/12)*(1+INDEX($C19:$E19,1,Control!$B$10))^AP5*INDEX($B$13:$M$13,1,MOD(37-1,12)+1)</f>
        <v/>
      </c>
      <c r="AQ19" s="34">
        <f>($B19/12)*(1+INDEX($C19:$E19,1,Control!$B$10))^AQ5*INDEX($B$13:$M$13,1,MOD(38-1,12)+1)</f>
        <v/>
      </c>
      <c r="AR19" s="34">
        <f>($B19/12)*(1+INDEX($C19:$E19,1,Control!$B$10))^AR5*INDEX($B$13:$M$13,1,MOD(39-1,12)+1)</f>
        <v/>
      </c>
      <c r="AS19" s="34">
        <f>($B19/12)*(1+INDEX($C19:$E19,1,Control!$B$10))^AS5*INDEX($B$13:$M$13,1,MOD(40-1,12)+1)</f>
        <v/>
      </c>
      <c r="AT19" s="34">
        <f>($B19/12)*(1+INDEX($C19:$E19,1,Control!$B$10))^AT5*INDEX($B$13:$M$13,1,MOD(41-1,12)+1)</f>
        <v/>
      </c>
      <c r="AU19" s="34">
        <f>($B19/12)*(1+INDEX($C19:$E19,1,Control!$B$10))^AU5*INDEX($B$13:$M$13,1,MOD(42-1,12)+1)</f>
        <v/>
      </c>
      <c r="AV19" s="34">
        <f>($B19/12)*(1+INDEX($C19:$E19,1,Control!$B$10))^AV5*INDEX($B$13:$M$13,1,MOD(43-1,12)+1)</f>
        <v/>
      </c>
      <c r="AW19" s="34">
        <f>($B19/12)*(1+INDEX($C19:$E19,1,Control!$B$10))^AW5*INDEX($B$13:$M$13,1,MOD(44-1,12)+1)</f>
        <v/>
      </c>
      <c r="AX19" s="34">
        <f>($B19/12)*(1+INDEX($C19:$E19,1,Control!$B$10))^AX5*INDEX($B$13:$M$13,1,MOD(45-1,12)+1)</f>
        <v/>
      </c>
      <c r="AY19" s="34">
        <f>($B19/12)*(1+INDEX($C19:$E19,1,Control!$B$10))^AY5*INDEX($B$13:$M$13,1,MOD(46-1,12)+1)</f>
        <v/>
      </c>
      <c r="AZ19" s="34">
        <f>($B19/12)*(1+INDEX($C19:$E19,1,Control!$B$10))^AZ5*INDEX($B$13:$M$13,1,MOD(47-1,12)+1)</f>
        <v/>
      </c>
      <c r="BA19" s="34">
        <f>($B19/12)*(1+INDEX($C19:$E19,1,Control!$B$10))^BA5*INDEX($B$13:$M$13,1,MOD(48-1,12)+1)</f>
        <v/>
      </c>
      <c r="BB19" s="34">
        <f>($B19/12)*(1+INDEX($C19:$E19,1,Control!$B$10))^BB5*INDEX($B$13:$M$13,1,MOD(49-1,12)+1)</f>
        <v/>
      </c>
      <c r="BC19" s="34">
        <f>($B19/12)*(1+INDEX($C19:$E19,1,Control!$B$10))^BC5*INDEX($B$13:$M$13,1,MOD(50-1,12)+1)</f>
        <v/>
      </c>
      <c r="BD19" s="34">
        <f>($B19/12)*(1+INDEX($C19:$E19,1,Control!$B$10))^BD5*INDEX($B$13:$M$13,1,MOD(51-1,12)+1)</f>
        <v/>
      </c>
      <c r="BE19" s="34">
        <f>($B19/12)*(1+INDEX($C19:$E19,1,Control!$B$10))^BE5*INDEX($B$13:$M$13,1,MOD(52-1,12)+1)</f>
        <v/>
      </c>
      <c r="BF19" s="34">
        <f>($B19/12)*(1+INDEX($C19:$E19,1,Control!$B$10))^BF5*INDEX($B$13:$M$13,1,MOD(53-1,12)+1)</f>
        <v/>
      </c>
      <c r="BG19" s="34">
        <f>($B19/12)*(1+INDEX($C19:$E19,1,Control!$B$10))^BG5*INDEX($B$13:$M$13,1,MOD(54-1,12)+1)</f>
        <v/>
      </c>
      <c r="BH19" s="34">
        <f>($B19/12)*(1+INDEX($C19:$E19,1,Control!$B$10))^BH5*INDEX($B$13:$M$13,1,MOD(55-1,12)+1)</f>
        <v/>
      </c>
      <c r="BI19" s="34">
        <f>($B19/12)*(1+INDEX($C19:$E19,1,Control!$B$10))^BI5*INDEX($B$13:$M$13,1,MOD(56-1,12)+1)</f>
        <v/>
      </c>
      <c r="BJ19" s="34">
        <f>($B19/12)*(1+INDEX($C19:$E19,1,Control!$B$10))^BJ5*INDEX($B$13:$M$13,1,MOD(57-1,12)+1)</f>
        <v/>
      </c>
      <c r="BK19" s="34">
        <f>($B19/12)*(1+INDEX($C19:$E19,1,Control!$B$10))^BK5*INDEX($B$13:$M$13,1,MOD(58-1,12)+1)</f>
        <v/>
      </c>
      <c r="BL19" s="34">
        <f>($B19/12)*(1+INDEX($C19:$E19,1,Control!$B$10))^BL5*INDEX($B$13:$M$13,1,MOD(59-1,12)+1)</f>
        <v/>
      </c>
      <c r="BM19" s="34">
        <f>($B19/12)*(1+INDEX($C19:$E19,1,Control!$B$10))^BM5*INDEX($B$13:$M$13,1,MOD(60-1,12)+1)</f>
        <v/>
      </c>
      <c r="BN19" s="34">
        <f>($B19/12)*(1+INDEX($C19:$E19,1,Control!$B$10))^BN5*INDEX($B$13:$M$13,1,MOD(61-1,12)+1)</f>
        <v/>
      </c>
      <c r="BO19" s="34">
        <f>($B19/12)*(1+INDEX($C19:$E19,1,Control!$B$10))^BO5*INDEX($B$13:$M$13,1,MOD(62-1,12)+1)</f>
        <v/>
      </c>
      <c r="BP19" s="34">
        <f>($B19/12)*(1+INDEX($C19:$E19,1,Control!$B$10))^BP5*INDEX($B$13:$M$13,1,MOD(63-1,12)+1)</f>
        <v/>
      </c>
      <c r="BQ19" s="34">
        <f>($B19/12)*(1+INDEX($C19:$E19,1,Control!$B$10))^BQ5*INDEX($B$13:$M$13,1,MOD(64-1,12)+1)</f>
        <v/>
      </c>
      <c r="BR19" s="34">
        <f>($B19/12)*(1+INDEX($C19:$E19,1,Control!$B$10))^BR5*INDEX($B$13:$M$13,1,MOD(65-1,12)+1)</f>
        <v/>
      </c>
      <c r="BS19" s="34">
        <f>($B19/12)*(1+INDEX($C19:$E19,1,Control!$B$10))^BS5*INDEX($B$13:$M$13,1,MOD(66-1,12)+1)</f>
        <v/>
      </c>
      <c r="BT19" s="34">
        <f>($B19/12)*(1+INDEX($C19:$E19,1,Control!$B$10))^BT5*INDEX($B$13:$M$13,1,MOD(67-1,12)+1)</f>
        <v/>
      </c>
      <c r="BU19" s="34">
        <f>($B19/12)*(1+INDEX($C19:$E19,1,Control!$B$10))^BU5*INDEX($B$13:$M$13,1,MOD(68-1,12)+1)</f>
        <v/>
      </c>
      <c r="BV19" s="34">
        <f>($B19/12)*(1+INDEX($C19:$E19,1,Control!$B$10))^BV5*INDEX($B$13:$M$13,1,MOD(69-1,12)+1)</f>
        <v/>
      </c>
      <c r="BW19" s="34">
        <f>($B19/12)*(1+INDEX($C19:$E19,1,Control!$B$10))^BW5*INDEX($B$13:$M$13,1,MOD(70-1,12)+1)</f>
        <v/>
      </c>
      <c r="BX19" s="34">
        <f>($B19/12)*(1+INDEX($C19:$E19,1,Control!$B$10))^BX5*INDEX($B$13:$M$13,1,MOD(71-1,12)+1)</f>
        <v/>
      </c>
      <c r="BY19" s="34">
        <f>($B19/12)*(1+INDEX($C19:$E19,1,Control!$B$10))^BY5*INDEX($B$13:$M$13,1,MOD(72-1,12)+1)</f>
        <v/>
      </c>
      <c r="BZ19" s="34">
        <f>($B19/12)*(1+INDEX($C19:$E19,1,Control!$B$10))^BZ5*INDEX($B$13:$M$13,1,MOD(73-1,12)+1)</f>
        <v/>
      </c>
      <c r="CA19" s="34">
        <f>($B19/12)*(1+INDEX($C19:$E19,1,Control!$B$10))^CA5*INDEX($B$13:$M$13,1,MOD(74-1,12)+1)</f>
        <v/>
      </c>
      <c r="CB19" s="34">
        <f>($B19/12)*(1+INDEX($C19:$E19,1,Control!$B$10))^CB5*INDEX($B$13:$M$13,1,MOD(75-1,12)+1)</f>
        <v/>
      </c>
      <c r="CC19" s="34">
        <f>($B19/12)*(1+INDEX($C19:$E19,1,Control!$B$10))^CC5*INDEX($B$13:$M$13,1,MOD(76-1,12)+1)</f>
        <v/>
      </c>
      <c r="CD19" s="34">
        <f>($B19/12)*(1+INDEX($C19:$E19,1,Control!$B$10))^CD5*INDEX($B$13:$M$13,1,MOD(77-1,12)+1)</f>
        <v/>
      </c>
      <c r="CE19" s="34">
        <f>($B19/12)*(1+INDEX($C19:$E19,1,Control!$B$10))^CE5*INDEX($B$13:$M$13,1,MOD(78-1,12)+1)</f>
        <v/>
      </c>
      <c r="CF19" s="34">
        <f>($B19/12)*(1+INDEX($C19:$E19,1,Control!$B$10))^CF5*INDEX($B$13:$M$13,1,MOD(79-1,12)+1)</f>
        <v/>
      </c>
      <c r="CG19" s="34">
        <f>($B19/12)*(1+INDEX($C19:$E19,1,Control!$B$10))^CG5*INDEX($B$13:$M$13,1,MOD(80-1,12)+1)</f>
        <v/>
      </c>
      <c r="CH19" s="34">
        <f>($B19/12)*(1+INDEX($C19:$E19,1,Control!$B$10))^CH5*INDEX($B$13:$M$13,1,MOD(81-1,12)+1)</f>
        <v/>
      </c>
      <c r="CI19" s="34">
        <f>($B19/12)*(1+INDEX($C19:$E19,1,Control!$B$10))^CI5*INDEX($B$13:$M$13,1,MOD(82-1,12)+1)</f>
        <v/>
      </c>
      <c r="CJ19" s="34">
        <f>($B19/12)*(1+INDEX($C19:$E19,1,Control!$B$10))^CJ5*INDEX($B$13:$M$13,1,MOD(83-1,12)+1)</f>
        <v/>
      </c>
      <c r="CK19" s="34">
        <f>($B19/12)*(1+INDEX($C19:$E19,1,Control!$B$10))^CK5*INDEX($B$13:$M$13,1,MOD(84-1,12)+1)</f>
        <v/>
      </c>
      <c r="CL19" s="34">
        <f>($B19/12)*(1+INDEX($C19:$E19,1,Control!$B$10))^CL5*INDEX($B$13:$M$13,1,MOD(85-1,12)+1)</f>
        <v/>
      </c>
      <c r="CM19" s="34">
        <f>($B19/12)*(1+INDEX($C19:$E19,1,Control!$B$10))^CM5*INDEX($B$13:$M$13,1,MOD(86-1,12)+1)</f>
        <v/>
      </c>
      <c r="CN19" s="34">
        <f>($B19/12)*(1+INDEX($C19:$E19,1,Control!$B$10))^CN5*INDEX($B$13:$M$13,1,MOD(87-1,12)+1)</f>
        <v/>
      </c>
      <c r="CO19" s="34">
        <f>($B19/12)*(1+INDEX($C19:$E19,1,Control!$B$10))^CO5*INDEX($B$13:$M$13,1,MOD(88-1,12)+1)</f>
        <v/>
      </c>
      <c r="CP19" s="34">
        <f>($B19/12)*(1+INDEX($C19:$E19,1,Control!$B$10))^CP5*INDEX($B$13:$M$13,1,MOD(89-1,12)+1)</f>
        <v/>
      </c>
      <c r="CQ19" s="34">
        <f>($B19/12)*(1+INDEX($C19:$E19,1,Control!$B$10))^CQ5*INDEX($B$13:$M$13,1,MOD(90-1,12)+1)</f>
        <v/>
      </c>
      <c r="CR19" s="34">
        <f>($B19/12)*(1+INDEX($C19:$E19,1,Control!$B$10))^CR5*INDEX($B$13:$M$13,1,MOD(91-1,12)+1)</f>
        <v/>
      </c>
      <c r="CS19" s="34">
        <f>($B19/12)*(1+INDEX($C19:$E19,1,Control!$B$10))^CS5*INDEX($B$13:$M$13,1,MOD(92-1,12)+1)</f>
        <v/>
      </c>
      <c r="CT19" s="34">
        <f>($B19/12)*(1+INDEX($C19:$E19,1,Control!$B$10))^CT5*INDEX($B$13:$M$13,1,MOD(93-1,12)+1)</f>
        <v/>
      </c>
      <c r="CU19" s="34">
        <f>($B19/12)*(1+INDEX($C19:$E19,1,Control!$B$10))^CU5*INDEX($B$13:$M$13,1,MOD(94-1,12)+1)</f>
        <v/>
      </c>
      <c r="CV19" s="34">
        <f>($B19/12)*(1+INDEX($C19:$E19,1,Control!$B$10))^CV5*INDEX($B$13:$M$13,1,MOD(95-1,12)+1)</f>
        <v/>
      </c>
      <c r="CW19" s="34">
        <f>($B19/12)*(1+INDEX($C19:$E19,1,Control!$B$10))^CW5*INDEX($B$13:$M$13,1,MOD(96-1,12)+1)</f>
        <v/>
      </c>
      <c r="CX19" s="34">
        <f>($B19/12)*(1+INDEX($C19:$E19,1,Control!$B$10))^CX5*INDEX($B$13:$M$13,1,MOD(97-1,12)+1)</f>
        <v/>
      </c>
      <c r="CY19" s="34">
        <f>($B19/12)*(1+INDEX($C19:$E19,1,Control!$B$10))^CY5*INDEX($B$13:$M$13,1,MOD(98-1,12)+1)</f>
        <v/>
      </c>
      <c r="CZ19" s="34">
        <f>($B19/12)*(1+INDEX($C19:$E19,1,Control!$B$10))^CZ5*INDEX($B$13:$M$13,1,MOD(99-1,12)+1)</f>
        <v/>
      </c>
      <c r="DA19" s="34">
        <f>($B19/12)*(1+INDEX($C19:$E19,1,Control!$B$10))^DA5*INDEX($B$13:$M$13,1,MOD(100-1,12)+1)</f>
        <v/>
      </c>
      <c r="DB19" s="34">
        <f>($B19/12)*(1+INDEX($C19:$E19,1,Control!$B$10))^DB5*INDEX($B$13:$M$13,1,MOD(101-1,12)+1)</f>
        <v/>
      </c>
      <c r="DC19" s="34">
        <f>($B19/12)*(1+INDEX($C19:$E19,1,Control!$B$10))^DC5*INDEX($B$13:$M$13,1,MOD(102-1,12)+1)</f>
        <v/>
      </c>
      <c r="DD19" s="34">
        <f>($B19/12)*(1+INDEX($C19:$E19,1,Control!$B$10))^DD5*INDEX($B$13:$M$13,1,MOD(103-1,12)+1)</f>
        <v/>
      </c>
      <c r="DE19" s="34">
        <f>($B19/12)*(1+INDEX($C19:$E19,1,Control!$B$10))^DE5*INDEX($B$13:$M$13,1,MOD(104-1,12)+1)</f>
        <v/>
      </c>
      <c r="DF19" s="34">
        <f>($B19/12)*(1+INDEX($C19:$E19,1,Control!$B$10))^DF5*INDEX($B$13:$M$13,1,MOD(105-1,12)+1)</f>
        <v/>
      </c>
      <c r="DG19" s="34">
        <f>($B19/12)*(1+INDEX($C19:$E19,1,Control!$B$10))^DG5*INDEX($B$13:$M$13,1,MOD(106-1,12)+1)</f>
        <v/>
      </c>
      <c r="DH19" s="34">
        <f>($B19/12)*(1+INDEX($C19:$E19,1,Control!$B$10))^DH5*INDEX($B$13:$M$13,1,MOD(107-1,12)+1)</f>
        <v/>
      </c>
      <c r="DI19" s="34">
        <f>($B19/12)*(1+INDEX($C19:$E19,1,Control!$B$10))^DI5*INDEX($B$13:$M$13,1,MOD(108-1,12)+1)</f>
        <v/>
      </c>
      <c r="DJ19" s="34">
        <f>($B19/12)*(1+INDEX($C19:$E19,1,Control!$B$10))^DJ5*INDEX($B$13:$M$13,1,MOD(109-1,12)+1)</f>
        <v/>
      </c>
      <c r="DK19" s="34">
        <f>($B19/12)*(1+INDEX($C19:$E19,1,Control!$B$10))^DK5*INDEX($B$13:$M$13,1,MOD(110-1,12)+1)</f>
        <v/>
      </c>
      <c r="DL19" s="34">
        <f>($B19/12)*(1+INDEX($C19:$E19,1,Control!$B$10))^DL5*INDEX($B$13:$M$13,1,MOD(111-1,12)+1)</f>
        <v/>
      </c>
      <c r="DM19" s="34">
        <f>($B19/12)*(1+INDEX($C19:$E19,1,Control!$B$10))^DM5*INDEX($B$13:$M$13,1,MOD(112-1,12)+1)</f>
        <v/>
      </c>
      <c r="DN19" s="34">
        <f>($B19/12)*(1+INDEX($C19:$E19,1,Control!$B$10))^DN5*INDEX($B$13:$M$13,1,MOD(113-1,12)+1)</f>
        <v/>
      </c>
      <c r="DO19" s="34">
        <f>($B19/12)*(1+INDEX($C19:$E19,1,Control!$B$10))^DO5*INDEX($B$13:$M$13,1,MOD(114-1,12)+1)</f>
        <v/>
      </c>
      <c r="DP19" s="34">
        <f>($B19/12)*(1+INDEX($C19:$E19,1,Control!$B$10))^DP5*INDEX($B$13:$M$13,1,MOD(115-1,12)+1)</f>
        <v/>
      </c>
      <c r="DQ19" s="34">
        <f>($B19/12)*(1+INDEX($C19:$E19,1,Control!$B$10))^DQ5*INDEX($B$13:$M$13,1,MOD(116-1,12)+1)</f>
        <v/>
      </c>
      <c r="DR19" s="34">
        <f>($B19/12)*(1+INDEX($C19:$E19,1,Control!$B$10))^DR5*INDEX($B$13:$M$13,1,MOD(117-1,12)+1)</f>
        <v/>
      </c>
      <c r="DS19" s="34">
        <f>($B19/12)*(1+INDEX($C19:$E19,1,Control!$B$10))^DS5*INDEX($B$13:$M$13,1,MOD(118-1,12)+1)</f>
        <v/>
      </c>
      <c r="DT19" s="34">
        <f>($B19/12)*(1+INDEX($C19:$E19,1,Control!$B$10))^DT5*INDEX($B$13:$M$13,1,MOD(119-1,12)+1)</f>
        <v/>
      </c>
      <c r="DU19" s="34">
        <f>($B19/12)*(1+INDEX($C19:$E19,1,Control!$B$10))^DU5*INDEX($B$13:$M$13,1,MOD(120-1,12)+1)</f>
        <v/>
      </c>
    </row>
    <row r="20">
      <c r="A20" t="inlineStr">
        <is>
          <t>SkyBrew-Bottles-OffTrade</t>
        </is>
      </c>
      <c r="B20" s="33" t="n">
        <v>80000</v>
      </c>
      <c r="C20" s="22" t="n">
        <v>0.03</v>
      </c>
      <c r="D20" s="22" t="n">
        <v>0.05</v>
      </c>
      <c r="E20" s="22" t="n">
        <v>0.01</v>
      </c>
      <c r="F20" s="34">
        <f>($B20/12)*(1+INDEX($C20:$E20,1,Control!$B$10))^F5*INDEX($B$13:$M$13,1,MOD(1-1,12)+1)</f>
        <v/>
      </c>
      <c r="G20" s="34">
        <f>($B20/12)*(1+INDEX($C20:$E20,1,Control!$B$10))^G5*INDEX($B$13:$M$13,1,MOD(2-1,12)+1)</f>
        <v/>
      </c>
      <c r="H20" s="34">
        <f>($B20/12)*(1+INDEX($C20:$E20,1,Control!$B$10))^H5*INDEX($B$13:$M$13,1,MOD(3-1,12)+1)</f>
        <v/>
      </c>
      <c r="I20" s="34">
        <f>($B20/12)*(1+INDEX($C20:$E20,1,Control!$B$10))^I5*INDEX($B$13:$M$13,1,MOD(4-1,12)+1)</f>
        <v/>
      </c>
      <c r="J20" s="34">
        <f>($B20/12)*(1+INDEX($C20:$E20,1,Control!$B$10))^J5*INDEX($B$13:$M$13,1,MOD(5-1,12)+1)</f>
        <v/>
      </c>
      <c r="K20" s="34">
        <f>($B20/12)*(1+INDEX($C20:$E20,1,Control!$B$10))^K5*INDEX($B$13:$M$13,1,MOD(6-1,12)+1)</f>
        <v/>
      </c>
      <c r="L20" s="34">
        <f>($B20/12)*(1+INDEX($C20:$E20,1,Control!$B$10))^L5*INDEX($B$13:$M$13,1,MOD(7-1,12)+1)</f>
        <v/>
      </c>
      <c r="M20" s="34">
        <f>($B20/12)*(1+INDEX($C20:$E20,1,Control!$B$10))^M5*INDEX($B$13:$M$13,1,MOD(8-1,12)+1)</f>
        <v/>
      </c>
      <c r="N20" s="34">
        <f>($B20/12)*(1+INDEX($C20:$E20,1,Control!$B$10))^N5*INDEX($B$13:$M$13,1,MOD(9-1,12)+1)</f>
        <v/>
      </c>
      <c r="O20" s="34">
        <f>($B20/12)*(1+INDEX($C20:$E20,1,Control!$B$10))^O5*INDEX($B$13:$M$13,1,MOD(10-1,12)+1)</f>
        <v/>
      </c>
      <c r="P20" s="34">
        <f>($B20/12)*(1+INDEX($C20:$E20,1,Control!$B$10))^P5*INDEX($B$13:$M$13,1,MOD(11-1,12)+1)</f>
        <v/>
      </c>
      <c r="Q20" s="34">
        <f>($B20/12)*(1+INDEX($C20:$E20,1,Control!$B$10))^Q5*INDEX($B$13:$M$13,1,MOD(12-1,12)+1)</f>
        <v/>
      </c>
      <c r="R20" s="34">
        <f>($B20/12)*(1+INDEX($C20:$E20,1,Control!$B$10))^R5*INDEX($B$13:$M$13,1,MOD(13-1,12)+1)</f>
        <v/>
      </c>
      <c r="S20" s="34">
        <f>($B20/12)*(1+INDEX($C20:$E20,1,Control!$B$10))^S5*INDEX($B$13:$M$13,1,MOD(14-1,12)+1)</f>
        <v/>
      </c>
      <c r="T20" s="34">
        <f>($B20/12)*(1+INDEX($C20:$E20,1,Control!$B$10))^T5*INDEX($B$13:$M$13,1,MOD(15-1,12)+1)</f>
        <v/>
      </c>
      <c r="U20" s="34">
        <f>($B20/12)*(1+INDEX($C20:$E20,1,Control!$B$10))^U5*INDEX($B$13:$M$13,1,MOD(16-1,12)+1)</f>
        <v/>
      </c>
      <c r="V20" s="34">
        <f>($B20/12)*(1+INDEX($C20:$E20,1,Control!$B$10))^V5*INDEX($B$13:$M$13,1,MOD(17-1,12)+1)</f>
        <v/>
      </c>
      <c r="W20" s="34">
        <f>($B20/12)*(1+INDEX($C20:$E20,1,Control!$B$10))^W5*INDEX($B$13:$M$13,1,MOD(18-1,12)+1)</f>
        <v/>
      </c>
      <c r="X20" s="34">
        <f>($B20/12)*(1+INDEX($C20:$E20,1,Control!$B$10))^X5*INDEX($B$13:$M$13,1,MOD(19-1,12)+1)</f>
        <v/>
      </c>
      <c r="Y20" s="34">
        <f>($B20/12)*(1+INDEX($C20:$E20,1,Control!$B$10))^Y5*INDEX($B$13:$M$13,1,MOD(20-1,12)+1)</f>
        <v/>
      </c>
      <c r="Z20" s="34">
        <f>($B20/12)*(1+INDEX($C20:$E20,1,Control!$B$10))^Z5*INDEX($B$13:$M$13,1,MOD(21-1,12)+1)</f>
        <v/>
      </c>
      <c r="AA20" s="34">
        <f>($B20/12)*(1+INDEX($C20:$E20,1,Control!$B$10))^AA5*INDEX($B$13:$M$13,1,MOD(22-1,12)+1)</f>
        <v/>
      </c>
      <c r="AB20" s="34">
        <f>($B20/12)*(1+INDEX($C20:$E20,1,Control!$B$10))^AB5*INDEX($B$13:$M$13,1,MOD(23-1,12)+1)</f>
        <v/>
      </c>
      <c r="AC20" s="34">
        <f>($B20/12)*(1+INDEX($C20:$E20,1,Control!$B$10))^AC5*INDEX($B$13:$M$13,1,MOD(24-1,12)+1)</f>
        <v/>
      </c>
      <c r="AD20" s="34">
        <f>($B20/12)*(1+INDEX($C20:$E20,1,Control!$B$10))^AD5*INDEX($B$13:$M$13,1,MOD(25-1,12)+1)</f>
        <v/>
      </c>
      <c r="AE20" s="34">
        <f>($B20/12)*(1+INDEX($C20:$E20,1,Control!$B$10))^AE5*INDEX($B$13:$M$13,1,MOD(26-1,12)+1)</f>
        <v/>
      </c>
      <c r="AF20" s="34">
        <f>($B20/12)*(1+INDEX($C20:$E20,1,Control!$B$10))^AF5*INDEX($B$13:$M$13,1,MOD(27-1,12)+1)</f>
        <v/>
      </c>
      <c r="AG20" s="34">
        <f>($B20/12)*(1+INDEX($C20:$E20,1,Control!$B$10))^AG5*INDEX($B$13:$M$13,1,MOD(28-1,12)+1)</f>
        <v/>
      </c>
      <c r="AH20" s="34">
        <f>($B20/12)*(1+INDEX($C20:$E20,1,Control!$B$10))^AH5*INDEX($B$13:$M$13,1,MOD(29-1,12)+1)</f>
        <v/>
      </c>
      <c r="AI20" s="34">
        <f>($B20/12)*(1+INDEX($C20:$E20,1,Control!$B$10))^AI5*INDEX($B$13:$M$13,1,MOD(30-1,12)+1)</f>
        <v/>
      </c>
      <c r="AJ20" s="34">
        <f>($B20/12)*(1+INDEX($C20:$E20,1,Control!$B$10))^AJ5*INDEX($B$13:$M$13,1,MOD(31-1,12)+1)</f>
        <v/>
      </c>
      <c r="AK20" s="34">
        <f>($B20/12)*(1+INDEX($C20:$E20,1,Control!$B$10))^AK5*INDEX($B$13:$M$13,1,MOD(32-1,12)+1)</f>
        <v/>
      </c>
      <c r="AL20" s="34">
        <f>($B20/12)*(1+INDEX($C20:$E20,1,Control!$B$10))^AL5*INDEX($B$13:$M$13,1,MOD(33-1,12)+1)</f>
        <v/>
      </c>
      <c r="AM20" s="34">
        <f>($B20/12)*(1+INDEX($C20:$E20,1,Control!$B$10))^AM5*INDEX($B$13:$M$13,1,MOD(34-1,12)+1)</f>
        <v/>
      </c>
      <c r="AN20" s="34">
        <f>($B20/12)*(1+INDEX($C20:$E20,1,Control!$B$10))^AN5*INDEX($B$13:$M$13,1,MOD(35-1,12)+1)</f>
        <v/>
      </c>
      <c r="AO20" s="34">
        <f>($B20/12)*(1+INDEX($C20:$E20,1,Control!$B$10))^AO5*INDEX($B$13:$M$13,1,MOD(36-1,12)+1)</f>
        <v/>
      </c>
      <c r="AP20" s="34">
        <f>($B20/12)*(1+INDEX($C20:$E20,1,Control!$B$10))^AP5*INDEX($B$13:$M$13,1,MOD(37-1,12)+1)</f>
        <v/>
      </c>
      <c r="AQ20" s="34">
        <f>($B20/12)*(1+INDEX($C20:$E20,1,Control!$B$10))^AQ5*INDEX($B$13:$M$13,1,MOD(38-1,12)+1)</f>
        <v/>
      </c>
      <c r="AR20" s="34">
        <f>($B20/12)*(1+INDEX($C20:$E20,1,Control!$B$10))^AR5*INDEX($B$13:$M$13,1,MOD(39-1,12)+1)</f>
        <v/>
      </c>
      <c r="AS20" s="34">
        <f>($B20/12)*(1+INDEX($C20:$E20,1,Control!$B$10))^AS5*INDEX($B$13:$M$13,1,MOD(40-1,12)+1)</f>
        <v/>
      </c>
      <c r="AT20" s="34">
        <f>($B20/12)*(1+INDEX($C20:$E20,1,Control!$B$10))^AT5*INDEX($B$13:$M$13,1,MOD(41-1,12)+1)</f>
        <v/>
      </c>
      <c r="AU20" s="34">
        <f>($B20/12)*(1+INDEX($C20:$E20,1,Control!$B$10))^AU5*INDEX($B$13:$M$13,1,MOD(42-1,12)+1)</f>
        <v/>
      </c>
      <c r="AV20" s="34">
        <f>($B20/12)*(1+INDEX($C20:$E20,1,Control!$B$10))^AV5*INDEX($B$13:$M$13,1,MOD(43-1,12)+1)</f>
        <v/>
      </c>
      <c r="AW20" s="34">
        <f>($B20/12)*(1+INDEX($C20:$E20,1,Control!$B$10))^AW5*INDEX($B$13:$M$13,1,MOD(44-1,12)+1)</f>
        <v/>
      </c>
      <c r="AX20" s="34">
        <f>($B20/12)*(1+INDEX($C20:$E20,1,Control!$B$10))^AX5*INDEX($B$13:$M$13,1,MOD(45-1,12)+1)</f>
        <v/>
      </c>
      <c r="AY20" s="34">
        <f>($B20/12)*(1+INDEX($C20:$E20,1,Control!$B$10))^AY5*INDEX($B$13:$M$13,1,MOD(46-1,12)+1)</f>
        <v/>
      </c>
      <c r="AZ20" s="34">
        <f>($B20/12)*(1+INDEX($C20:$E20,1,Control!$B$10))^AZ5*INDEX($B$13:$M$13,1,MOD(47-1,12)+1)</f>
        <v/>
      </c>
      <c r="BA20" s="34">
        <f>($B20/12)*(1+INDEX($C20:$E20,1,Control!$B$10))^BA5*INDEX($B$13:$M$13,1,MOD(48-1,12)+1)</f>
        <v/>
      </c>
      <c r="BB20" s="34">
        <f>($B20/12)*(1+INDEX($C20:$E20,1,Control!$B$10))^BB5*INDEX($B$13:$M$13,1,MOD(49-1,12)+1)</f>
        <v/>
      </c>
      <c r="BC20" s="34">
        <f>($B20/12)*(1+INDEX($C20:$E20,1,Control!$B$10))^BC5*INDEX($B$13:$M$13,1,MOD(50-1,12)+1)</f>
        <v/>
      </c>
      <c r="BD20" s="34">
        <f>($B20/12)*(1+INDEX($C20:$E20,1,Control!$B$10))^BD5*INDEX($B$13:$M$13,1,MOD(51-1,12)+1)</f>
        <v/>
      </c>
      <c r="BE20" s="34">
        <f>($B20/12)*(1+INDEX($C20:$E20,1,Control!$B$10))^BE5*INDEX($B$13:$M$13,1,MOD(52-1,12)+1)</f>
        <v/>
      </c>
      <c r="BF20" s="34">
        <f>($B20/12)*(1+INDEX($C20:$E20,1,Control!$B$10))^BF5*INDEX($B$13:$M$13,1,MOD(53-1,12)+1)</f>
        <v/>
      </c>
      <c r="BG20" s="34">
        <f>($B20/12)*(1+INDEX($C20:$E20,1,Control!$B$10))^BG5*INDEX($B$13:$M$13,1,MOD(54-1,12)+1)</f>
        <v/>
      </c>
      <c r="BH20" s="34">
        <f>($B20/12)*(1+INDEX($C20:$E20,1,Control!$B$10))^BH5*INDEX($B$13:$M$13,1,MOD(55-1,12)+1)</f>
        <v/>
      </c>
      <c r="BI20" s="34">
        <f>($B20/12)*(1+INDEX($C20:$E20,1,Control!$B$10))^BI5*INDEX($B$13:$M$13,1,MOD(56-1,12)+1)</f>
        <v/>
      </c>
      <c r="BJ20" s="34">
        <f>($B20/12)*(1+INDEX($C20:$E20,1,Control!$B$10))^BJ5*INDEX($B$13:$M$13,1,MOD(57-1,12)+1)</f>
        <v/>
      </c>
      <c r="BK20" s="34">
        <f>($B20/12)*(1+INDEX($C20:$E20,1,Control!$B$10))^BK5*INDEX($B$13:$M$13,1,MOD(58-1,12)+1)</f>
        <v/>
      </c>
      <c r="BL20" s="34">
        <f>($B20/12)*(1+INDEX($C20:$E20,1,Control!$B$10))^BL5*INDEX($B$13:$M$13,1,MOD(59-1,12)+1)</f>
        <v/>
      </c>
      <c r="BM20" s="34">
        <f>($B20/12)*(1+INDEX($C20:$E20,1,Control!$B$10))^BM5*INDEX($B$13:$M$13,1,MOD(60-1,12)+1)</f>
        <v/>
      </c>
      <c r="BN20" s="34">
        <f>($B20/12)*(1+INDEX($C20:$E20,1,Control!$B$10))^BN5*INDEX($B$13:$M$13,1,MOD(61-1,12)+1)</f>
        <v/>
      </c>
      <c r="BO20" s="34">
        <f>($B20/12)*(1+INDEX($C20:$E20,1,Control!$B$10))^BO5*INDEX($B$13:$M$13,1,MOD(62-1,12)+1)</f>
        <v/>
      </c>
      <c r="BP20" s="34">
        <f>($B20/12)*(1+INDEX($C20:$E20,1,Control!$B$10))^BP5*INDEX($B$13:$M$13,1,MOD(63-1,12)+1)</f>
        <v/>
      </c>
      <c r="BQ20" s="34">
        <f>($B20/12)*(1+INDEX($C20:$E20,1,Control!$B$10))^BQ5*INDEX($B$13:$M$13,1,MOD(64-1,12)+1)</f>
        <v/>
      </c>
      <c r="BR20" s="34">
        <f>($B20/12)*(1+INDEX($C20:$E20,1,Control!$B$10))^BR5*INDEX($B$13:$M$13,1,MOD(65-1,12)+1)</f>
        <v/>
      </c>
      <c r="BS20" s="34">
        <f>($B20/12)*(1+INDEX($C20:$E20,1,Control!$B$10))^BS5*INDEX($B$13:$M$13,1,MOD(66-1,12)+1)</f>
        <v/>
      </c>
      <c r="BT20" s="34">
        <f>($B20/12)*(1+INDEX($C20:$E20,1,Control!$B$10))^BT5*INDEX($B$13:$M$13,1,MOD(67-1,12)+1)</f>
        <v/>
      </c>
      <c r="BU20" s="34">
        <f>($B20/12)*(1+INDEX($C20:$E20,1,Control!$B$10))^BU5*INDEX($B$13:$M$13,1,MOD(68-1,12)+1)</f>
        <v/>
      </c>
      <c r="BV20" s="34">
        <f>($B20/12)*(1+INDEX($C20:$E20,1,Control!$B$10))^BV5*INDEX($B$13:$M$13,1,MOD(69-1,12)+1)</f>
        <v/>
      </c>
      <c r="BW20" s="34">
        <f>($B20/12)*(1+INDEX($C20:$E20,1,Control!$B$10))^BW5*INDEX($B$13:$M$13,1,MOD(70-1,12)+1)</f>
        <v/>
      </c>
      <c r="BX20" s="34">
        <f>($B20/12)*(1+INDEX($C20:$E20,1,Control!$B$10))^BX5*INDEX($B$13:$M$13,1,MOD(71-1,12)+1)</f>
        <v/>
      </c>
      <c r="BY20" s="34">
        <f>($B20/12)*(1+INDEX($C20:$E20,1,Control!$B$10))^BY5*INDEX($B$13:$M$13,1,MOD(72-1,12)+1)</f>
        <v/>
      </c>
      <c r="BZ20" s="34">
        <f>($B20/12)*(1+INDEX($C20:$E20,1,Control!$B$10))^BZ5*INDEX($B$13:$M$13,1,MOD(73-1,12)+1)</f>
        <v/>
      </c>
      <c r="CA20" s="34">
        <f>($B20/12)*(1+INDEX($C20:$E20,1,Control!$B$10))^CA5*INDEX($B$13:$M$13,1,MOD(74-1,12)+1)</f>
        <v/>
      </c>
      <c r="CB20" s="34">
        <f>($B20/12)*(1+INDEX($C20:$E20,1,Control!$B$10))^CB5*INDEX($B$13:$M$13,1,MOD(75-1,12)+1)</f>
        <v/>
      </c>
      <c r="CC20" s="34">
        <f>($B20/12)*(1+INDEX($C20:$E20,1,Control!$B$10))^CC5*INDEX($B$13:$M$13,1,MOD(76-1,12)+1)</f>
        <v/>
      </c>
      <c r="CD20" s="34">
        <f>($B20/12)*(1+INDEX($C20:$E20,1,Control!$B$10))^CD5*INDEX($B$13:$M$13,1,MOD(77-1,12)+1)</f>
        <v/>
      </c>
      <c r="CE20" s="34">
        <f>($B20/12)*(1+INDEX($C20:$E20,1,Control!$B$10))^CE5*INDEX($B$13:$M$13,1,MOD(78-1,12)+1)</f>
        <v/>
      </c>
      <c r="CF20" s="34">
        <f>($B20/12)*(1+INDEX($C20:$E20,1,Control!$B$10))^CF5*INDEX($B$13:$M$13,1,MOD(79-1,12)+1)</f>
        <v/>
      </c>
      <c r="CG20" s="34">
        <f>($B20/12)*(1+INDEX($C20:$E20,1,Control!$B$10))^CG5*INDEX($B$13:$M$13,1,MOD(80-1,12)+1)</f>
        <v/>
      </c>
      <c r="CH20" s="34">
        <f>($B20/12)*(1+INDEX($C20:$E20,1,Control!$B$10))^CH5*INDEX($B$13:$M$13,1,MOD(81-1,12)+1)</f>
        <v/>
      </c>
      <c r="CI20" s="34">
        <f>($B20/12)*(1+INDEX($C20:$E20,1,Control!$B$10))^CI5*INDEX($B$13:$M$13,1,MOD(82-1,12)+1)</f>
        <v/>
      </c>
      <c r="CJ20" s="34">
        <f>($B20/12)*(1+INDEX($C20:$E20,1,Control!$B$10))^CJ5*INDEX($B$13:$M$13,1,MOD(83-1,12)+1)</f>
        <v/>
      </c>
      <c r="CK20" s="34">
        <f>($B20/12)*(1+INDEX($C20:$E20,1,Control!$B$10))^CK5*INDEX($B$13:$M$13,1,MOD(84-1,12)+1)</f>
        <v/>
      </c>
      <c r="CL20" s="34">
        <f>($B20/12)*(1+INDEX($C20:$E20,1,Control!$B$10))^CL5*INDEX($B$13:$M$13,1,MOD(85-1,12)+1)</f>
        <v/>
      </c>
      <c r="CM20" s="34">
        <f>($B20/12)*(1+INDEX($C20:$E20,1,Control!$B$10))^CM5*INDEX($B$13:$M$13,1,MOD(86-1,12)+1)</f>
        <v/>
      </c>
      <c r="CN20" s="34">
        <f>($B20/12)*(1+INDEX($C20:$E20,1,Control!$B$10))^CN5*INDEX($B$13:$M$13,1,MOD(87-1,12)+1)</f>
        <v/>
      </c>
      <c r="CO20" s="34">
        <f>($B20/12)*(1+INDEX($C20:$E20,1,Control!$B$10))^CO5*INDEX($B$13:$M$13,1,MOD(88-1,12)+1)</f>
        <v/>
      </c>
      <c r="CP20" s="34">
        <f>($B20/12)*(1+INDEX($C20:$E20,1,Control!$B$10))^CP5*INDEX($B$13:$M$13,1,MOD(89-1,12)+1)</f>
        <v/>
      </c>
      <c r="CQ20" s="34">
        <f>($B20/12)*(1+INDEX($C20:$E20,1,Control!$B$10))^CQ5*INDEX($B$13:$M$13,1,MOD(90-1,12)+1)</f>
        <v/>
      </c>
      <c r="CR20" s="34">
        <f>($B20/12)*(1+INDEX($C20:$E20,1,Control!$B$10))^CR5*INDEX($B$13:$M$13,1,MOD(91-1,12)+1)</f>
        <v/>
      </c>
      <c r="CS20" s="34">
        <f>($B20/12)*(1+INDEX($C20:$E20,1,Control!$B$10))^CS5*INDEX($B$13:$M$13,1,MOD(92-1,12)+1)</f>
        <v/>
      </c>
      <c r="CT20" s="34">
        <f>($B20/12)*(1+INDEX($C20:$E20,1,Control!$B$10))^CT5*INDEX($B$13:$M$13,1,MOD(93-1,12)+1)</f>
        <v/>
      </c>
      <c r="CU20" s="34">
        <f>($B20/12)*(1+INDEX($C20:$E20,1,Control!$B$10))^CU5*INDEX($B$13:$M$13,1,MOD(94-1,12)+1)</f>
        <v/>
      </c>
      <c r="CV20" s="34">
        <f>($B20/12)*(1+INDEX($C20:$E20,1,Control!$B$10))^CV5*INDEX($B$13:$M$13,1,MOD(95-1,12)+1)</f>
        <v/>
      </c>
      <c r="CW20" s="34">
        <f>($B20/12)*(1+INDEX($C20:$E20,1,Control!$B$10))^CW5*INDEX($B$13:$M$13,1,MOD(96-1,12)+1)</f>
        <v/>
      </c>
      <c r="CX20" s="34">
        <f>($B20/12)*(1+INDEX($C20:$E20,1,Control!$B$10))^CX5*INDEX($B$13:$M$13,1,MOD(97-1,12)+1)</f>
        <v/>
      </c>
      <c r="CY20" s="34">
        <f>($B20/12)*(1+INDEX($C20:$E20,1,Control!$B$10))^CY5*INDEX($B$13:$M$13,1,MOD(98-1,12)+1)</f>
        <v/>
      </c>
      <c r="CZ20" s="34">
        <f>($B20/12)*(1+INDEX($C20:$E20,1,Control!$B$10))^CZ5*INDEX($B$13:$M$13,1,MOD(99-1,12)+1)</f>
        <v/>
      </c>
      <c r="DA20" s="34">
        <f>($B20/12)*(1+INDEX($C20:$E20,1,Control!$B$10))^DA5*INDEX($B$13:$M$13,1,MOD(100-1,12)+1)</f>
        <v/>
      </c>
      <c r="DB20" s="34">
        <f>($B20/12)*(1+INDEX($C20:$E20,1,Control!$B$10))^DB5*INDEX($B$13:$M$13,1,MOD(101-1,12)+1)</f>
        <v/>
      </c>
      <c r="DC20" s="34">
        <f>($B20/12)*(1+INDEX($C20:$E20,1,Control!$B$10))^DC5*INDEX($B$13:$M$13,1,MOD(102-1,12)+1)</f>
        <v/>
      </c>
      <c r="DD20" s="34">
        <f>($B20/12)*(1+INDEX($C20:$E20,1,Control!$B$10))^DD5*INDEX($B$13:$M$13,1,MOD(103-1,12)+1)</f>
        <v/>
      </c>
      <c r="DE20" s="34">
        <f>($B20/12)*(1+INDEX($C20:$E20,1,Control!$B$10))^DE5*INDEX($B$13:$M$13,1,MOD(104-1,12)+1)</f>
        <v/>
      </c>
      <c r="DF20" s="34">
        <f>($B20/12)*(1+INDEX($C20:$E20,1,Control!$B$10))^DF5*INDEX($B$13:$M$13,1,MOD(105-1,12)+1)</f>
        <v/>
      </c>
      <c r="DG20" s="34">
        <f>($B20/12)*(1+INDEX($C20:$E20,1,Control!$B$10))^DG5*INDEX($B$13:$M$13,1,MOD(106-1,12)+1)</f>
        <v/>
      </c>
      <c r="DH20" s="34">
        <f>($B20/12)*(1+INDEX($C20:$E20,1,Control!$B$10))^DH5*INDEX($B$13:$M$13,1,MOD(107-1,12)+1)</f>
        <v/>
      </c>
      <c r="DI20" s="34">
        <f>($B20/12)*(1+INDEX($C20:$E20,1,Control!$B$10))^DI5*INDEX($B$13:$M$13,1,MOD(108-1,12)+1)</f>
        <v/>
      </c>
      <c r="DJ20" s="34">
        <f>($B20/12)*(1+INDEX($C20:$E20,1,Control!$B$10))^DJ5*INDEX($B$13:$M$13,1,MOD(109-1,12)+1)</f>
        <v/>
      </c>
      <c r="DK20" s="34">
        <f>($B20/12)*(1+INDEX($C20:$E20,1,Control!$B$10))^DK5*INDEX($B$13:$M$13,1,MOD(110-1,12)+1)</f>
        <v/>
      </c>
      <c r="DL20" s="34">
        <f>($B20/12)*(1+INDEX($C20:$E20,1,Control!$B$10))^DL5*INDEX($B$13:$M$13,1,MOD(111-1,12)+1)</f>
        <v/>
      </c>
      <c r="DM20" s="34">
        <f>($B20/12)*(1+INDEX($C20:$E20,1,Control!$B$10))^DM5*INDEX($B$13:$M$13,1,MOD(112-1,12)+1)</f>
        <v/>
      </c>
      <c r="DN20" s="34">
        <f>($B20/12)*(1+INDEX($C20:$E20,1,Control!$B$10))^DN5*INDEX($B$13:$M$13,1,MOD(113-1,12)+1)</f>
        <v/>
      </c>
      <c r="DO20" s="34">
        <f>($B20/12)*(1+INDEX($C20:$E20,1,Control!$B$10))^DO5*INDEX($B$13:$M$13,1,MOD(114-1,12)+1)</f>
        <v/>
      </c>
      <c r="DP20" s="34">
        <f>($B20/12)*(1+INDEX($C20:$E20,1,Control!$B$10))^DP5*INDEX($B$13:$M$13,1,MOD(115-1,12)+1)</f>
        <v/>
      </c>
      <c r="DQ20" s="34">
        <f>($B20/12)*(1+INDEX($C20:$E20,1,Control!$B$10))^DQ5*INDEX($B$13:$M$13,1,MOD(116-1,12)+1)</f>
        <v/>
      </c>
      <c r="DR20" s="34">
        <f>($B20/12)*(1+INDEX($C20:$E20,1,Control!$B$10))^DR5*INDEX($B$13:$M$13,1,MOD(117-1,12)+1)</f>
        <v/>
      </c>
      <c r="DS20" s="34">
        <f>($B20/12)*(1+INDEX($C20:$E20,1,Control!$B$10))^DS5*INDEX($B$13:$M$13,1,MOD(118-1,12)+1)</f>
        <v/>
      </c>
      <c r="DT20" s="34">
        <f>($B20/12)*(1+INDEX($C20:$E20,1,Control!$B$10))^DT5*INDEX($B$13:$M$13,1,MOD(119-1,12)+1)</f>
        <v/>
      </c>
      <c r="DU20" s="34">
        <f>($B20/12)*(1+INDEX($C20:$E20,1,Control!$B$10))^DU5*INDEX($B$13:$M$13,1,MOD(120-1,12)+1)</f>
        <v/>
      </c>
    </row>
    <row r="21">
      <c r="A21" t="inlineStr">
        <is>
          <t>SkyBrew-Cans-OnTrade</t>
        </is>
      </c>
      <c r="B21" s="33" t="n">
        <v>20000</v>
      </c>
      <c r="C21" s="22" t="n">
        <v>0.03</v>
      </c>
      <c r="D21" s="22" t="n">
        <v>0.05</v>
      </c>
      <c r="E21" s="22" t="n">
        <v>0.01</v>
      </c>
      <c r="F21" s="34">
        <f>($B21/12)*(1+INDEX($C21:$E21,1,Control!$B$10))^F5*INDEX($B$13:$M$13,1,MOD(1-1,12)+1)</f>
        <v/>
      </c>
      <c r="G21" s="34">
        <f>($B21/12)*(1+INDEX($C21:$E21,1,Control!$B$10))^G5*INDEX($B$13:$M$13,1,MOD(2-1,12)+1)</f>
        <v/>
      </c>
      <c r="H21" s="34">
        <f>($B21/12)*(1+INDEX($C21:$E21,1,Control!$B$10))^H5*INDEX($B$13:$M$13,1,MOD(3-1,12)+1)</f>
        <v/>
      </c>
      <c r="I21" s="34">
        <f>($B21/12)*(1+INDEX($C21:$E21,1,Control!$B$10))^I5*INDEX($B$13:$M$13,1,MOD(4-1,12)+1)</f>
        <v/>
      </c>
      <c r="J21" s="34">
        <f>($B21/12)*(1+INDEX($C21:$E21,1,Control!$B$10))^J5*INDEX($B$13:$M$13,1,MOD(5-1,12)+1)</f>
        <v/>
      </c>
      <c r="K21" s="34">
        <f>($B21/12)*(1+INDEX($C21:$E21,1,Control!$B$10))^K5*INDEX($B$13:$M$13,1,MOD(6-1,12)+1)</f>
        <v/>
      </c>
      <c r="L21" s="34">
        <f>($B21/12)*(1+INDEX($C21:$E21,1,Control!$B$10))^L5*INDEX($B$13:$M$13,1,MOD(7-1,12)+1)</f>
        <v/>
      </c>
      <c r="M21" s="34">
        <f>($B21/12)*(1+INDEX($C21:$E21,1,Control!$B$10))^M5*INDEX($B$13:$M$13,1,MOD(8-1,12)+1)</f>
        <v/>
      </c>
      <c r="N21" s="34">
        <f>($B21/12)*(1+INDEX($C21:$E21,1,Control!$B$10))^N5*INDEX($B$13:$M$13,1,MOD(9-1,12)+1)</f>
        <v/>
      </c>
      <c r="O21" s="34">
        <f>($B21/12)*(1+INDEX($C21:$E21,1,Control!$B$10))^O5*INDEX($B$13:$M$13,1,MOD(10-1,12)+1)</f>
        <v/>
      </c>
      <c r="P21" s="34">
        <f>($B21/12)*(1+INDEX($C21:$E21,1,Control!$B$10))^P5*INDEX($B$13:$M$13,1,MOD(11-1,12)+1)</f>
        <v/>
      </c>
      <c r="Q21" s="34">
        <f>($B21/12)*(1+INDEX($C21:$E21,1,Control!$B$10))^Q5*INDEX($B$13:$M$13,1,MOD(12-1,12)+1)</f>
        <v/>
      </c>
      <c r="R21" s="34">
        <f>($B21/12)*(1+INDEX($C21:$E21,1,Control!$B$10))^R5*INDEX($B$13:$M$13,1,MOD(13-1,12)+1)</f>
        <v/>
      </c>
      <c r="S21" s="34">
        <f>($B21/12)*(1+INDEX($C21:$E21,1,Control!$B$10))^S5*INDEX($B$13:$M$13,1,MOD(14-1,12)+1)</f>
        <v/>
      </c>
      <c r="T21" s="34">
        <f>($B21/12)*(1+INDEX($C21:$E21,1,Control!$B$10))^T5*INDEX($B$13:$M$13,1,MOD(15-1,12)+1)</f>
        <v/>
      </c>
      <c r="U21" s="34">
        <f>($B21/12)*(1+INDEX($C21:$E21,1,Control!$B$10))^U5*INDEX($B$13:$M$13,1,MOD(16-1,12)+1)</f>
        <v/>
      </c>
      <c r="V21" s="34">
        <f>($B21/12)*(1+INDEX($C21:$E21,1,Control!$B$10))^V5*INDEX($B$13:$M$13,1,MOD(17-1,12)+1)</f>
        <v/>
      </c>
      <c r="W21" s="34">
        <f>($B21/12)*(1+INDEX($C21:$E21,1,Control!$B$10))^W5*INDEX($B$13:$M$13,1,MOD(18-1,12)+1)</f>
        <v/>
      </c>
      <c r="X21" s="34">
        <f>($B21/12)*(1+INDEX($C21:$E21,1,Control!$B$10))^X5*INDEX($B$13:$M$13,1,MOD(19-1,12)+1)</f>
        <v/>
      </c>
      <c r="Y21" s="34">
        <f>($B21/12)*(1+INDEX($C21:$E21,1,Control!$B$10))^Y5*INDEX($B$13:$M$13,1,MOD(20-1,12)+1)</f>
        <v/>
      </c>
      <c r="Z21" s="34">
        <f>($B21/12)*(1+INDEX($C21:$E21,1,Control!$B$10))^Z5*INDEX($B$13:$M$13,1,MOD(21-1,12)+1)</f>
        <v/>
      </c>
      <c r="AA21" s="34">
        <f>($B21/12)*(1+INDEX($C21:$E21,1,Control!$B$10))^AA5*INDEX($B$13:$M$13,1,MOD(22-1,12)+1)</f>
        <v/>
      </c>
      <c r="AB21" s="34">
        <f>($B21/12)*(1+INDEX($C21:$E21,1,Control!$B$10))^AB5*INDEX($B$13:$M$13,1,MOD(23-1,12)+1)</f>
        <v/>
      </c>
      <c r="AC21" s="34">
        <f>($B21/12)*(1+INDEX($C21:$E21,1,Control!$B$10))^AC5*INDEX($B$13:$M$13,1,MOD(24-1,12)+1)</f>
        <v/>
      </c>
      <c r="AD21" s="34">
        <f>($B21/12)*(1+INDEX($C21:$E21,1,Control!$B$10))^AD5*INDEX($B$13:$M$13,1,MOD(25-1,12)+1)</f>
        <v/>
      </c>
      <c r="AE21" s="34">
        <f>($B21/12)*(1+INDEX($C21:$E21,1,Control!$B$10))^AE5*INDEX($B$13:$M$13,1,MOD(26-1,12)+1)</f>
        <v/>
      </c>
      <c r="AF21" s="34">
        <f>($B21/12)*(1+INDEX($C21:$E21,1,Control!$B$10))^AF5*INDEX($B$13:$M$13,1,MOD(27-1,12)+1)</f>
        <v/>
      </c>
      <c r="AG21" s="34">
        <f>($B21/12)*(1+INDEX($C21:$E21,1,Control!$B$10))^AG5*INDEX($B$13:$M$13,1,MOD(28-1,12)+1)</f>
        <v/>
      </c>
      <c r="AH21" s="34">
        <f>($B21/12)*(1+INDEX($C21:$E21,1,Control!$B$10))^AH5*INDEX($B$13:$M$13,1,MOD(29-1,12)+1)</f>
        <v/>
      </c>
      <c r="AI21" s="34">
        <f>($B21/12)*(1+INDEX($C21:$E21,1,Control!$B$10))^AI5*INDEX($B$13:$M$13,1,MOD(30-1,12)+1)</f>
        <v/>
      </c>
      <c r="AJ21" s="34">
        <f>($B21/12)*(1+INDEX($C21:$E21,1,Control!$B$10))^AJ5*INDEX($B$13:$M$13,1,MOD(31-1,12)+1)</f>
        <v/>
      </c>
      <c r="AK21" s="34">
        <f>($B21/12)*(1+INDEX($C21:$E21,1,Control!$B$10))^AK5*INDEX($B$13:$M$13,1,MOD(32-1,12)+1)</f>
        <v/>
      </c>
      <c r="AL21" s="34">
        <f>($B21/12)*(1+INDEX($C21:$E21,1,Control!$B$10))^AL5*INDEX($B$13:$M$13,1,MOD(33-1,12)+1)</f>
        <v/>
      </c>
      <c r="AM21" s="34">
        <f>($B21/12)*(1+INDEX($C21:$E21,1,Control!$B$10))^AM5*INDEX($B$13:$M$13,1,MOD(34-1,12)+1)</f>
        <v/>
      </c>
      <c r="AN21" s="34">
        <f>($B21/12)*(1+INDEX($C21:$E21,1,Control!$B$10))^AN5*INDEX($B$13:$M$13,1,MOD(35-1,12)+1)</f>
        <v/>
      </c>
      <c r="AO21" s="34">
        <f>($B21/12)*(1+INDEX($C21:$E21,1,Control!$B$10))^AO5*INDEX($B$13:$M$13,1,MOD(36-1,12)+1)</f>
        <v/>
      </c>
      <c r="AP21" s="34">
        <f>($B21/12)*(1+INDEX($C21:$E21,1,Control!$B$10))^AP5*INDEX($B$13:$M$13,1,MOD(37-1,12)+1)</f>
        <v/>
      </c>
      <c r="AQ21" s="34">
        <f>($B21/12)*(1+INDEX($C21:$E21,1,Control!$B$10))^AQ5*INDEX($B$13:$M$13,1,MOD(38-1,12)+1)</f>
        <v/>
      </c>
      <c r="AR21" s="34">
        <f>($B21/12)*(1+INDEX($C21:$E21,1,Control!$B$10))^AR5*INDEX($B$13:$M$13,1,MOD(39-1,12)+1)</f>
        <v/>
      </c>
      <c r="AS21" s="34">
        <f>($B21/12)*(1+INDEX($C21:$E21,1,Control!$B$10))^AS5*INDEX($B$13:$M$13,1,MOD(40-1,12)+1)</f>
        <v/>
      </c>
      <c r="AT21" s="34">
        <f>($B21/12)*(1+INDEX($C21:$E21,1,Control!$B$10))^AT5*INDEX($B$13:$M$13,1,MOD(41-1,12)+1)</f>
        <v/>
      </c>
      <c r="AU21" s="34">
        <f>($B21/12)*(1+INDEX($C21:$E21,1,Control!$B$10))^AU5*INDEX($B$13:$M$13,1,MOD(42-1,12)+1)</f>
        <v/>
      </c>
      <c r="AV21" s="34">
        <f>($B21/12)*(1+INDEX($C21:$E21,1,Control!$B$10))^AV5*INDEX($B$13:$M$13,1,MOD(43-1,12)+1)</f>
        <v/>
      </c>
      <c r="AW21" s="34">
        <f>($B21/12)*(1+INDEX($C21:$E21,1,Control!$B$10))^AW5*INDEX($B$13:$M$13,1,MOD(44-1,12)+1)</f>
        <v/>
      </c>
      <c r="AX21" s="34">
        <f>($B21/12)*(1+INDEX($C21:$E21,1,Control!$B$10))^AX5*INDEX($B$13:$M$13,1,MOD(45-1,12)+1)</f>
        <v/>
      </c>
      <c r="AY21" s="34">
        <f>($B21/12)*(1+INDEX($C21:$E21,1,Control!$B$10))^AY5*INDEX($B$13:$M$13,1,MOD(46-1,12)+1)</f>
        <v/>
      </c>
      <c r="AZ21" s="34">
        <f>($B21/12)*(1+INDEX($C21:$E21,1,Control!$B$10))^AZ5*INDEX($B$13:$M$13,1,MOD(47-1,12)+1)</f>
        <v/>
      </c>
      <c r="BA21" s="34">
        <f>($B21/12)*(1+INDEX($C21:$E21,1,Control!$B$10))^BA5*INDEX($B$13:$M$13,1,MOD(48-1,12)+1)</f>
        <v/>
      </c>
      <c r="BB21" s="34">
        <f>($B21/12)*(1+INDEX($C21:$E21,1,Control!$B$10))^BB5*INDEX($B$13:$M$13,1,MOD(49-1,12)+1)</f>
        <v/>
      </c>
      <c r="BC21" s="34">
        <f>($B21/12)*(1+INDEX($C21:$E21,1,Control!$B$10))^BC5*INDEX($B$13:$M$13,1,MOD(50-1,12)+1)</f>
        <v/>
      </c>
      <c r="BD21" s="34">
        <f>($B21/12)*(1+INDEX($C21:$E21,1,Control!$B$10))^BD5*INDEX($B$13:$M$13,1,MOD(51-1,12)+1)</f>
        <v/>
      </c>
      <c r="BE21" s="34">
        <f>($B21/12)*(1+INDEX($C21:$E21,1,Control!$B$10))^BE5*INDEX($B$13:$M$13,1,MOD(52-1,12)+1)</f>
        <v/>
      </c>
      <c r="BF21" s="34">
        <f>($B21/12)*(1+INDEX($C21:$E21,1,Control!$B$10))^BF5*INDEX($B$13:$M$13,1,MOD(53-1,12)+1)</f>
        <v/>
      </c>
      <c r="BG21" s="34">
        <f>($B21/12)*(1+INDEX($C21:$E21,1,Control!$B$10))^BG5*INDEX($B$13:$M$13,1,MOD(54-1,12)+1)</f>
        <v/>
      </c>
      <c r="BH21" s="34">
        <f>($B21/12)*(1+INDEX($C21:$E21,1,Control!$B$10))^BH5*INDEX($B$13:$M$13,1,MOD(55-1,12)+1)</f>
        <v/>
      </c>
      <c r="BI21" s="34">
        <f>($B21/12)*(1+INDEX($C21:$E21,1,Control!$B$10))^BI5*INDEX($B$13:$M$13,1,MOD(56-1,12)+1)</f>
        <v/>
      </c>
      <c r="BJ21" s="34">
        <f>($B21/12)*(1+INDEX($C21:$E21,1,Control!$B$10))^BJ5*INDEX($B$13:$M$13,1,MOD(57-1,12)+1)</f>
        <v/>
      </c>
      <c r="BK21" s="34">
        <f>($B21/12)*(1+INDEX($C21:$E21,1,Control!$B$10))^BK5*INDEX($B$13:$M$13,1,MOD(58-1,12)+1)</f>
        <v/>
      </c>
      <c r="BL21" s="34">
        <f>($B21/12)*(1+INDEX($C21:$E21,1,Control!$B$10))^BL5*INDEX($B$13:$M$13,1,MOD(59-1,12)+1)</f>
        <v/>
      </c>
      <c r="BM21" s="34">
        <f>($B21/12)*(1+INDEX($C21:$E21,1,Control!$B$10))^BM5*INDEX($B$13:$M$13,1,MOD(60-1,12)+1)</f>
        <v/>
      </c>
      <c r="BN21" s="34">
        <f>($B21/12)*(1+INDEX($C21:$E21,1,Control!$B$10))^BN5*INDEX($B$13:$M$13,1,MOD(61-1,12)+1)</f>
        <v/>
      </c>
      <c r="BO21" s="34">
        <f>($B21/12)*(1+INDEX($C21:$E21,1,Control!$B$10))^BO5*INDEX($B$13:$M$13,1,MOD(62-1,12)+1)</f>
        <v/>
      </c>
      <c r="BP21" s="34">
        <f>($B21/12)*(1+INDEX($C21:$E21,1,Control!$B$10))^BP5*INDEX($B$13:$M$13,1,MOD(63-1,12)+1)</f>
        <v/>
      </c>
      <c r="BQ21" s="34">
        <f>($B21/12)*(1+INDEX($C21:$E21,1,Control!$B$10))^BQ5*INDEX($B$13:$M$13,1,MOD(64-1,12)+1)</f>
        <v/>
      </c>
      <c r="BR21" s="34">
        <f>($B21/12)*(1+INDEX($C21:$E21,1,Control!$B$10))^BR5*INDEX($B$13:$M$13,1,MOD(65-1,12)+1)</f>
        <v/>
      </c>
      <c r="BS21" s="34">
        <f>($B21/12)*(1+INDEX($C21:$E21,1,Control!$B$10))^BS5*INDEX($B$13:$M$13,1,MOD(66-1,12)+1)</f>
        <v/>
      </c>
      <c r="BT21" s="34">
        <f>($B21/12)*(1+INDEX($C21:$E21,1,Control!$B$10))^BT5*INDEX($B$13:$M$13,1,MOD(67-1,12)+1)</f>
        <v/>
      </c>
      <c r="BU21" s="34">
        <f>($B21/12)*(1+INDEX($C21:$E21,1,Control!$B$10))^BU5*INDEX($B$13:$M$13,1,MOD(68-1,12)+1)</f>
        <v/>
      </c>
      <c r="BV21" s="34">
        <f>($B21/12)*(1+INDEX($C21:$E21,1,Control!$B$10))^BV5*INDEX($B$13:$M$13,1,MOD(69-1,12)+1)</f>
        <v/>
      </c>
      <c r="BW21" s="34">
        <f>($B21/12)*(1+INDEX($C21:$E21,1,Control!$B$10))^BW5*INDEX($B$13:$M$13,1,MOD(70-1,12)+1)</f>
        <v/>
      </c>
      <c r="BX21" s="34">
        <f>($B21/12)*(1+INDEX($C21:$E21,1,Control!$B$10))^BX5*INDEX($B$13:$M$13,1,MOD(71-1,12)+1)</f>
        <v/>
      </c>
      <c r="BY21" s="34">
        <f>($B21/12)*(1+INDEX($C21:$E21,1,Control!$B$10))^BY5*INDEX($B$13:$M$13,1,MOD(72-1,12)+1)</f>
        <v/>
      </c>
      <c r="BZ21" s="34">
        <f>($B21/12)*(1+INDEX($C21:$E21,1,Control!$B$10))^BZ5*INDEX($B$13:$M$13,1,MOD(73-1,12)+1)</f>
        <v/>
      </c>
      <c r="CA21" s="34">
        <f>($B21/12)*(1+INDEX($C21:$E21,1,Control!$B$10))^CA5*INDEX($B$13:$M$13,1,MOD(74-1,12)+1)</f>
        <v/>
      </c>
      <c r="CB21" s="34">
        <f>($B21/12)*(1+INDEX($C21:$E21,1,Control!$B$10))^CB5*INDEX($B$13:$M$13,1,MOD(75-1,12)+1)</f>
        <v/>
      </c>
      <c r="CC21" s="34">
        <f>($B21/12)*(1+INDEX($C21:$E21,1,Control!$B$10))^CC5*INDEX($B$13:$M$13,1,MOD(76-1,12)+1)</f>
        <v/>
      </c>
      <c r="CD21" s="34">
        <f>($B21/12)*(1+INDEX($C21:$E21,1,Control!$B$10))^CD5*INDEX($B$13:$M$13,1,MOD(77-1,12)+1)</f>
        <v/>
      </c>
      <c r="CE21" s="34">
        <f>($B21/12)*(1+INDEX($C21:$E21,1,Control!$B$10))^CE5*INDEX($B$13:$M$13,1,MOD(78-1,12)+1)</f>
        <v/>
      </c>
      <c r="CF21" s="34">
        <f>($B21/12)*(1+INDEX($C21:$E21,1,Control!$B$10))^CF5*INDEX($B$13:$M$13,1,MOD(79-1,12)+1)</f>
        <v/>
      </c>
      <c r="CG21" s="34">
        <f>($B21/12)*(1+INDEX($C21:$E21,1,Control!$B$10))^CG5*INDEX($B$13:$M$13,1,MOD(80-1,12)+1)</f>
        <v/>
      </c>
      <c r="CH21" s="34">
        <f>($B21/12)*(1+INDEX($C21:$E21,1,Control!$B$10))^CH5*INDEX($B$13:$M$13,1,MOD(81-1,12)+1)</f>
        <v/>
      </c>
      <c r="CI21" s="34">
        <f>($B21/12)*(1+INDEX($C21:$E21,1,Control!$B$10))^CI5*INDEX($B$13:$M$13,1,MOD(82-1,12)+1)</f>
        <v/>
      </c>
      <c r="CJ21" s="34">
        <f>($B21/12)*(1+INDEX($C21:$E21,1,Control!$B$10))^CJ5*INDEX($B$13:$M$13,1,MOD(83-1,12)+1)</f>
        <v/>
      </c>
      <c r="CK21" s="34">
        <f>($B21/12)*(1+INDEX($C21:$E21,1,Control!$B$10))^CK5*INDEX($B$13:$M$13,1,MOD(84-1,12)+1)</f>
        <v/>
      </c>
      <c r="CL21" s="34">
        <f>($B21/12)*(1+INDEX($C21:$E21,1,Control!$B$10))^CL5*INDEX($B$13:$M$13,1,MOD(85-1,12)+1)</f>
        <v/>
      </c>
      <c r="CM21" s="34">
        <f>($B21/12)*(1+INDEX($C21:$E21,1,Control!$B$10))^CM5*INDEX($B$13:$M$13,1,MOD(86-1,12)+1)</f>
        <v/>
      </c>
      <c r="CN21" s="34">
        <f>($B21/12)*(1+INDEX($C21:$E21,1,Control!$B$10))^CN5*INDEX($B$13:$M$13,1,MOD(87-1,12)+1)</f>
        <v/>
      </c>
      <c r="CO21" s="34">
        <f>($B21/12)*(1+INDEX($C21:$E21,1,Control!$B$10))^CO5*INDEX($B$13:$M$13,1,MOD(88-1,12)+1)</f>
        <v/>
      </c>
      <c r="CP21" s="34">
        <f>($B21/12)*(1+INDEX($C21:$E21,1,Control!$B$10))^CP5*INDEX($B$13:$M$13,1,MOD(89-1,12)+1)</f>
        <v/>
      </c>
      <c r="CQ21" s="34">
        <f>($B21/12)*(1+INDEX($C21:$E21,1,Control!$B$10))^CQ5*INDEX($B$13:$M$13,1,MOD(90-1,12)+1)</f>
        <v/>
      </c>
      <c r="CR21" s="34">
        <f>($B21/12)*(1+INDEX($C21:$E21,1,Control!$B$10))^CR5*INDEX($B$13:$M$13,1,MOD(91-1,12)+1)</f>
        <v/>
      </c>
      <c r="CS21" s="34">
        <f>($B21/12)*(1+INDEX($C21:$E21,1,Control!$B$10))^CS5*INDEX($B$13:$M$13,1,MOD(92-1,12)+1)</f>
        <v/>
      </c>
      <c r="CT21" s="34">
        <f>($B21/12)*(1+INDEX($C21:$E21,1,Control!$B$10))^CT5*INDEX($B$13:$M$13,1,MOD(93-1,12)+1)</f>
        <v/>
      </c>
      <c r="CU21" s="34">
        <f>($B21/12)*(1+INDEX($C21:$E21,1,Control!$B$10))^CU5*INDEX($B$13:$M$13,1,MOD(94-1,12)+1)</f>
        <v/>
      </c>
      <c r="CV21" s="34">
        <f>($B21/12)*(1+INDEX($C21:$E21,1,Control!$B$10))^CV5*INDEX($B$13:$M$13,1,MOD(95-1,12)+1)</f>
        <v/>
      </c>
      <c r="CW21" s="34">
        <f>($B21/12)*(1+INDEX($C21:$E21,1,Control!$B$10))^CW5*INDEX($B$13:$M$13,1,MOD(96-1,12)+1)</f>
        <v/>
      </c>
      <c r="CX21" s="34">
        <f>($B21/12)*(1+INDEX($C21:$E21,1,Control!$B$10))^CX5*INDEX($B$13:$M$13,1,MOD(97-1,12)+1)</f>
        <v/>
      </c>
      <c r="CY21" s="34">
        <f>($B21/12)*(1+INDEX($C21:$E21,1,Control!$B$10))^CY5*INDEX($B$13:$M$13,1,MOD(98-1,12)+1)</f>
        <v/>
      </c>
      <c r="CZ21" s="34">
        <f>($B21/12)*(1+INDEX($C21:$E21,1,Control!$B$10))^CZ5*INDEX($B$13:$M$13,1,MOD(99-1,12)+1)</f>
        <v/>
      </c>
      <c r="DA21" s="34">
        <f>($B21/12)*(1+INDEX($C21:$E21,1,Control!$B$10))^DA5*INDEX($B$13:$M$13,1,MOD(100-1,12)+1)</f>
        <v/>
      </c>
      <c r="DB21" s="34">
        <f>($B21/12)*(1+INDEX($C21:$E21,1,Control!$B$10))^DB5*INDEX($B$13:$M$13,1,MOD(101-1,12)+1)</f>
        <v/>
      </c>
      <c r="DC21" s="34">
        <f>($B21/12)*(1+INDEX($C21:$E21,1,Control!$B$10))^DC5*INDEX($B$13:$M$13,1,MOD(102-1,12)+1)</f>
        <v/>
      </c>
      <c r="DD21" s="34">
        <f>($B21/12)*(1+INDEX($C21:$E21,1,Control!$B$10))^DD5*INDEX($B$13:$M$13,1,MOD(103-1,12)+1)</f>
        <v/>
      </c>
      <c r="DE21" s="34">
        <f>($B21/12)*(1+INDEX($C21:$E21,1,Control!$B$10))^DE5*INDEX($B$13:$M$13,1,MOD(104-1,12)+1)</f>
        <v/>
      </c>
      <c r="DF21" s="34">
        <f>($B21/12)*(1+INDEX($C21:$E21,1,Control!$B$10))^DF5*INDEX($B$13:$M$13,1,MOD(105-1,12)+1)</f>
        <v/>
      </c>
      <c r="DG21" s="34">
        <f>($B21/12)*(1+INDEX($C21:$E21,1,Control!$B$10))^DG5*INDEX($B$13:$M$13,1,MOD(106-1,12)+1)</f>
        <v/>
      </c>
      <c r="DH21" s="34">
        <f>($B21/12)*(1+INDEX($C21:$E21,1,Control!$B$10))^DH5*INDEX($B$13:$M$13,1,MOD(107-1,12)+1)</f>
        <v/>
      </c>
      <c r="DI21" s="34">
        <f>($B21/12)*(1+INDEX($C21:$E21,1,Control!$B$10))^DI5*INDEX($B$13:$M$13,1,MOD(108-1,12)+1)</f>
        <v/>
      </c>
      <c r="DJ21" s="34">
        <f>($B21/12)*(1+INDEX($C21:$E21,1,Control!$B$10))^DJ5*INDEX($B$13:$M$13,1,MOD(109-1,12)+1)</f>
        <v/>
      </c>
      <c r="DK21" s="34">
        <f>($B21/12)*(1+INDEX($C21:$E21,1,Control!$B$10))^DK5*INDEX($B$13:$M$13,1,MOD(110-1,12)+1)</f>
        <v/>
      </c>
      <c r="DL21" s="34">
        <f>($B21/12)*(1+INDEX($C21:$E21,1,Control!$B$10))^DL5*INDEX($B$13:$M$13,1,MOD(111-1,12)+1)</f>
        <v/>
      </c>
      <c r="DM21" s="34">
        <f>($B21/12)*(1+INDEX($C21:$E21,1,Control!$B$10))^DM5*INDEX($B$13:$M$13,1,MOD(112-1,12)+1)</f>
        <v/>
      </c>
      <c r="DN21" s="34">
        <f>($B21/12)*(1+INDEX($C21:$E21,1,Control!$B$10))^DN5*INDEX($B$13:$M$13,1,MOD(113-1,12)+1)</f>
        <v/>
      </c>
      <c r="DO21" s="34">
        <f>($B21/12)*(1+INDEX($C21:$E21,1,Control!$B$10))^DO5*INDEX($B$13:$M$13,1,MOD(114-1,12)+1)</f>
        <v/>
      </c>
      <c r="DP21" s="34">
        <f>($B21/12)*(1+INDEX($C21:$E21,1,Control!$B$10))^DP5*INDEX($B$13:$M$13,1,MOD(115-1,12)+1)</f>
        <v/>
      </c>
      <c r="DQ21" s="34">
        <f>($B21/12)*(1+INDEX($C21:$E21,1,Control!$B$10))^DQ5*INDEX($B$13:$M$13,1,MOD(116-1,12)+1)</f>
        <v/>
      </c>
      <c r="DR21" s="34">
        <f>($B21/12)*(1+INDEX($C21:$E21,1,Control!$B$10))^DR5*INDEX($B$13:$M$13,1,MOD(117-1,12)+1)</f>
        <v/>
      </c>
      <c r="DS21" s="34">
        <f>($B21/12)*(1+INDEX($C21:$E21,1,Control!$B$10))^DS5*INDEX($B$13:$M$13,1,MOD(118-1,12)+1)</f>
        <v/>
      </c>
      <c r="DT21" s="34">
        <f>($B21/12)*(1+INDEX($C21:$E21,1,Control!$B$10))^DT5*INDEX($B$13:$M$13,1,MOD(119-1,12)+1)</f>
        <v/>
      </c>
      <c r="DU21" s="34">
        <f>($B21/12)*(1+INDEX($C21:$E21,1,Control!$B$10))^DU5*INDEX($B$13:$M$13,1,MOD(120-1,12)+1)</f>
        <v/>
      </c>
    </row>
    <row r="22">
      <c r="A22" t="inlineStr">
        <is>
          <t>SkyBrew-Cans-OffTrade</t>
        </is>
      </c>
      <c r="B22" s="33" t="n">
        <v>100000</v>
      </c>
      <c r="C22" s="22" t="n">
        <v>0.03</v>
      </c>
      <c r="D22" s="22" t="n">
        <v>0.05</v>
      </c>
      <c r="E22" s="22" t="n">
        <v>0.01</v>
      </c>
      <c r="F22" s="34">
        <f>($B22/12)*(1+INDEX($C22:$E22,1,Control!$B$10))^F5*INDEX($B$13:$M$13,1,MOD(1-1,12)+1)</f>
        <v/>
      </c>
      <c r="G22" s="34">
        <f>($B22/12)*(1+INDEX($C22:$E22,1,Control!$B$10))^G5*INDEX($B$13:$M$13,1,MOD(2-1,12)+1)</f>
        <v/>
      </c>
      <c r="H22" s="34">
        <f>($B22/12)*(1+INDEX($C22:$E22,1,Control!$B$10))^H5*INDEX($B$13:$M$13,1,MOD(3-1,12)+1)</f>
        <v/>
      </c>
      <c r="I22" s="34">
        <f>($B22/12)*(1+INDEX($C22:$E22,1,Control!$B$10))^I5*INDEX($B$13:$M$13,1,MOD(4-1,12)+1)</f>
        <v/>
      </c>
      <c r="J22" s="34">
        <f>($B22/12)*(1+INDEX($C22:$E22,1,Control!$B$10))^J5*INDEX($B$13:$M$13,1,MOD(5-1,12)+1)</f>
        <v/>
      </c>
      <c r="K22" s="34">
        <f>($B22/12)*(1+INDEX($C22:$E22,1,Control!$B$10))^K5*INDEX($B$13:$M$13,1,MOD(6-1,12)+1)</f>
        <v/>
      </c>
      <c r="L22" s="34">
        <f>($B22/12)*(1+INDEX($C22:$E22,1,Control!$B$10))^L5*INDEX($B$13:$M$13,1,MOD(7-1,12)+1)</f>
        <v/>
      </c>
      <c r="M22" s="34">
        <f>($B22/12)*(1+INDEX($C22:$E22,1,Control!$B$10))^M5*INDEX($B$13:$M$13,1,MOD(8-1,12)+1)</f>
        <v/>
      </c>
      <c r="N22" s="34">
        <f>($B22/12)*(1+INDEX($C22:$E22,1,Control!$B$10))^N5*INDEX($B$13:$M$13,1,MOD(9-1,12)+1)</f>
        <v/>
      </c>
      <c r="O22" s="34">
        <f>($B22/12)*(1+INDEX($C22:$E22,1,Control!$B$10))^O5*INDEX($B$13:$M$13,1,MOD(10-1,12)+1)</f>
        <v/>
      </c>
      <c r="P22" s="34">
        <f>($B22/12)*(1+INDEX($C22:$E22,1,Control!$B$10))^P5*INDEX($B$13:$M$13,1,MOD(11-1,12)+1)</f>
        <v/>
      </c>
      <c r="Q22" s="34">
        <f>($B22/12)*(1+INDEX($C22:$E22,1,Control!$B$10))^Q5*INDEX($B$13:$M$13,1,MOD(12-1,12)+1)</f>
        <v/>
      </c>
      <c r="R22" s="34">
        <f>($B22/12)*(1+INDEX($C22:$E22,1,Control!$B$10))^R5*INDEX($B$13:$M$13,1,MOD(13-1,12)+1)</f>
        <v/>
      </c>
      <c r="S22" s="34">
        <f>($B22/12)*(1+INDEX($C22:$E22,1,Control!$B$10))^S5*INDEX($B$13:$M$13,1,MOD(14-1,12)+1)</f>
        <v/>
      </c>
      <c r="T22" s="34">
        <f>($B22/12)*(1+INDEX($C22:$E22,1,Control!$B$10))^T5*INDEX($B$13:$M$13,1,MOD(15-1,12)+1)</f>
        <v/>
      </c>
      <c r="U22" s="34">
        <f>($B22/12)*(1+INDEX($C22:$E22,1,Control!$B$10))^U5*INDEX($B$13:$M$13,1,MOD(16-1,12)+1)</f>
        <v/>
      </c>
      <c r="V22" s="34">
        <f>($B22/12)*(1+INDEX($C22:$E22,1,Control!$B$10))^V5*INDEX($B$13:$M$13,1,MOD(17-1,12)+1)</f>
        <v/>
      </c>
      <c r="W22" s="34">
        <f>($B22/12)*(1+INDEX($C22:$E22,1,Control!$B$10))^W5*INDEX($B$13:$M$13,1,MOD(18-1,12)+1)</f>
        <v/>
      </c>
      <c r="X22" s="34">
        <f>($B22/12)*(1+INDEX($C22:$E22,1,Control!$B$10))^X5*INDEX($B$13:$M$13,1,MOD(19-1,12)+1)</f>
        <v/>
      </c>
      <c r="Y22" s="34">
        <f>($B22/12)*(1+INDEX($C22:$E22,1,Control!$B$10))^Y5*INDEX($B$13:$M$13,1,MOD(20-1,12)+1)</f>
        <v/>
      </c>
      <c r="Z22" s="34">
        <f>($B22/12)*(1+INDEX($C22:$E22,1,Control!$B$10))^Z5*INDEX($B$13:$M$13,1,MOD(21-1,12)+1)</f>
        <v/>
      </c>
      <c r="AA22" s="34">
        <f>($B22/12)*(1+INDEX($C22:$E22,1,Control!$B$10))^AA5*INDEX($B$13:$M$13,1,MOD(22-1,12)+1)</f>
        <v/>
      </c>
      <c r="AB22" s="34">
        <f>($B22/12)*(1+INDEX($C22:$E22,1,Control!$B$10))^AB5*INDEX($B$13:$M$13,1,MOD(23-1,12)+1)</f>
        <v/>
      </c>
      <c r="AC22" s="34">
        <f>($B22/12)*(1+INDEX($C22:$E22,1,Control!$B$10))^AC5*INDEX($B$13:$M$13,1,MOD(24-1,12)+1)</f>
        <v/>
      </c>
      <c r="AD22" s="34">
        <f>($B22/12)*(1+INDEX($C22:$E22,1,Control!$B$10))^AD5*INDEX($B$13:$M$13,1,MOD(25-1,12)+1)</f>
        <v/>
      </c>
      <c r="AE22" s="34">
        <f>($B22/12)*(1+INDEX($C22:$E22,1,Control!$B$10))^AE5*INDEX($B$13:$M$13,1,MOD(26-1,12)+1)</f>
        <v/>
      </c>
      <c r="AF22" s="34">
        <f>($B22/12)*(1+INDEX($C22:$E22,1,Control!$B$10))^AF5*INDEX($B$13:$M$13,1,MOD(27-1,12)+1)</f>
        <v/>
      </c>
      <c r="AG22" s="34">
        <f>($B22/12)*(1+INDEX($C22:$E22,1,Control!$B$10))^AG5*INDEX($B$13:$M$13,1,MOD(28-1,12)+1)</f>
        <v/>
      </c>
      <c r="AH22" s="34">
        <f>($B22/12)*(1+INDEX($C22:$E22,1,Control!$B$10))^AH5*INDEX($B$13:$M$13,1,MOD(29-1,12)+1)</f>
        <v/>
      </c>
      <c r="AI22" s="34">
        <f>($B22/12)*(1+INDEX($C22:$E22,1,Control!$B$10))^AI5*INDEX($B$13:$M$13,1,MOD(30-1,12)+1)</f>
        <v/>
      </c>
      <c r="AJ22" s="34">
        <f>($B22/12)*(1+INDEX($C22:$E22,1,Control!$B$10))^AJ5*INDEX($B$13:$M$13,1,MOD(31-1,12)+1)</f>
        <v/>
      </c>
      <c r="AK22" s="34">
        <f>($B22/12)*(1+INDEX($C22:$E22,1,Control!$B$10))^AK5*INDEX($B$13:$M$13,1,MOD(32-1,12)+1)</f>
        <v/>
      </c>
      <c r="AL22" s="34">
        <f>($B22/12)*(1+INDEX($C22:$E22,1,Control!$B$10))^AL5*INDEX($B$13:$M$13,1,MOD(33-1,12)+1)</f>
        <v/>
      </c>
      <c r="AM22" s="34">
        <f>($B22/12)*(1+INDEX($C22:$E22,1,Control!$B$10))^AM5*INDEX($B$13:$M$13,1,MOD(34-1,12)+1)</f>
        <v/>
      </c>
      <c r="AN22" s="34">
        <f>($B22/12)*(1+INDEX($C22:$E22,1,Control!$B$10))^AN5*INDEX($B$13:$M$13,1,MOD(35-1,12)+1)</f>
        <v/>
      </c>
      <c r="AO22" s="34">
        <f>($B22/12)*(1+INDEX($C22:$E22,1,Control!$B$10))^AO5*INDEX($B$13:$M$13,1,MOD(36-1,12)+1)</f>
        <v/>
      </c>
      <c r="AP22" s="34">
        <f>($B22/12)*(1+INDEX($C22:$E22,1,Control!$B$10))^AP5*INDEX($B$13:$M$13,1,MOD(37-1,12)+1)</f>
        <v/>
      </c>
      <c r="AQ22" s="34">
        <f>($B22/12)*(1+INDEX($C22:$E22,1,Control!$B$10))^AQ5*INDEX($B$13:$M$13,1,MOD(38-1,12)+1)</f>
        <v/>
      </c>
      <c r="AR22" s="34">
        <f>($B22/12)*(1+INDEX($C22:$E22,1,Control!$B$10))^AR5*INDEX($B$13:$M$13,1,MOD(39-1,12)+1)</f>
        <v/>
      </c>
      <c r="AS22" s="34">
        <f>($B22/12)*(1+INDEX($C22:$E22,1,Control!$B$10))^AS5*INDEX($B$13:$M$13,1,MOD(40-1,12)+1)</f>
        <v/>
      </c>
      <c r="AT22" s="34">
        <f>($B22/12)*(1+INDEX($C22:$E22,1,Control!$B$10))^AT5*INDEX($B$13:$M$13,1,MOD(41-1,12)+1)</f>
        <v/>
      </c>
      <c r="AU22" s="34">
        <f>($B22/12)*(1+INDEX($C22:$E22,1,Control!$B$10))^AU5*INDEX($B$13:$M$13,1,MOD(42-1,12)+1)</f>
        <v/>
      </c>
      <c r="AV22" s="34">
        <f>($B22/12)*(1+INDEX($C22:$E22,1,Control!$B$10))^AV5*INDEX($B$13:$M$13,1,MOD(43-1,12)+1)</f>
        <v/>
      </c>
      <c r="AW22" s="34">
        <f>($B22/12)*(1+INDEX($C22:$E22,1,Control!$B$10))^AW5*INDEX($B$13:$M$13,1,MOD(44-1,12)+1)</f>
        <v/>
      </c>
      <c r="AX22" s="34">
        <f>($B22/12)*(1+INDEX($C22:$E22,1,Control!$B$10))^AX5*INDEX($B$13:$M$13,1,MOD(45-1,12)+1)</f>
        <v/>
      </c>
      <c r="AY22" s="34">
        <f>($B22/12)*(1+INDEX($C22:$E22,1,Control!$B$10))^AY5*INDEX($B$13:$M$13,1,MOD(46-1,12)+1)</f>
        <v/>
      </c>
      <c r="AZ22" s="34">
        <f>($B22/12)*(1+INDEX($C22:$E22,1,Control!$B$10))^AZ5*INDEX($B$13:$M$13,1,MOD(47-1,12)+1)</f>
        <v/>
      </c>
      <c r="BA22" s="34">
        <f>($B22/12)*(1+INDEX($C22:$E22,1,Control!$B$10))^BA5*INDEX($B$13:$M$13,1,MOD(48-1,12)+1)</f>
        <v/>
      </c>
      <c r="BB22" s="34">
        <f>($B22/12)*(1+INDEX($C22:$E22,1,Control!$B$10))^BB5*INDEX($B$13:$M$13,1,MOD(49-1,12)+1)</f>
        <v/>
      </c>
      <c r="BC22" s="34">
        <f>($B22/12)*(1+INDEX($C22:$E22,1,Control!$B$10))^BC5*INDEX($B$13:$M$13,1,MOD(50-1,12)+1)</f>
        <v/>
      </c>
      <c r="BD22" s="34">
        <f>($B22/12)*(1+INDEX($C22:$E22,1,Control!$B$10))^BD5*INDEX($B$13:$M$13,1,MOD(51-1,12)+1)</f>
        <v/>
      </c>
      <c r="BE22" s="34">
        <f>($B22/12)*(1+INDEX($C22:$E22,1,Control!$B$10))^BE5*INDEX($B$13:$M$13,1,MOD(52-1,12)+1)</f>
        <v/>
      </c>
      <c r="BF22" s="34">
        <f>($B22/12)*(1+INDEX($C22:$E22,1,Control!$B$10))^BF5*INDEX($B$13:$M$13,1,MOD(53-1,12)+1)</f>
        <v/>
      </c>
      <c r="BG22" s="34">
        <f>($B22/12)*(1+INDEX($C22:$E22,1,Control!$B$10))^BG5*INDEX($B$13:$M$13,1,MOD(54-1,12)+1)</f>
        <v/>
      </c>
      <c r="BH22" s="34">
        <f>($B22/12)*(1+INDEX($C22:$E22,1,Control!$B$10))^BH5*INDEX($B$13:$M$13,1,MOD(55-1,12)+1)</f>
        <v/>
      </c>
      <c r="BI22" s="34">
        <f>($B22/12)*(1+INDEX($C22:$E22,1,Control!$B$10))^BI5*INDEX($B$13:$M$13,1,MOD(56-1,12)+1)</f>
        <v/>
      </c>
      <c r="BJ22" s="34">
        <f>($B22/12)*(1+INDEX($C22:$E22,1,Control!$B$10))^BJ5*INDEX($B$13:$M$13,1,MOD(57-1,12)+1)</f>
        <v/>
      </c>
      <c r="BK22" s="34">
        <f>($B22/12)*(1+INDEX($C22:$E22,1,Control!$B$10))^BK5*INDEX($B$13:$M$13,1,MOD(58-1,12)+1)</f>
        <v/>
      </c>
      <c r="BL22" s="34">
        <f>($B22/12)*(1+INDEX($C22:$E22,1,Control!$B$10))^BL5*INDEX($B$13:$M$13,1,MOD(59-1,12)+1)</f>
        <v/>
      </c>
      <c r="BM22" s="34">
        <f>($B22/12)*(1+INDEX($C22:$E22,1,Control!$B$10))^BM5*INDEX($B$13:$M$13,1,MOD(60-1,12)+1)</f>
        <v/>
      </c>
      <c r="BN22" s="34">
        <f>($B22/12)*(1+INDEX($C22:$E22,1,Control!$B$10))^BN5*INDEX($B$13:$M$13,1,MOD(61-1,12)+1)</f>
        <v/>
      </c>
      <c r="BO22" s="34">
        <f>($B22/12)*(1+INDEX($C22:$E22,1,Control!$B$10))^BO5*INDEX($B$13:$M$13,1,MOD(62-1,12)+1)</f>
        <v/>
      </c>
      <c r="BP22" s="34">
        <f>($B22/12)*(1+INDEX($C22:$E22,1,Control!$B$10))^BP5*INDEX($B$13:$M$13,1,MOD(63-1,12)+1)</f>
        <v/>
      </c>
      <c r="BQ22" s="34">
        <f>($B22/12)*(1+INDEX($C22:$E22,1,Control!$B$10))^BQ5*INDEX($B$13:$M$13,1,MOD(64-1,12)+1)</f>
        <v/>
      </c>
      <c r="BR22" s="34">
        <f>($B22/12)*(1+INDEX($C22:$E22,1,Control!$B$10))^BR5*INDEX($B$13:$M$13,1,MOD(65-1,12)+1)</f>
        <v/>
      </c>
      <c r="BS22" s="34">
        <f>($B22/12)*(1+INDEX($C22:$E22,1,Control!$B$10))^BS5*INDEX($B$13:$M$13,1,MOD(66-1,12)+1)</f>
        <v/>
      </c>
      <c r="BT22" s="34">
        <f>($B22/12)*(1+INDEX($C22:$E22,1,Control!$B$10))^BT5*INDEX($B$13:$M$13,1,MOD(67-1,12)+1)</f>
        <v/>
      </c>
      <c r="BU22" s="34">
        <f>($B22/12)*(1+INDEX($C22:$E22,1,Control!$B$10))^BU5*INDEX($B$13:$M$13,1,MOD(68-1,12)+1)</f>
        <v/>
      </c>
      <c r="BV22" s="34">
        <f>($B22/12)*(1+INDEX($C22:$E22,1,Control!$B$10))^BV5*INDEX($B$13:$M$13,1,MOD(69-1,12)+1)</f>
        <v/>
      </c>
      <c r="BW22" s="34">
        <f>($B22/12)*(1+INDEX($C22:$E22,1,Control!$B$10))^BW5*INDEX($B$13:$M$13,1,MOD(70-1,12)+1)</f>
        <v/>
      </c>
      <c r="BX22" s="34">
        <f>($B22/12)*(1+INDEX($C22:$E22,1,Control!$B$10))^BX5*INDEX($B$13:$M$13,1,MOD(71-1,12)+1)</f>
        <v/>
      </c>
      <c r="BY22" s="34">
        <f>($B22/12)*(1+INDEX($C22:$E22,1,Control!$B$10))^BY5*INDEX($B$13:$M$13,1,MOD(72-1,12)+1)</f>
        <v/>
      </c>
      <c r="BZ22" s="34">
        <f>($B22/12)*(1+INDEX($C22:$E22,1,Control!$B$10))^BZ5*INDEX($B$13:$M$13,1,MOD(73-1,12)+1)</f>
        <v/>
      </c>
      <c r="CA22" s="34">
        <f>($B22/12)*(1+INDEX($C22:$E22,1,Control!$B$10))^CA5*INDEX($B$13:$M$13,1,MOD(74-1,12)+1)</f>
        <v/>
      </c>
      <c r="CB22" s="34">
        <f>($B22/12)*(1+INDEX($C22:$E22,1,Control!$B$10))^CB5*INDEX($B$13:$M$13,1,MOD(75-1,12)+1)</f>
        <v/>
      </c>
      <c r="CC22" s="34">
        <f>($B22/12)*(1+INDEX($C22:$E22,1,Control!$B$10))^CC5*INDEX($B$13:$M$13,1,MOD(76-1,12)+1)</f>
        <v/>
      </c>
      <c r="CD22" s="34">
        <f>($B22/12)*(1+INDEX($C22:$E22,1,Control!$B$10))^CD5*INDEX($B$13:$M$13,1,MOD(77-1,12)+1)</f>
        <v/>
      </c>
      <c r="CE22" s="34">
        <f>($B22/12)*(1+INDEX($C22:$E22,1,Control!$B$10))^CE5*INDEX($B$13:$M$13,1,MOD(78-1,12)+1)</f>
        <v/>
      </c>
      <c r="CF22" s="34">
        <f>($B22/12)*(1+INDEX($C22:$E22,1,Control!$B$10))^CF5*INDEX($B$13:$M$13,1,MOD(79-1,12)+1)</f>
        <v/>
      </c>
      <c r="CG22" s="34">
        <f>($B22/12)*(1+INDEX($C22:$E22,1,Control!$B$10))^CG5*INDEX($B$13:$M$13,1,MOD(80-1,12)+1)</f>
        <v/>
      </c>
      <c r="CH22" s="34">
        <f>($B22/12)*(1+INDEX($C22:$E22,1,Control!$B$10))^CH5*INDEX($B$13:$M$13,1,MOD(81-1,12)+1)</f>
        <v/>
      </c>
      <c r="CI22" s="34">
        <f>($B22/12)*(1+INDEX($C22:$E22,1,Control!$B$10))^CI5*INDEX($B$13:$M$13,1,MOD(82-1,12)+1)</f>
        <v/>
      </c>
      <c r="CJ22" s="34">
        <f>($B22/12)*(1+INDEX($C22:$E22,1,Control!$B$10))^CJ5*INDEX($B$13:$M$13,1,MOD(83-1,12)+1)</f>
        <v/>
      </c>
      <c r="CK22" s="34">
        <f>($B22/12)*(1+INDEX($C22:$E22,1,Control!$B$10))^CK5*INDEX($B$13:$M$13,1,MOD(84-1,12)+1)</f>
        <v/>
      </c>
      <c r="CL22" s="34">
        <f>($B22/12)*(1+INDEX($C22:$E22,1,Control!$B$10))^CL5*INDEX($B$13:$M$13,1,MOD(85-1,12)+1)</f>
        <v/>
      </c>
      <c r="CM22" s="34">
        <f>($B22/12)*(1+INDEX($C22:$E22,1,Control!$B$10))^CM5*INDEX($B$13:$M$13,1,MOD(86-1,12)+1)</f>
        <v/>
      </c>
      <c r="CN22" s="34">
        <f>($B22/12)*(1+INDEX($C22:$E22,1,Control!$B$10))^CN5*INDEX($B$13:$M$13,1,MOD(87-1,12)+1)</f>
        <v/>
      </c>
      <c r="CO22" s="34">
        <f>($B22/12)*(1+INDEX($C22:$E22,1,Control!$B$10))^CO5*INDEX($B$13:$M$13,1,MOD(88-1,12)+1)</f>
        <v/>
      </c>
      <c r="CP22" s="34">
        <f>($B22/12)*(1+INDEX($C22:$E22,1,Control!$B$10))^CP5*INDEX($B$13:$M$13,1,MOD(89-1,12)+1)</f>
        <v/>
      </c>
      <c r="CQ22" s="34">
        <f>($B22/12)*(1+INDEX($C22:$E22,1,Control!$B$10))^CQ5*INDEX($B$13:$M$13,1,MOD(90-1,12)+1)</f>
        <v/>
      </c>
      <c r="CR22" s="34">
        <f>($B22/12)*(1+INDEX($C22:$E22,1,Control!$B$10))^CR5*INDEX($B$13:$M$13,1,MOD(91-1,12)+1)</f>
        <v/>
      </c>
      <c r="CS22" s="34">
        <f>($B22/12)*(1+INDEX($C22:$E22,1,Control!$B$10))^CS5*INDEX($B$13:$M$13,1,MOD(92-1,12)+1)</f>
        <v/>
      </c>
      <c r="CT22" s="34">
        <f>($B22/12)*(1+INDEX($C22:$E22,1,Control!$B$10))^CT5*INDEX($B$13:$M$13,1,MOD(93-1,12)+1)</f>
        <v/>
      </c>
      <c r="CU22" s="34">
        <f>($B22/12)*(1+INDEX($C22:$E22,1,Control!$B$10))^CU5*INDEX($B$13:$M$13,1,MOD(94-1,12)+1)</f>
        <v/>
      </c>
      <c r="CV22" s="34">
        <f>($B22/12)*(1+INDEX($C22:$E22,1,Control!$B$10))^CV5*INDEX($B$13:$M$13,1,MOD(95-1,12)+1)</f>
        <v/>
      </c>
      <c r="CW22" s="34">
        <f>($B22/12)*(1+INDEX($C22:$E22,1,Control!$B$10))^CW5*INDEX($B$13:$M$13,1,MOD(96-1,12)+1)</f>
        <v/>
      </c>
      <c r="CX22" s="34">
        <f>($B22/12)*(1+INDEX($C22:$E22,1,Control!$B$10))^CX5*INDEX($B$13:$M$13,1,MOD(97-1,12)+1)</f>
        <v/>
      </c>
      <c r="CY22" s="34">
        <f>($B22/12)*(1+INDEX($C22:$E22,1,Control!$B$10))^CY5*INDEX($B$13:$M$13,1,MOD(98-1,12)+1)</f>
        <v/>
      </c>
      <c r="CZ22" s="34">
        <f>($B22/12)*(1+INDEX($C22:$E22,1,Control!$B$10))^CZ5*INDEX($B$13:$M$13,1,MOD(99-1,12)+1)</f>
        <v/>
      </c>
      <c r="DA22" s="34">
        <f>($B22/12)*(1+INDEX($C22:$E22,1,Control!$B$10))^DA5*INDEX($B$13:$M$13,1,MOD(100-1,12)+1)</f>
        <v/>
      </c>
      <c r="DB22" s="34">
        <f>($B22/12)*(1+INDEX($C22:$E22,1,Control!$B$10))^DB5*INDEX($B$13:$M$13,1,MOD(101-1,12)+1)</f>
        <v/>
      </c>
      <c r="DC22" s="34">
        <f>($B22/12)*(1+INDEX($C22:$E22,1,Control!$B$10))^DC5*INDEX($B$13:$M$13,1,MOD(102-1,12)+1)</f>
        <v/>
      </c>
      <c r="DD22" s="34">
        <f>($B22/12)*(1+INDEX($C22:$E22,1,Control!$B$10))^DD5*INDEX($B$13:$M$13,1,MOD(103-1,12)+1)</f>
        <v/>
      </c>
      <c r="DE22" s="34">
        <f>($B22/12)*(1+INDEX($C22:$E22,1,Control!$B$10))^DE5*INDEX($B$13:$M$13,1,MOD(104-1,12)+1)</f>
        <v/>
      </c>
      <c r="DF22" s="34">
        <f>($B22/12)*(1+INDEX($C22:$E22,1,Control!$B$10))^DF5*INDEX($B$13:$M$13,1,MOD(105-1,12)+1)</f>
        <v/>
      </c>
      <c r="DG22" s="34">
        <f>($B22/12)*(1+INDEX($C22:$E22,1,Control!$B$10))^DG5*INDEX($B$13:$M$13,1,MOD(106-1,12)+1)</f>
        <v/>
      </c>
      <c r="DH22" s="34">
        <f>($B22/12)*(1+INDEX($C22:$E22,1,Control!$B$10))^DH5*INDEX($B$13:$M$13,1,MOD(107-1,12)+1)</f>
        <v/>
      </c>
      <c r="DI22" s="34">
        <f>($B22/12)*(1+INDEX($C22:$E22,1,Control!$B$10))^DI5*INDEX($B$13:$M$13,1,MOD(108-1,12)+1)</f>
        <v/>
      </c>
      <c r="DJ22" s="34">
        <f>($B22/12)*(1+INDEX($C22:$E22,1,Control!$B$10))^DJ5*INDEX($B$13:$M$13,1,MOD(109-1,12)+1)</f>
        <v/>
      </c>
      <c r="DK22" s="34">
        <f>($B22/12)*(1+INDEX($C22:$E22,1,Control!$B$10))^DK5*INDEX($B$13:$M$13,1,MOD(110-1,12)+1)</f>
        <v/>
      </c>
      <c r="DL22" s="34">
        <f>($B22/12)*(1+INDEX($C22:$E22,1,Control!$B$10))^DL5*INDEX($B$13:$M$13,1,MOD(111-1,12)+1)</f>
        <v/>
      </c>
      <c r="DM22" s="34">
        <f>($B22/12)*(1+INDEX($C22:$E22,1,Control!$B$10))^DM5*INDEX($B$13:$M$13,1,MOD(112-1,12)+1)</f>
        <v/>
      </c>
      <c r="DN22" s="34">
        <f>($B22/12)*(1+INDEX($C22:$E22,1,Control!$B$10))^DN5*INDEX($B$13:$M$13,1,MOD(113-1,12)+1)</f>
        <v/>
      </c>
      <c r="DO22" s="34">
        <f>($B22/12)*(1+INDEX($C22:$E22,1,Control!$B$10))^DO5*INDEX($B$13:$M$13,1,MOD(114-1,12)+1)</f>
        <v/>
      </c>
      <c r="DP22" s="34">
        <f>($B22/12)*(1+INDEX($C22:$E22,1,Control!$B$10))^DP5*INDEX($B$13:$M$13,1,MOD(115-1,12)+1)</f>
        <v/>
      </c>
      <c r="DQ22" s="34">
        <f>($B22/12)*(1+INDEX($C22:$E22,1,Control!$B$10))^DQ5*INDEX($B$13:$M$13,1,MOD(116-1,12)+1)</f>
        <v/>
      </c>
      <c r="DR22" s="34">
        <f>($B22/12)*(1+INDEX($C22:$E22,1,Control!$B$10))^DR5*INDEX($B$13:$M$13,1,MOD(117-1,12)+1)</f>
        <v/>
      </c>
      <c r="DS22" s="34">
        <f>($B22/12)*(1+INDEX($C22:$E22,1,Control!$B$10))^DS5*INDEX($B$13:$M$13,1,MOD(118-1,12)+1)</f>
        <v/>
      </c>
      <c r="DT22" s="34">
        <f>($B22/12)*(1+INDEX($C22:$E22,1,Control!$B$10))^DT5*INDEX($B$13:$M$13,1,MOD(119-1,12)+1)</f>
        <v/>
      </c>
      <c r="DU22" s="34">
        <f>($B22/12)*(1+INDEX($C22:$E22,1,Control!$B$10))^DU5*INDEX($B$13:$M$13,1,MOD(120-1,12)+1)</f>
        <v/>
      </c>
    </row>
    <row r="23">
      <c r="A23" t="inlineStr">
        <is>
          <t>SkyBrew-Kegs-OnTrade</t>
        </is>
      </c>
      <c r="B23" s="33" t="n">
        <v>60000</v>
      </c>
      <c r="C23" s="22" t="n">
        <v>0.03</v>
      </c>
      <c r="D23" s="22" t="n">
        <v>0.05</v>
      </c>
      <c r="E23" s="22" t="n">
        <v>0.01</v>
      </c>
      <c r="F23" s="34">
        <f>($B23/12)*(1+INDEX($C23:$E23,1,Control!$B$10))^F5*INDEX($B$13:$M$13,1,MOD(1-1,12)+1)</f>
        <v/>
      </c>
      <c r="G23" s="34">
        <f>($B23/12)*(1+INDEX($C23:$E23,1,Control!$B$10))^G5*INDEX($B$13:$M$13,1,MOD(2-1,12)+1)</f>
        <v/>
      </c>
      <c r="H23" s="34">
        <f>($B23/12)*(1+INDEX($C23:$E23,1,Control!$B$10))^H5*INDEX($B$13:$M$13,1,MOD(3-1,12)+1)</f>
        <v/>
      </c>
      <c r="I23" s="34">
        <f>($B23/12)*(1+INDEX($C23:$E23,1,Control!$B$10))^I5*INDEX($B$13:$M$13,1,MOD(4-1,12)+1)</f>
        <v/>
      </c>
      <c r="J23" s="34">
        <f>($B23/12)*(1+INDEX($C23:$E23,1,Control!$B$10))^J5*INDEX($B$13:$M$13,1,MOD(5-1,12)+1)</f>
        <v/>
      </c>
      <c r="K23" s="34">
        <f>($B23/12)*(1+INDEX($C23:$E23,1,Control!$B$10))^K5*INDEX($B$13:$M$13,1,MOD(6-1,12)+1)</f>
        <v/>
      </c>
      <c r="L23" s="34">
        <f>($B23/12)*(1+INDEX($C23:$E23,1,Control!$B$10))^L5*INDEX($B$13:$M$13,1,MOD(7-1,12)+1)</f>
        <v/>
      </c>
      <c r="M23" s="34">
        <f>($B23/12)*(1+INDEX($C23:$E23,1,Control!$B$10))^M5*INDEX($B$13:$M$13,1,MOD(8-1,12)+1)</f>
        <v/>
      </c>
      <c r="N23" s="34">
        <f>($B23/12)*(1+INDEX($C23:$E23,1,Control!$B$10))^N5*INDEX($B$13:$M$13,1,MOD(9-1,12)+1)</f>
        <v/>
      </c>
      <c r="O23" s="34">
        <f>($B23/12)*(1+INDEX($C23:$E23,1,Control!$B$10))^O5*INDEX($B$13:$M$13,1,MOD(10-1,12)+1)</f>
        <v/>
      </c>
      <c r="P23" s="34">
        <f>($B23/12)*(1+INDEX($C23:$E23,1,Control!$B$10))^P5*INDEX($B$13:$M$13,1,MOD(11-1,12)+1)</f>
        <v/>
      </c>
      <c r="Q23" s="34">
        <f>($B23/12)*(1+INDEX($C23:$E23,1,Control!$B$10))^Q5*INDEX($B$13:$M$13,1,MOD(12-1,12)+1)</f>
        <v/>
      </c>
      <c r="R23" s="34">
        <f>($B23/12)*(1+INDEX($C23:$E23,1,Control!$B$10))^R5*INDEX($B$13:$M$13,1,MOD(13-1,12)+1)</f>
        <v/>
      </c>
      <c r="S23" s="34">
        <f>($B23/12)*(1+INDEX($C23:$E23,1,Control!$B$10))^S5*INDEX($B$13:$M$13,1,MOD(14-1,12)+1)</f>
        <v/>
      </c>
      <c r="T23" s="34">
        <f>($B23/12)*(1+INDEX($C23:$E23,1,Control!$B$10))^T5*INDEX($B$13:$M$13,1,MOD(15-1,12)+1)</f>
        <v/>
      </c>
      <c r="U23" s="34">
        <f>($B23/12)*(1+INDEX($C23:$E23,1,Control!$B$10))^U5*INDEX($B$13:$M$13,1,MOD(16-1,12)+1)</f>
        <v/>
      </c>
      <c r="V23" s="34">
        <f>($B23/12)*(1+INDEX($C23:$E23,1,Control!$B$10))^V5*INDEX($B$13:$M$13,1,MOD(17-1,12)+1)</f>
        <v/>
      </c>
      <c r="W23" s="34">
        <f>($B23/12)*(1+INDEX($C23:$E23,1,Control!$B$10))^W5*INDEX($B$13:$M$13,1,MOD(18-1,12)+1)</f>
        <v/>
      </c>
      <c r="X23" s="34">
        <f>($B23/12)*(1+INDEX($C23:$E23,1,Control!$B$10))^X5*INDEX($B$13:$M$13,1,MOD(19-1,12)+1)</f>
        <v/>
      </c>
      <c r="Y23" s="34">
        <f>($B23/12)*(1+INDEX($C23:$E23,1,Control!$B$10))^Y5*INDEX($B$13:$M$13,1,MOD(20-1,12)+1)</f>
        <v/>
      </c>
      <c r="Z23" s="34">
        <f>($B23/12)*(1+INDEX($C23:$E23,1,Control!$B$10))^Z5*INDEX($B$13:$M$13,1,MOD(21-1,12)+1)</f>
        <v/>
      </c>
      <c r="AA23" s="34">
        <f>($B23/12)*(1+INDEX($C23:$E23,1,Control!$B$10))^AA5*INDEX($B$13:$M$13,1,MOD(22-1,12)+1)</f>
        <v/>
      </c>
      <c r="AB23" s="34">
        <f>($B23/12)*(1+INDEX($C23:$E23,1,Control!$B$10))^AB5*INDEX($B$13:$M$13,1,MOD(23-1,12)+1)</f>
        <v/>
      </c>
      <c r="AC23" s="34">
        <f>($B23/12)*(1+INDEX($C23:$E23,1,Control!$B$10))^AC5*INDEX($B$13:$M$13,1,MOD(24-1,12)+1)</f>
        <v/>
      </c>
      <c r="AD23" s="34">
        <f>($B23/12)*(1+INDEX($C23:$E23,1,Control!$B$10))^AD5*INDEX($B$13:$M$13,1,MOD(25-1,12)+1)</f>
        <v/>
      </c>
      <c r="AE23" s="34">
        <f>($B23/12)*(1+INDEX($C23:$E23,1,Control!$B$10))^AE5*INDEX($B$13:$M$13,1,MOD(26-1,12)+1)</f>
        <v/>
      </c>
      <c r="AF23" s="34">
        <f>($B23/12)*(1+INDEX($C23:$E23,1,Control!$B$10))^AF5*INDEX($B$13:$M$13,1,MOD(27-1,12)+1)</f>
        <v/>
      </c>
      <c r="AG23" s="34">
        <f>($B23/12)*(1+INDEX($C23:$E23,1,Control!$B$10))^AG5*INDEX($B$13:$M$13,1,MOD(28-1,12)+1)</f>
        <v/>
      </c>
      <c r="AH23" s="34">
        <f>($B23/12)*(1+INDEX($C23:$E23,1,Control!$B$10))^AH5*INDEX($B$13:$M$13,1,MOD(29-1,12)+1)</f>
        <v/>
      </c>
      <c r="AI23" s="34">
        <f>($B23/12)*(1+INDEX($C23:$E23,1,Control!$B$10))^AI5*INDEX($B$13:$M$13,1,MOD(30-1,12)+1)</f>
        <v/>
      </c>
      <c r="AJ23" s="34">
        <f>($B23/12)*(1+INDEX($C23:$E23,1,Control!$B$10))^AJ5*INDEX($B$13:$M$13,1,MOD(31-1,12)+1)</f>
        <v/>
      </c>
      <c r="AK23" s="34">
        <f>($B23/12)*(1+INDEX($C23:$E23,1,Control!$B$10))^AK5*INDEX($B$13:$M$13,1,MOD(32-1,12)+1)</f>
        <v/>
      </c>
      <c r="AL23" s="34">
        <f>($B23/12)*(1+INDEX($C23:$E23,1,Control!$B$10))^AL5*INDEX($B$13:$M$13,1,MOD(33-1,12)+1)</f>
        <v/>
      </c>
      <c r="AM23" s="34">
        <f>($B23/12)*(1+INDEX($C23:$E23,1,Control!$B$10))^AM5*INDEX($B$13:$M$13,1,MOD(34-1,12)+1)</f>
        <v/>
      </c>
      <c r="AN23" s="34">
        <f>($B23/12)*(1+INDEX($C23:$E23,1,Control!$B$10))^AN5*INDEX($B$13:$M$13,1,MOD(35-1,12)+1)</f>
        <v/>
      </c>
      <c r="AO23" s="34">
        <f>($B23/12)*(1+INDEX($C23:$E23,1,Control!$B$10))^AO5*INDEX($B$13:$M$13,1,MOD(36-1,12)+1)</f>
        <v/>
      </c>
      <c r="AP23" s="34">
        <f>($B23/12)*(1+INDEX($C23:$E23,1,Control!$B$10))^AP5*INDEX($B$13:$M$13,1,MOD(37-1,12)+1)</f>
        <v/>
      </c>
      <c r="AQ23" s="34">
        <f>($B23/12)*(1+INDEX($C23:$E23,1,Control!$B$10))^AQ5*INDEX($B$13:$M$13,1,MOD(38-1,12)+1)</f>
        <v/>
      </c>
      <c r="AR23" s="34">
        <f>($B23/12)*(1+INDEX($C23:$E23,1,Control!$B$10))^AR5*INDEX($B$13:$M$13,1,MOD(39-1,12)+1)</f>
        <v/>
      </c>
      <c r="AS23" s="34">
        <f>($B23/12)*(1+INDEX($C23:$E23,1,Control!$B$10))^AS5*INDEX($B$13:$M$13,1,MOD(40-1,12)+1)</f>
        <v/>
      </c>
      <c r="AT23" s="34">
        <f>($B23/12)*(1+INDEX($C23:$E23,1,Control!$B$10))^AT5*INDEX($B$13:$M$13,1,MOD(41-1,12)+1)</f>
        <v/>
      </c>
      <c r="AU23" s="34">
        <f>($B23/12)*(1+INDEX($C23:$E23,1,Control!$B$10))^AU5*INDEX($B$13:$M$13,1,MOD(42-1,12)+1)</f>
        <v/>
      </c>
      <c r="AV23" s="34">
        <f>($B23/12)*(1+INDEX($C23:$E23,1,Control!$B$10))^AV5*INDEX($B$13:$M$13,1,MOD(43-1,12)+1)</f>
        <v/>
      </c>
      <c r="AW23" s="34">
        <f>($B23/12)*(1+INDEX($C23:$E23,1,Control!$B$10))^AW5*INDEX($B$13:$M$13,1,MOD(44-1,12)+1)</f>
        <v/>
      </c>
      <c r="AX23" s="34">
        <f>($B23/12)*(1+INDEX($C23:$E23,1,Control!$B$10))^AX5*INDEX($B$13:$M$13,1,MOD(45-1,12)+1)</f>
        <v/>
      </c>
      <c r="AY23" s="34">
        <f>($B23/12)*(1+INDEX($C23:$E23,1,Control!$B$10))^AY5*INDEX($B$13:$M$13,1,MOD(46-1,12)+1)</f>
        <v/>
      </c>
      <c r="AZ23" s="34">
        <f>($B23/12)*(1+INDEX($C23:$E23,1,Control!$B$10))^AZ5*INDEX($B$13:$M$13,1,MOD(47-1,12)+1)</f>
        <v/>
      </c>
      <c r="BA23" s="34">
        <f>($B23/12)*(1+INDEX($C23:$E23,1,Control!$B$10))^BA5*INDEX($B$13:$M$13,1,MOD(48-1,12)+1)</f>
        <v/>
      </c>
      <c r="BB23" s="34">
        <f>($B23/12)*(1+INDEX($C23:$E23,1,Control!$B$10))^BB5*INDEX($B$13:$M$13,1,MOD(49-1,12)+1)</f>
        <v/>
      </c>
      <c r="BC23" s="34">
        <f>($B23/12)*(1+INDEX($C23:$E23,1,Control!$B$10))^BC5*INDEX($B$13:$M$13,1,MOD(50-1,12)+1)</f>
        <v/>
      </c>
      <c r="BD23" s="34">
        <f>($B23/12)*(1+INDEX($C23:$E23,1,Control!$B$10))^BD5*INDEX($B$13:$M$13,1,MOD(51-1,12)+1)</f>
        <v/>
      </c>
      <c r="BE23" s="34">
        <f>($B23/12)*(1+INDEX($C23:$E23,1,Control!$B$10))^BE5*INDEX($B$13:$M$13,1,MOD(52-1,12)+1)</f>
        <v/>
      </c>
      <c r="BF23" s="34">
        <f>($B23/12)*(1+INDEX($C23:$E23,1,Control!$B$10))^BF5*INDEX($B$13:$M$13,1,MOD(53-1,12)+1)</f>
        <v/>
      </c>
      <c r="BG23" s="34">
        <f>($B23/12)*(1+INDEX($C23:$E23,1,Control!$B$10))^BG5*INDEX($B$13:$M$13,1,MOD(54-1,12)+1)</f>
        <v/>
      </c>
      <c r="BH23" s="34">
        <f>($B23/12)*(1+INDEX($C23:$E23,1,Control!$B$10))^BH5*INDEX($B$13:$M$13,1,MOD(55-1,12)+1)</f>
        <v/>
      </c>
      <c r="BI23" s="34">
        <f>($B23/12)*(1+INDEX($C23:$E23,1,Control!$B$10))^BI5*INDEX($B$13:$M$13,1,MOD(56-1,12)+1)</f>
        <v/>
      </c>
      <c r="BJ23" s="34">
        <f>($B23/12)*(1+INDEX($C23:$E23,1,Control!$B$10))^BJ5*INDEX($B$13:$M$13,1,MOD(57-1,12)+1)</f>
        <v/>
      </c>
      <c r="BK23" s="34">
        <f>($B23/12)*(1+INDEX($C23:$E23,1,Control!$B$10))^BK5*INDEX($B$13:$M$13,1,MOD(58-1,12)+1)</f>
        <v/>
      </c>
      <c r="BL23" s="34">
        <f>($B23/12)*(1+INDEX($C23:$E23,1,Control!$B$10))^BL5*INDEX($B$13:$M$13,1,MOD(59-1,12)+1)</f>
        <v/>
      </c>
      <c r="BM23" s="34">
        <f>($B23/12)*(1+INDEX($C23:$E23,1,Control!$B$10))^BM5*INDEX($B$13:$M$13,1,MOD(60-1,12)+1)</f>
        <v/>
      </c>
      <c r="BN23" s="34">
        <f>($B23/12)*(1+INDEX($C23:$E23,1,Control!$B$10))^BN5*INDEX($B$13:$M$13,1,MOD(61-1,12)+1)</f>
        <v/>
      </c>
      <c r="BO23" s="34">
        <f>($B23/12)*(1+INDEX($C23:$E23,1,Control!$B$10))^BO5*INDEX($B$13:$M$13,1,MOD(62-1,12)+1)</f>
        <v/>
      </c>
      <c r="BP23" s="34">
        <f>($B23/12)*(1+INDEX($C23:$E23,1,Control!$B$10))^BP5*INDEX($B$13:$M$13,1,MOD(63-1,12)+1)</f>
        <v/>
      </c>
      <c r="BQ23" s="34">
        <f>($B23/12)*(1+INDEX($C23:$E23,1,Control!$B$10))^BQ5*INDEX($B$13:$M$13,1,MOD(64-1,12)+1)</f>
        <v/>
      </c>
      <c r="BR23" s="34">
        <f>($B23/12)*(1+INDEX($C23:$E23,1,Control!$B$10))^BR5*INDEX($B$13:$M$13,1,MOD(65-1,12)+1)</f>
        <v/>
      </c>
      <c r="BS23" s="34">
        <f>($B23/12)*(1+INDEX($C23:$E23,1,Control!$B$10))^BS5*INDEX($B$13:$M$13,1,MOD(66-1,12)+1)</f>
        <v/>
      </c>
      <c r="BT23" s="34">
        <f>($B23/12)*(1+INDEX($C23:$E23,1,Control!$B$10))^BT5*INDEX($B$13:$M$13,1,MOD(67-1,12)+1)</f>
        <v/>
      </c>
      <c r="BU23" s="34">
        <f>($B23/12)*(1+INDEX($C23:$E23,1,Control!$B$10))^BU5*INDEX($B$13:$M$13,1,MOD(68-1,12)+1)</f>
        <v/>
      </c>
      <c r="BV23" s="34">
        <f>($B23/12)*(1+INDEX($C23:$E23,1,Control!$B$10))^BV5*INDEX($B$13:$M$13,1,MOD(69-1,12)+1)</f>
        <v/>
      </c>
      <c r="BW23" s="34">
        <f>($B23/12)*(1+INDEX($C23:$E23,1,Control!$B$10))^BW5*INDEX($B$13:$M$13,1,MOD(70-1,12)+1)</f>
        <v/>
      </c>
      <c r="BX23" s="34">
        <f>($B23/12)*(1+INDEX($C23:$E23,1,Control!$B$10))^BX5*INDEX($B$13:$M$13,1,MOD(71-1,12)+1)</f>
        <v/>
      </c>
      <c r="BY23" s="34">
        <f>($B23/12)*(1+INDEX($C23:$E23,1,Control!$B$10))^BY5*INDEX($B$13:$M$13,1,MOD(72-1,12)+1)</f>
        <v/>
      </c>
      <c r="BZ23" s="34">
        <f>($B23/12)*(1+INDEX($C23:$E23,1,Control!$B$10))^BZ5*INDEX($B$13:$M$13,1,MOD(73-1,12)+1)</f>
        <v/>
      </c>
      <c r="CA23" s="34">
        <f>($B23/12)*(1+INDEX($C23:$E23,1,Control!$B$10))^CA5*INDEX($B$13:$M$13,1,MOD(74-1,12)+1)</f>
        <v/>
      </c>
      <c r="CB23" s="34">
        <f>($B23/12)*(1+INDEX($C23:$E23,1,Control!$B$10))^CB5*INDEX($B$13:$M$13,1,MOD(75-1,12)+1)</f>
        <v/>
      </c>
      <c r="CC23" s="34">
        <f>($B23/12)*(1+INDEX($C23:$E23,1,Control!$B$10))^CC5*INDEX($B$13:$M$13,1,MOD(76-1,12)+1)</f>
        <v/>
      </c>
      <c r="CD23" s="34">
        <f>($B23/12)*(1+INDEX($C23:$E23,1,Control!$B$10))^CD5*INDEX($B$13:$M$13,1,MOD(77-1,12)+1)</f>
        <v/>
      </c>
      <c r="CE23" s="34">
        <f>($B23/12)*(1+INDEX($C23:$E23,1,Control!$B$10))^CE5*INDEX($B$13:$M$13,1,MOD(78-1,12)+1)</f>
        <v/>
      </c>
      <c r="CF23" s="34">
        <f>($B23/12)*(1+INDEX($C23:$E23,1,Control!$B$10))^CF5*INDEX($B$13:$M$13,1,MOD(79-1,12)+1)</f>
        <v/>
      </c>
      <c r="CG23" s="34">
        <f>($B23/12)*(1+INDEX($C23:$E23,1,Control!$B$10))^CG5*INDEX($B$13:$M$13,1,MOD(80-1,12)+1)</f>
        <v/>
      </c>
      <c r="CH23" s="34">
        <f>($B23/12)*(1+INDEX($C23:$E23,1,Control!$B$10))^CH5*INDEX($B$13:$M$13,1,MOD(81-1,12)+1)</f>
        <v/>
      </c>
      <c r="CI23" s="34">
        <f>($B23/12)*(1+INDEX($C23:$E23,1,Control!$B$10))^CI5*INDEX($B$13:$M$13,1,MOD(82-1,12)+1)</f>
        <v/>
      </c>
      <c r="CJ23" s="34">
        <f>($B23/12)*(1+INDEX($C23:$E23,1,Control!$B$10))^CJ5*INDEX($B$13:$M$13,1,MOD(83-1,12)+1)</f>
        <v/>
      </c>
      <c r="CK23" s="34">
        <f>($B23/12)*(1+INDEX($C23:$E23,1,Control!$B$10))^CK5*INDEX($B$13:$M$13,1,MOD(84-1,12)+1)</f>
        <v/>
      </c>
      <c r="CL23" s="34">
        <f>($B23/12)*(1+INDEX($C23:$E23,1,Control!$B$10))^CL5*INDEX($B$13:$M$13,1,MOD(85-1,12)+1)</f>
        <v/>
      </c>
      <c r="CM23" s="34">
        <f>($B23/12)*(1+INDEX($C23:$E23,1,Control!$B$10))^CM5*INDEX($B$13:$M$13,1,MOD(86-1,12)+1)</f>
        <v/>
      </c>
      <c r="CN23" s="34">
        <f>($B23/12)*(1+INDEX($C23:$E23,1,Control!$B$10))^CN5*INDEX($B$13:$M$13,1,MOD(87-1,12)+1)</f>
        <v/>
      </c>
      <c r="CO23" s="34">
        <f>($B23/12)*(1+INDEX($C23:$E23,1,Control!$B$10))^CO5*INDEX($B$13:$M$13,1,MOD(88-1,12)+1)</f>
        <v/>
      </c>
      <c r="CP23" s="34">
        <f>($B23/12)*(1+INDEX($C23:$E23,1,Control!$B$10))^CP5*INDEX($B$13:$M$13,1,MOD(89-1,12)+1)</f>
        <v/>
      </c>
      <c r="CQ23" s="34">
        <f>($B23/12)*(1+INDEX($C23:$E23,1,Control!$B$10))^CQ5*INDEX($B$13:$M$13,1,MOD(90-1,12)+1)</f>
        <v/>
      </c>
      <c r="CR23" s="34">
        <f>($B23/12)*(1+INDEX($C23:$E23,1,Control!$B$10))^CR5*INDEX($B$13:$M$13,1,MOD(91-1,12)+1)</f>
        <v/>
      </c>
      <c r="CS23" s="34">
        <f>($B23/12)*(1+INDEX($C23:$E23,1,Control!$B$10))^CS5*INDEX($B$13:$M$13,1,MOD(92-1,12)+1)</f>
        <v/>
      </c>
      <c r="CT23" s="34">
        <f>($B23/12)*(1+INDEX($C23:$E23,1,Control!$B$10))^CT5*INDEX($B$13:$M$13,1,MOD(93-1,12)+1)</f>
        <v/>
      </c>
      <c r="CU23" s="34">
        <f>($B23/12)*(1+INDEX($C23:$E23,1,Control!$B$10))^CU5*INDEX($B$13:$M$13,1,MOD(94-1,12)+1)</f>
        <v/>
      </c>
      <c r="CV23" s="34">
        <f>($B23/12)*(1+INDEX($C23:$E23,1,Control!$B$10))^CV5*INDEX($B$13:$M$13,1,MOD(95-1,12)+1)</f>
        <v/>
      </c>
      <c r="CW23" s="34">
        <f>($B23/12)*(1+INDEX($C23:$E23,1,Control!$B$10))^CW5*INDEX($B$13:$M$13,1,MOD(96-1,12)+1)</f>
        <v/>
      </c>
      <c r="CX23" s="34">
        <f>($B23/12)*(1+INDEX($C23:$E23,1,Control!$B$10))^CX5*INDEX($B$13:$M$13,1,MOD(97-1,12)+1)</f>
        <v/>
      </c>
      <c r="CY23" s="34">
        <f>($B23/12)*(1+INDEX($C23:$E23,1,Control!$B$10))^CY5*INDEX($B$13:$M$13,1,MOD(98-1,12)+1)</f>
        <v/>
      </c>
      <c r="CZ23" s="34">
        <f>($B23/12)*(1+INDEX($C23:$E23,1,Control!$B$10))^CZ5*INDEX($B$13:$M$13,1,MOD(99-1,12)+1)</f>
        <v/>
      </c>
      <c r="DA23" s="34">
        <f>($B23/12)*(1+INDEX($C23:$E23,1,Control!$B$10))^DA5*INDEX($B$13:$M$13,1,MOD(100-1,12)+1)</f>
        <v/>
      </c>
      <c r="DB23" s="34">
        <f>($B23/12)*(1+INDEX($C23:$E23,1,Control!$B$10))^DB5*INDEX($B$13:$M$13,1,MOD(101-1,12)+1)</f>
        <v/>
      </c>
      <c r="DC23" s="34">
        <f>($B23/12)*(1+INDEX($C23:$E23,1,Control!$B$10))^DC5*INDEX($B$13:$M$13,1,MOD(102-1,12)+1)</f>
        <v/>
      </c>
      <c r="DD23" s="34">
        <f>($B23/12)*(1+INDEX($C23:$E23,1,Control!$B$10))^DD5*INDEX($B$13:$M$13,1,MOD(103-1,12)+1)</f>
        <v/>
      </c>
      <c r="DE23" s="34">
        <f>($B23/12)*(1+INDEX($C23:$E23,1,Control!$B$10))^DE5*INDEX($B$13:$M$13,1,MOD(104-1,12)+1)</f>
        <v/>
      </c>
      <c r="DF23" s="34">
        <f>($B23/12)*(1+INDEX($C23:$E23,1,Control!$B$10))^DF5*INDEX($B$13:$M$13,1,MOD(105-1,12)+1)</f>
        <v/>
      </c>
      <c r="DG23" s="34">
        <f>($B23/12)*(1+INDEX($C23:$E23,1,Control!$B$10))^DG5*INDEX($B$13:$M$13,1,MOD(106-1,12)+1)</f>
        <v/>
      </c>
      <c r="DH23" s="34">
        <f>($B23/12)*(1+INDEX($C23:$E23,1,Control!$B$10))^DH5*INDEX($B$13:$M$13,1,MOD(107-1,12)+1)</f>
        <v/>
      </c>
      <c r="DI23" s="34">
        <f>($B23/12)*(1+INDEX($C23:$E23,1,Control!$B$10))^DI5*INDEX($B$13:$M$13,1,MOD(108-1,12)+1)</f>
        <v/>
      </c>
      <c r="DJ23" s="34">
        <f>($B23/12)*(1+INDEX($C23:$E23,1,Control!$B$10))^DJ5*INDEX($B$13:$M$13,1,MOD(109-1,12)+1)</f>
        <v/>
      </c>
      <c r="DK23" s="34">
        <f>($B23/12)*(1+INDEX($C23:$E23,1,Control!$B$10))^DK5*INDEX($B$13:$M$13,1,MOD(110-1,12)+1)</f>
        <v/>
      </c>
      <c r="DL23" s="34">
        <f>($B23/12)*(1+INDEX($C23:$E23,1,Control!$B$10))^DL5*INDEX($B$13:$M$13,1,MOD(111-1,12)+1)</f>
        <v/>
      </c>
      <c r="DM23" s="34">
        <f>($B23/12)*(1+INDEX($C23:$E23,1,Control!$B$10))^DM5*INDEX($B$13:$M$13,1,MOD(112-1,12)+1)</f>
        <v/>
      </c>
      <c r="DN23" s="34">
        <f>($B23/12)*(1+INDEX($C23:$E23,1,Control!$B$10))^DN5*INDEX($B$13:$M$13,1,MOD(113-1,12)+1)</f>
        <v/>
      </c>
      <c r="DO23" s="34">
        <f>($B23/12)*(1+INDEX($C23:$E23,1,Control!$B$10))^DO5*INDEX($B$13:$M$13,1,MOD(114-1,12)+1)</f>
        <v/>
      </c>
      <c r="DP23" s="34">
        <f>($B23/12)*(1+INDEX($C23:$E23,1,Control!$B$10))^DP5*INDEX($B$13:$M$13,1,MOD(115-1,12)+1)</f>
        <v/>
      </c>
      <c r="DQ23" s="34">
        <f>($B23/12)*(1+INDEX($C23:$E23,1,Control!$B$10))^DQ5*INDEX($B$13:$M$13,1,MOD(116-1,12)+1)</f>
        <v/>
      </c>
      <c r="DR23" s="34">
        <f>($B23/12)*(1+INDEX($C23:$E23,1,Control!$B$10))^DR5*INDEX($B$13:$M$13,1,MOD(117-1,12)+1)</f>
        <v/>
      </c>
      <c r="DS23" s="34">
        <f>($B23/12)*(1+INDEX($C23:$E23,1,Control!$B$10))^DS5*INDEX($B$13:$M$13,1,MOD(118-1,12)+1)</f>
        <v/>
      </c>
      <c r="DT23" s="34">
        <f>($B23/12)*(1+INDEX($C23:$E23,1,Control!$B$10))^DT5*INDEX($B$13:$M$13,1,MOD(119-1,12)+1)</f>
        <v/>
      </c>
      <c r="DU23" s="34">
        <f>($B23/12)*(1+INDEX($C23:$E23,1,Control!$B$10))^DU5*INDEX($B$13:$M$13,1,MOD(120-1,12)+1)</f>
        <v/>
      </c>
    </row>
    <row r="24">
      <c r="A24" t="inlineStr">
        <is>
          <t>SkyBrew-Kegs-OffTrade</t>
        </is>
      </c>
      <c r="B24" s="33" t="n">
        <v>0</v>
      </c>
      <c r="C24" s="22" t="n">
        <v>0.03</v>
      </c>
      <c r="D24" s="22" t="n">
        <v>0.05</v>
      </c>
      <c r="E24" s="22" t="n">
        <v>0.01</v>
      </c>
      <c r="F24" s="34">
        <f>($B24/12)*(1+INDEX($C24:$E24,1,Control!$B$10))^F5*INDEX($B$13:$M$13,1,MOD(1-1,12)+1)</f>
        <v/>
      </c>
      <c r="G24" s="34">
        <f>($B24/12)*(1+INDEX($C24:$E24,1,Control!$B$10))^G5*INDEX($B$13:$M$13,1,MOD(2-1,12)+1)</f>
        <v/>
      </c>
      <c r="H24" s="34">
        <f>($B24/12)*(1+INDEX($C24:$E24,1,Control!$B$10))^H5*INDEX($B$13:$M$13,1,MOD(3-1,12)+1)</f>
        <v/>
      </c>
      <c r="I24" s="34">
        <f>($B24/12)*(1+INDEX($C24:$E24,1,Control!$B$10))^I5*INDEX($B$13:$M$13,1,MOD(4-1,12)+1)</f>
        <v/>
      </c>
      <c r="J24" s="34">
        <f>($B24/12)*(1+INDEX($C24:$E24,1,Control!$B$10))^J5*INDEX($B$13:$M$13,1,MOD(5-1,12)+1)</f>
        <v/>
      </c>
      <c r="K24" s="34">
        <f>($B24/12)*(1+INDEX($C24:$E24,1,Control!$B$10))^K5*INDEX($B$13:$M$13,1,MOD(6-1,12)+1)</f>
        <v/>
      </c>
      <c r="L24" s="34">
        <f>($B24/12)*(1+INDEX($C24:$E24,1,Control!$B$10))^L5*INDEX($B$13:$M$13,1,MOD(7-1,12)+1)</f>
        <v/>
      </c>
      <c r="M24" s="34">
        <f>($B24/12)*(1+INDEX($C24:$E24,1,Control!$B$10))^M5*INDEX($B$13:$M$13,1,MOD(8-1,12)+1)</f>
        <v/>
      </c>
      <c r="N24" s="34">
        <f>($B24/12)*(1+INDEX($C24:$E24,1,Control!$B$10))^N5*INDEX($B$13:$M$13,1,MOD(9-1,12)+1)</f>
        <v/>
      </c>
      <c r="O24" s="34">
        <f>($B24/12)*(1+INDEX($C24:$E24,1,Control!$B$10))^O5*INDEX($B$13:$M$13,1,MOD(10-1,12)+1)</f>
        <v/>
      </c>
      <c r="P24" s="34">
        <f>($B24/12)*(1+INDEX($C24:$E24,1,Control!$B$10))^P5*INDEX($B$13:$M$13,1,MOD(11-1,12)+1)</f>
        <v/>
      </c>
      <c r="Q24" s="34">
        <f>($B24/12)*(1+INDEX($C24:$E24,1,Control!$B$10))^Q5*INDEX($B$13:$M$13,1,MOD(12-1,12)+1)</f>
        <v/>
      </c>
      <c r="R24" s="34">
        <f>($B24/12)*(1+INDEX($C24:$E24,1,Control!$B$10))^R5*INDEX($B$13:$M$13,1,MOD(13-1,12)+1)</f>
        <v/>
      </c>
      <c r="S24" s="34">
        <f>($B24/12)*(1+INDEX($C24:$E24,1,Control!$B$10))^S5*INDEX($B$13:$M$13,1,MOD(14-1,12)+1)</f>
        <v/>
      </c>
      <c r="T24" s="34">
        <f>($B24/12)*(1+INDEX($C24:$E24,1,Control!$B$10))^T5*INDEX($B$13:$M$13,1,MOD(15-1,12)+1)</f>
        <v/>
      </c>
      <c r="U24" s="34">
        <f>($B24/12)*(1+INDEX($C24:$E24,1,Control!$B$10))^U5*INDEX($B$13:$M$13,1,MOD(16-1,12)+1)</f>
        <v/>
      </c>
      <c r="V24" s="34">
        <f>($B24/12)*(1+INDEX($C24:$E24,1,Control!$B$10))^V5*INDEX($B$13:$M$13,1,MOD(17-1,12)+1)</f>
        <v/>
      </c>
      <c r="W24" s="34">
        <f>($B24/12)*(1+INDEX($C24:$E24,1,Control!$B$10))^W5*INDEX($B$13:$M$13,1,MOD(18-1,12)+1)</f>
        <v/>
      </c>
      <c r="X24" s="34">
        <f>($B24/12)*(1+INDEX($C24:$E24,1,Control!$B$10))^X5*INDEX($B$13:$M$13,1,MOD(19-1,12)+1)</f>
        <v/>
      </c>
      <c r="Y24" s="34">
        <f>($B24/12)*(1+INDEX($C24:$E24,1,Control!$B$10))^Y5*INDEX($B$13:$M$13,1,MOD(20-1,12)+1)</f>
        <v/>
      </c>
      <c r="Z24" s="34">
        <f>($B24/12)*(1+INDEX($C24:$E24,1,Control!$B$10))^Z5*INDEX($B$13:$M$13,1,MOD(21-1,12)+1)</f>
        <v/>
      </c>
      <c r="AA24" s="34">
        <f>($B24/12)*(1+INDEX($C24:$E24,1,Control!$B$10))^AA5*INDEX($B$13:$M$13,1,MOD(22-1,12)+1)</f>
        <v/>
      </c>
      <c r="AB24" s="34">
        <f>($B24/12)*(1+INDEX($C24:$E24,1,Control!$B$10))^AB5*INDEX($B$13:$M$13,1,MOD(23-1,12)+1)</f>
        <v/>
      </c>
      <c r="AC24" s="34">
        <f>($B24/12)*(1+INDEX($C24:$E24,1,Control!$B$10))^AC5*INDEX($B$13:$M$13,1,MOD(24-1,12)+1)</f>
        <v/>
      </c>
      <c r="AD24" s="34">
        <f>($B24/12)*(1+INDEX($C24:$E24,1,Control!$B$10))^AD5*INDEX($B$13:$M$13,1,MOD(25-1,12)+1)</f>
        <v/>
      </c>
      <c r="AE24" s="34">
        <f>($B24/12)*(1+INDEX($C24:$E24,1,Control!$B$10))^AE5*INDEX($B$13:$M$13,1,MOD(26-1,12)+1)</f>
        <v/>
      </c>
      <c r="AF24" s="34">
        <f>($B24/12)*(1+INDEX($C24:$E24,1,Control!$B$10))^AF5*INDEX($B$13:$M$13,1,MOD(27-1,12)+1)</f>
        <v/>
      </c>
      <c r="AG24" s="34">
        <f>($B24/12)*(1+INDEX($C24:$E24,1,Control!$B$10))^AG5*INDEX($B$13:$M$13,1,MOD(28-1,12)+1)</f>
        <v/>
      </c>
      <c r="AH24" s="34">
        <f>($B24/12)*(1+INDEX($C24:$E24,1,Control!$B$10))^AH5*INDEX($B$13:$M$13,1,MOD(29-1,12)+1)</f>
        <v/>
      </c>
      <c r="AI24" s="34">
        <f>($B24/12)*(1+INDEX($C24:$E24,1,Control!$B$10))^AI5*INDEX($B$13:$M$13,1,MOD(30-1,12)+1)</f>
        <v/>
      </c>
      <c r="AJ24" s="34">
        <f>($B24/12)*(1+INDEX($C24:$E24,1,Control!$B$10))^AJ5*INDEX($B$13:$M$13,1,MOD(31-1,12)+1)</f>
        <v/>
      </c>
      <c r="AK24" s="34">
        <f>($B24/12)*(1+INDEX($C24:$E24,1,Control!$B$10))^AK5*INDEX($B$13:$M$13,1,MOD(32-1,12)+1)</f>
        <v/>
      </c>
      <c r="AL24" s="34">
        <f>($B24/12)*(1+INDEX($C24:$E24,1,Control!$B$10))^AL5*INDEX($B$13:$M$13,1,MOD(33-1,12)+1)</f>
        <v/>
      </c>
      <c r="AM24" s="34">
        <f>($B24/12)*(1+INDEX($C24:$E24,1,Control!$B$10))^AM5*INDEX($B$13:$M$13,1,MOD(34-1,12)+1)</f>
        <v/>
      </c>
      <c r="AN24" s="34">
        <f>($B24/12)*(1+INDEX($C24:$E24,1,Control!$B$10))^AN5*INDEX($B$13:$M$13,1,MOD(35-1,12)+1)</f>
        <v/>
      </c>
      <c r="AO24" s="34">
        <f>($B24/12)*(1+INDEX($C24:$E24,1,Control!$B$10))^AO5*INDEX($B$13:$M$13,1,MOD(36-1,12)+1)</f>
        <v/>
      </c>
      <c r="AP24" s="34">
        <f>($B24/12)*(1+INDEX($C24:$E24,1,Control!$B$10))^AP5*INDEX($B$13:$M$13,1,MOD(37-1,12)+1)</f>
        <v/>
      </c>
      <c r="AQ24" s="34">
        <f>($B24/12)*(1+INDEX($C24:$E24,1,Control!$B$10))^AQ5*INDEX($B$13:$M$13,1,MOD(38-1,12)+1)</f>
        <v/>
      </c>
      <c r="AR24" s="34">
        <f>($B24/12)*(1+INDEX($C24:$E24,1,Control!$B$10))^AR5*INDEX($B$13:$M$13,1,MOD(39-1,12)+1)</f>
        <v/>
      </c>
      <c r="AS24" s="34">
        <f>($B24/12)*(1+INDEX($C24:$E24,1,Control!$B$10))^AS5*INDEX($B$13:$M$13,1,MOD(40-1,12)+1)</f>
        <v/>
      </c>
      <c r="AT24" s="34">
        <f>($B24/12)*(1+INDEX($C24:$E24,1,Control!$B$10))^AT5*INDEX($B$13:$M$13,1,MOD(41-1,12)+1)</f>
        <v/>
      </c>
      <c r="AU24" s="34">
        <f>($B24/12)*(1+INDEX($C24:$E24,1,Control!$B$10))^AU5*INDEX($B$13:$M$13,1,MOD(42-1,12)+1)</f>
        <v/>
      </c>
      <c r="AV24" s="34">
        <f>($B24/12)*(1+INDEX($C24:$E24,1,Control!$B$10))^AV5*INDEX($B$13:$M$13,1,MOD(43-1,12)+1)</f>
        <v/>
      </c>
      <c r="AW24" s="34">
        <f>($B24/12)*(1+INDEX($C24:$E24,1,Control!$B$10))^AW5*INDEX($B$13:$M$13,1,MOD(44-1,12)+1)</f>
        <v/>
      </c>
      <c r="AX24" s="34">
        <f>($B24/12)*(1+INDEX($C24:$E24,1,Control!$B$10))^AX5*INDEX($B$13:$M$13,1,MOD(45-1,12)+1)</f>
        <v/>
      </c>
      <c r="AY24" s="34">
        <f>($B24/12)*(1+INDEX($C24:$E24,1,Control!$B$10))^AY5*INDEX($B$13:$M$13,1,MOD(46-1,12)+1)</f>
        <v/>
      </c>
      <c r="AZ24" s="34">
        <f>($B24/12)*(1+INDEX($C24:$E24,1,Control!$B$10))^AZ5*INDEX($B$13:$M$13,1,MOD(47-1,12)+1)</f>
        <v/>
      </c>
      <c r="BA24" s="34">
        <f>($B24/12)*(1+INDEX($C24:$E24,1,Control!$B$10))^BA5*INDEX($B$13:$M$13,1,MOD(48-1,12)+1)</f>
        <v/>
      </c>
      <c r="BB24" s="34">
        <f>($B24/12)*(1+INDEX($C24:$E24,1,Control!$B$10))^BB5*INDEX($B$13:$M$13,1,MOD(49-1,12)+1)</f>
        <v/>
      </c>
      <c r="BC24" s="34">
        <f>($B24/12)*(1+INDEX($C24:$E24,1,Control!$B$10))^BC5*INDEX($B$13:$M$13,1,MOD(50-1,12)+1)</f>
        <v/>
      </c>
      <c r="BD24" s="34">
        <f>($B24/12)*(1+INDEX($C24:$E24,1,Control!$B$10))^BD5*INDEX($B$13:$M$13,1,MOD(51-1,12)+1)</f>
        <v/>
      </c>
      <c r="BE24" s="34">
        <f>($B24/12)*(1+INDEX($C24:$E24,1,Control!$B$10))^BE5*INDEX($B$13:$M$13,1,MOD(52-1,12)+1)</f>
        <v/>
      </c>
      <c r="BF24" s="34">
        <f>($B24/12)*(1+INDEX($C24:$E24,1,Control!$B$10))^BF5*INDEX($B$13:$M$13,1,MOD(53-1,12)+1)</f>
        <v/>
      </c>
      <c r="BG24" s="34">
        <f>($B24/12)*(1+INDEX($C24:$E24,1,Control!$B$10))^BG5*INDEX($B$13:$M$13,1,MOD(54-1,12)+1)</f>
        <v/>
      </c>
      <c r="BH24" s="34">
        <f>($B24/12)*(1+INDEX($C24:$E24,1,Control!$B$10))^BH5*INDEX($B$13:$M$13,1,MOD(55-1,12)+1)</f>
        <v/>
      </c>
      <c r="BI24" s="34">
        <f>($B24/12)*(1+INDEX($C24:$E24,1,Control!$B$10))^BI5*INDEX($B$13:$M$13,1,MOD(56-1,12)+1)</f>
        <v/>
      </c>
      <c r="BJ24" s="34">
        <f>($B24/12)*(1+INDEX($C24:$E24,1,Control!$B$10))^BJ5*INDEX($B$13:$M$13,1,MOD(57-1,12)+1)</f>
        <v/>
      </c>
      <c r="BK24" s="34">
        <f>($B24/12)*(1+INDEX($C24:$E24,1,Control!$B$10))^BK5*INDEX($B$13:$M$13,1,MOD(58-1,12)+1)</f>
        <v/>
      </c>
      <c r="BL24" s="34">
        <f>($B24/12)*(1+INDEX($C24:$E24,1,Control!$B$10))^BL5*INDEX($B$13:$M$13,1,MOD(59-1,12)+1)</f>
        <v/>
      </c>
      <c r="BM24" s="34">
        <f>($B24/12)*(1+INDEX($C24:$E24,1,Control!$B$10))^BM5*INDEX($B$13:$M$13,1,MOD(60-1,12)+1)</f>
        <v/>
      </c>
      <c r="BN24" s="34">
        <f>($B24/12)*(1+INDEX($C24:$E24,1,Control!$B$10))^BN5*INDEX($B$13:$M$13,1,MOD(61-1,12)+1)</f>
        <v/>
      </c>
      <c r="BO24" s="34">
        <f>($B24/12)*(1+INDEX($C24:$E24,1,Control!$B$10))^BO5*INDEX($B$13:$M$13,1,MOD(62-1,12)+1)</f>
        <v/>
      </c>
      <c r="BP24" s="34">
        <f>($B24/12)*(1+INDEX($C24:$E24,1,Control!$B$10))^BP5*INDEX($B$13:$M$13,1,MOD(63-1,12)+1)</f>
        <v/>
      </c>
      <c r="BQ24" s="34">
        <f>($B24/12)*(1+INDEX($C24:$E24,1,Control!$B$10))^BQ5*INDEX($B$13:$M$13,1,MOD(64-1,12)+1)</f>
        <v/>
      </c>
      <c r="BR24" s="34">
        <f>($B24/12)*(1+INDEX($C24:$E24,1,Control!$B$10))^BR5*INDEX($B$13:$M$13,1,MOD(65-1,12)+1)</f>
        <v/>
      </c>
      <c r="BS24" s="34">
        <f>($B24/12)*(1+INDEX($C24:$E24,1,Control!$B$10))^BS5*INDEX($B$13:$M$13,1,MOD(66-1,12)+1)</f>
        <v/>
      </c>
      <c r="BT24" s="34">
        <f>($B24/12)*(1+INDEX($C24:$E24,1,Control!$B$10))^BT5*INDEX($B$13:$M$13,1,MOD(67-1,12)+1)</f>
        <v/>
      </c>
      <c r="BU24" s="34">
        <f>($B24/12)*(1+INDEX($C24:$E24,1,Control!$B$10))^BU5*INDEX($B$13:$M$13,1,MOD(68-1,12)+1)</f>
        <v/>
      </c>
      <c r="BV24" s="34">
        <f>($B24/12)*(1+INDEX($C24:$E24,1,Control!$B$10))^BV5*INDEX($B$13:$M$13,1,MOD(69-1,12)+1)</f>
        <v/>
      </c>
      <c r="BW24" s="34">
        <f>($B24/12)*(1+INDEX($C24:$E24,1,Control!$B$10))^BW5*INDEX($B$13:$M$13,1,MOD(70-1,12)+1)</f>
        <v/>
      </c>
      <c r="BX24" s="34">
        <f>($B24/12)*(1+INDEX($C24:$E24,1,Control!$B$10))^BX5*INDEX($B$13:$M$13,1,MOD(71-1,12)+1)</f>
        <v/>
      </c>
      <c r="BY24" s="34">
        <f>($B24/12)*(1+INDEX($C24:$E24,1,Control!$B$10))^BY5*INDEX($B$13:$M$13,1,MOD(72-1,12)+1)</f>
        <v/>
      </c>
      <c r="BZ24" s="34">
        <f>($B24/12)*(1+INDEX($C24:$E24,1,Control!$B$10))^BZ5*INDEX($B$13:$M$13,1,MOD(73-1,12)+1)</f>
        <v/>
      </c>
      <c r="CA24" s="34">
        <f>($B24/12)*(1+INDEX($C24:$E24,1,Control!$B$10))^CA5*INDEX($B$13:$M$13,1,MOD(74-1,12)+1)</f>
        <v/>
      </c>
      <c r="CB24" s="34">
        <f>($B24/12)*(1+INDEX($C24:$E24,1,Control!$B$10))^CB5*INDEX($B$13:$M$13,1,MOD(75-1,12)+1)</f>
        <v/>
      </c>
      <c r="CC24" s="34">
        <f>($B24/12)*(1+INDEX($C24:$E24,1,Control!$B$10))^CC5*INDEX($B$13:$M$13,1,MOD(76-1,12)+1)</f>
        <v/>
      </c>
      <c r="CD24" s="34">
        <f>($B24/12)*(1+INDEX($C24:$E24,1,Control!$B$10))^CD5*INDEX($B$13:$M$13,1,MOD(77-1,12)+1)</f>
        <v/>
      </c>
      <c r="CE24" s="34">
        <f>($B24/12)*(1+INDEX($C24:$E24,1,Control!$B$10))^CE5*INDEX($B$13:$M$13,1,MOD(78-1,12)+1)</f>
        <v/>
      </c>
      <c r="CF24" s="34">
        <f>($B24/12)*(1+INDEX($C24:$E24,1,Control!$B$10))^CF5*INDEX($B$13:$M$13,1,MOD(79-1,12)+1)</f>
        <v/>
      </c>
      <c r="CG24" s="34">
        <f>($B24/12)*(1+INDEX($C24:$E24,1,Control!$B$10))^CG5*INDEX($B$13:$M$13,1,MOD(80-1,12)+1)</f>
        <v/>
      </c>
      <c r="CH24" s="34">
        <f>($B24/12)*(1+INDEX($C24:$E24,1,Control!$B$10))^CH5*INDEX($B$13:$M$13,1,MOD(81-1,12)+1)</f>
        <v/>
      </c>
      <c r="CI24" s="34">
        <f>($B24/12)*(1+INDEX($C24:$E24,1,Control!$B$10))^CI5*INDEX($B$13:$M$13,1,MOD(82-1,12)+1)</f>
        <v/>
      </c>
      <c r="CJ24" s="34">
        <f>($B24/12)*(1+INDEX($C24:$E24,1,Control!$B$10))^CJ5*INDEX($B$13:$M$13,1,MOD(83-1,12)+1)</f>
        <v/>
      </c>
      <c r="CK24" s="34">
        <f>($B24/12)*(1+INDEX($C24:$E24,1,Control!$B$10))^CK5*INDEX($B$13:$M$13,1,MOD(84-1,12)+1)</f>
        <v/>
      </c>
      <c r="CL24" s="34">
        <f>($B24/12)*(1+INDEX($C24:$E24,1,Control!$B$10))^CL5*INDEX($B$13:$M$13,1,MOD(85-1,12)+1)</f>
        <v/>
      </c>
      <c r="CM24" s="34">
        <f>($B24/12)*(1+INDEX($C24:$E24,1,Control!$B$10))^CM5*INDEX($B$13:$M$13,1,MOD(86-1,12)+1)</f>
        <v/>
      </c>
      <c r="CN24" s="34">
        <f>($B24/12)*(1+INDEX($C24:$E24,1,Control!$B$10))^CN5*INDEX($B$13:$M$13,1,MOD(87-1,12)+1)</f>
        <v/>
      </c>
      <c r="CO24" s="34">
        <f>($B24/12)*(1+INDEX($C24:$E24,1,Control!$B$10))^CO5*INDEX($B$13:$M$13,1,MOD(88-1,12)+1)</f>
        <v/>
      </c>
      <c r="CP24" s="34">
        <f>($B24/12)*(1+INDEX($C24:$E24,1,Control!$B$10))^CP5*INDEX($B$13:$M$13,1,MOD(89-1,12)+1)</f>
        <v/>
      </c>
      <c r="CQ24" s="34">
        <f>($B24/12)*(1+INDEX($C24:$E24,1,Control!$B$10))^CQ5*INDEX($B$13:$M$13,1,MOD(90-1,12)+1)</f>
        <v/>
      </c>
      <c r="CR24" s="34">
        <f>($B24/12)*(1+INDEX($C24:$E24,1,Control!$B$10))^CR5*INDEX($B$13:$M$13,1,MOD(91-1,12)+1)</f>
        <v/>
      </c>
      <c r="CS24" s="34">
        <f>($B24/12)*(1+INDEX($C24:$E24,1,Control!$B$10))^CS5*INDEX($B$13:$M$13,1,MOD(92-1,12)+1)</f>
        <v/>
      </c>
      <c r="CT24" s="34">
        <f>($B24/12)*(1+INDEX($C24:$E24,1,Control!$B$10))^CT5*INDEX($B$13:$M$13,1,MOD(93-1,12)+1)</f>
        <v/>
      </c>
      <c r="CU24" s="34">
        <f>($B24/12)*(1+INDEX($C24:$E24,1,Control!$B$10))^CU5*INDEX($B$13:$M$13,1,MOD(94-1,12)+1)</f>
        <v/>
      </c>
      <c r="CV24" s="34">
        <f>($B24/12)*(1+INDEX($C24:$E24,1,Control!$B$10))^CV5*INDEX($B$13:$M$13,1,MOD(95-1,12)+1)</f>
        <v/>
      </c>
      <c r="CW24" s="34">
        <f>($B24/12)*(1+INDEX($C24:$E24,1,Control!$B$10))^CW5*INDEX($B$13:$M$13,1,MOD(96-1,12)+1)</f>
        <v/>
      </c>
      <c r="CX24" s="34">
        <f>($B24/12)*(1+INDEX($C24:$E24,1,Control!$B$10))^CX5*INDEX($B$13:$M$13,1,MOD(97-1,12)+1)</f>
        <v/>
      </c>
      <c r="CY24" s="34">
        <f>($B24/12)*(1+INDEX($C24:$E24,1,Control!$B$10))^CY5*INDEX($B$13:$M$13,1,MOD(98-1,12)+1)</f>
        <v/>
      </c>
      <c r="CZ24" s="34">
        <f>($B24/12)*(1+INDEX($C24:$E24,1,Control!$B$10))^CZ5*INDEX($B$13:$M$13,1,MOD(99-1,12)+1)</f>
        <v/>
      </c>
      <c r="DA24" s="34">
        <f>($B24/12)*(1+INDEX($C24:$E24,1,Control!$B$10))^DA5*INDEX($B$13:$M$13,1,MOD(100-1,12)+1)</f>
        <v/>
      </c>
      <c r="DB24" s="34">
        <f>($B24/12)*(1+INDEX($C24:$E24,1,Control!$B$10))^DB5*INDEX($B$13:$M$13,1,MOD(101-1,12)+1)</f>
        <v/>
      </c>
      <c r="DC24" s="34">
        <f>($B24/12)*(1+INDEX($C24:$E24,1,Control!$B$10))^DC5*INDEX($B$13:$M$13,1,MOD(102-1,12)+1)</f>
        <v/>
      </c>
      <c r="DD24" s="34">
        <f>($B24/12)*(1+INDEX($C24:$E24,1,Control!$B$10))^DD5*INDEX($B$13:$M$13,1,MOD(103-1,12)+1)</f>
        <v/>
      </c>
      <c r="DE24" s="34">
        <f>($B24/12)*(1+INDEX($C24:$E24,1,Control!$B$10))^DE5*INDEX($B$13:$M$13,1,MOD(104-1,12)+1)</f>
        <v/>
      </c>
      <c r="DF24" s="34">
        <f>($B24/12)*(1+INDEX($C24:$E24,1,Control!$B$10))^DF5*INDEX($B$13:$M$13,1,MOD(105-1,12)+1)</f>
        <v/>
      </c>
      <c r="DG24" s="34">
        <f>($B24/12)*(1+INDEX($C24:$E24,1,Control!$B$10))^DG5*INDEX($B$13:$M$13,1,MOD(106-1,12)+1)</f>
        <v/>
      </c>
      <c r="DH24" s="34">
        <f>($B24/12)*(1+INDEX($C24:$E24,1,Control!$B$10))^DH5*INDEX($B$13:$M$13,1,MOD(107-1,12)+1)</f>
        <v/>
      </c>
      <c r="DI24" s="34">
        <f>($B24/12)*(1+INDEX($C24:$E24,1,Control!$B$10))^DI5*INDEX($B$13:$M$13,1,MOD(108-1,12)+1)</f>
        <v/>
      </c>
      <c r="DJ24" s="34">
        <f>($B24/12)*(1+INDEX($C24:$E24,1,Control!$B$10))^DJ5*INDEX($B$13:$M$13,1,MOD(109-1,12)+1)</f>
        <v/>
      </c>
      <c r="DK24" s="34">
        <f>($B24/12)*(1+INDEX($C24:$E24,1,Control!$B$10))^DK5*INDEX($B$13:$M$13,1,MOD(110-1,12)+1)</f>
        <v/>
      </c>
      <c r="DL24" s="34">
        <f>($B24/12)*(1+INDEX($C24:$E24,1,Control!$B$10))^DL5*INDEX($B$13:$M$13,1,MOD(111-1,12)+1)</f>
        <v/>
      </c>
      <c r="DM24" s="34">
        <f>($B24/12)*(1+INDEX($C24:$E24,1,Control!$B$10))^DM5*INDEX($B$13:$M$13,1,MOD(112-1,12)+1)</f>
        <v/>
      </c>
      <c r="DN24" s="34">
        <f>($B24/12)*(1+INDEX($C24:$E24,1,Control!$B$10))^DN5*INDEX($B$13:$M$13,1,MOD(113-1,12)+1)</f>
        <v/>
      </c>
      <c r="DO24" s="34">
        <f>($B24/12)*(1+INDEX($C24:$E24,1,Control!$B$10))^DO5*INDEX($B$13:$M$13,1,MOD(114-1,12)+1)</f>
        <v/>
      </c>
      <c r="DP24" s="34">
        <f>($B24/12)*(1+INDEX($C24:$E24,1,Control!$B$10))^DP5*INDEX($B$13:$M$13,1,MOD(115-1,12)+1)</f>
        <v/>
      </c>
      <c r="DQ24" s="34">
        <f>($B24/12)*(1+INDEX($C24:$E24,1,Control!$B$10))^DQ5*INDEX($B$13:$M$13,1,MOD(116-1,12)+1)</f>
        <v/>
      </c>
      <c r="DR24" s="34">
        <f>($B24/12)*(1+INDEX($C24:$E24,1,Control!$B$10))^DR5*INDEX($B$13:$M$13,1,MOD(117-1,12)+1)</f>
        <v/>
      </c>
      <c r="DS24" s="34">
        <f>($B24/12)*(1+INDEX($C24:$E24,1,Control!$B$10))^DS5*INDEX($B$13:$M$13,1,MOD(118-1,12)+1)</f>
        <v/>
      </c>
      <c r="DT24" s="34">
        <f>($B24/12)*(1+INDEX($C24:$E24,1,Control!$B$10))^DT5*INDEX($B$13:$M$13,1,MOD(119-1,12)+1)</f>
        <v/>
      </c>
      <c r="DU24" s="34">
        <f>($B24/12)*(1+INDEX($C24:$E24,1,Control!$B$10))^DU5*INDEX($B$13:$M$13,1,MOD(120-1,12)+1)</f>
        <v/>
      </c>
    </row>
    <row r="25">
      <c r="A25" t="inlineStr">
        <is>
          <t>AllDark-Bottles-OnTrade</t>
        </is>
      </c>
      <c r="B25" s="33" t="n">
        <v>15000</v>
      </c>
      <c r="C25" s="22" t="n">
        <v>0.04</v>
      </c>
      <c r="D25" s="22" t="n">
        <v>0.06</v>
      </c>
      <c r="E25" s="22" t="n">
        <v>0.02</v>
      </c>
      <c r="F25" s="34">
        <f>($B25/12)*(1+INDEX($C25:$E25,1,Control!$B$10))^F5*INDEX($B$13:$M$13,1,MOD(1-1,12)+1)</f>
        <v/>
      </c>
      <c r="G25" s="34">
        <f>($B25/12)*(1+INDEX($C25:$E25,1,Control!$B$10))^G5*INDEX($B$13:$M$13,1,MOD(2-1,12)+1)</f>
        <v/>
      </c>
      <c r="H25" s="34">
        <f>($B25/12)*(1+INDEX($C25:$E25,1,Control!$B$10))^H5*INDEX($B$13:$M$13,1,MOD(3-1,12)+1)</f>
        <v/>
      </c>
      <c r="I25" s="34">
        <f>($B25/12)*(1+INDEX($C25:$E25,1,Control!$B$10))^I5*INDEX($B$13:$M$13,1,MOD(4-1,12)+1)</f>
        <v/>
      </c>
      <c r="J25" s="34">
        <f>($B25/12)*(1+INDEX($C25:$E25,1,Control!$B$10))^J5*INDEX($B$13:$M$13,1,MOD(5-1,12)+1)</f>
        <v/>
      </c>
      <c r="K25" s="34">
        <f>($B25/12)*(1+INDEX($C25:$E25,1,Control!$B$10))^K5*INDEX($B$13:$M$13,1,MOD(6-1,12)+1)</f>
        <v/>
      </c>
      <c r="L25" s="34">
        <f>($B25/12)*(1+INDEX($C25:$E25,1,Control!$B$10))^L5*INDEX($B$13:$M$13,1,MOD(7-1,12)+1)</f>
        <v/>
      </c>
      <c r="M25" s="34">
        <f>($B25/12)*(1+INDEX($C25:$E25,1,Control!$B$10))^M5*INDEX($B$13:$M$13,1,MOD(8-1,12)+1)</f>
        <v/>
      </c>
      <c r="N25" s="34">
        <f>($B25/12)*(1+INDEX($C25:$E25,1,Control!$B$10))^N5*INDEX($B$13:$M$13,1,MOD(9-1,12)+1)</f>
        <v/>
      </c>
      <c r="O25" s="34">
        <f>($B25/12)*(1+INDEX($C25:$E25,1,Control!$B$10))^O5*INDEX($B$13:$M$13,1,MOD(10-1,12)+1)</f>
        <v/>
      </c>
      <c r="P25" s="34">
        <f>($B25/12)*(1+INDEX($C25:$E25,1,Control!$B$10))^P5*INDEX($B$13:$M$13,1,MOD(11-1,12)+1)</f>
        <v/>
      </c>
      <c r="Q25" s="34">
        <f>($B25/12)*(1+INDEX($C25:$E25,1,Control!$B$10))^Q5*INDEX($B$13:$M$13,1,MOD(12-1,12)+1)</f>
        <v/>
      </c>
      <c r="R25" s="34">
        <f>($B25/12)*(1+INDEX($C25:$E25,1,Control!$B$10))^R5*INDEX($B$13:$M$13,1,MOD(13-1,12)+1)</f>
        <v/>
      </c>
      <c r="S25" s="34">
        <f>($B25/12)*(1+INDEX($C25:$E25,1,Control!$B$10))^S5*INDEX($B$13:$M$13,1,MOD(14-1,12)+1)</f>
        <v/>
      </c>
      <c r="T25" s="34">
        <f>($B25/12)*(1+INDEX($C25:$E25,1,Control!$B$10))^T5*INDEX($B$13:$M$13,1,MOD(15-1,12)+1)</f>
        <v/>
      </c>
      <c r="U25" s="34">
        <f>($B25/12)*(1+INDEX($C25:$E25,1,Control!$B$10))^U5*INDEX($B$13:$M$13,1,MOD(16-1,12)+1)</f>
        <v/>
      </c>
      <c r="V25" s="34">
        <f>($B25/12)*(1+INDEX($C25:$E25,1,Control!$B$10))^V5*INDEX($B$13:$M$13,1,MOD(17-1,12)+1)</f>
        <v/>
      </c>
      <c r="W25" s="34">
        <f>($B25/12)*(1+INDEX($C25:$E25,1,Control!$B$10))^W5*INDEX($B$13:$M$13,1,MOD(18-1,12)+1)</f>
        <v/>
      </c>
      <c r="X25" s="34">
        <f>($B25/12)*(1+INDEX($C25:$E25,1,Control!$B$10))^X5*INDEX($B$13:$M$13,1,MOD(19-1,12)+1)</f>
        <v/>
      </c>
      <c r="Y25" s="34">
        <f>($B25/12)*(1+INDEX($C25:$E25,1,Control!$B$10))^Y5*INDEX($B$13:$M$13,1,MOD(20-1,12)+1)</f>
        <v/>
      </c>
      <c r="Z25" s="34">
        <f>($B25/12)*(1+INDEX($C25:$E25,1,Control!$B$10))^Z5*INDEX($B$13:$M$13,1,MOD(21-1,12)+1)</f>
        <v/>
      </c>
      <c r="AA25" s="34">
        <f>($B25/12)*(1+INDEX($C25:$E25,1,Control!$B$10))^AA5*INDEX($B$13:$M$13,1,MOD(22-1,12)+1)</f>
        <v/>
      </c>
      <c r="AB25" s="34">
        <f>($B25/12)*(1+INDEX($C25:$E25,1,Control!$B$10))^AB5*INDEX($B$13:$M$13,1,MOD(23-1,12)+1)</f>
        <v/>
      </c>
      <c r="AC25" s="34">
        <f>($B25/12)*(1+INDEX($C25:$E25,1,Control!$B$10))^AC5*INDEX($B$13:$M$13,1,MOD(24-1,12)+1)</f>
        <v/>
      </c>
      <c r="AD25" s="34">
        <f>($B25/12)*(1+INDEX($C25:$E25,1,Control!$B$10))^AD5*INDEX($B$13:$M$13,1,MOD(25-1,12)+1)</f>
        <v/>
      </c>
      <c r="AE25" s="34">
        <f>($B25/12)*(1+INDEX($C25:$E25,1,Control!$B$10))^AE5*INDEX($B$13:$M$13,1,MOD(26-1,12)+1)</f>
        <v/>
      </c>
      <c r="AF25" s="34">
        <f>($B25/12)*(1+INDEX($C25:$E25,1,Control!$B$10))^AF5*INDEX($B$13:$M$13,1,MOD(27-1,12)+1)</f>
        <v/>
      </c>
      <c r="AG25" s="34">
        <f>($B25/12)*(1+INDEX($C25:$E25,1,Control!$B$10))^AG5*INDEX($B$13:$M$13,1,MOD(28-1,12)+1)</f>
        <v/>
      </c>
      <c r="AH25" s="34">
        <f>($B25/12)*(1+INDEX($C25:$E25,1,Control!$B$10))^AH5*INDEX($B$13:$M$13,1,MOD(29-1,12)+1)</f>
        <v/>
      </c>
      <c r="AI25" s="34">
        <f>($B25/12)*(1+INDEX($C25:$E25,1,Control!$B$10))^AI5*INDEX($B$13:$M$13,1,MOD(30-1,12)+1)</f>
        <v/>
      </c>
      <c r="AJ25" s="34">
        <f>($B25/12)*(1+INDEX($C25:$E25,1,Control!$B$10))^AJ5*INDEX($B$13:$M$13,1,MOD(31-1,12)+1)</f>
        <v/>
      </c>
      <c r="AK25" s="34">
        <f>($B25/12)*(1+INDEX($C25:$E25,1,Control!$B$10))^AK5*INDEX($B$13:$M$13,1,MOD(32-1,12)+1)</f>
        <v/>
      </c>
      <c r="AL25" s="34">
        <f>($B25/12)*(1+INDEX($C25:$E25,1,Control!$B$10))^AL5*INDEX($B$13:$M$13,1,MOD(33-1,12)+1)</f>
        <v/>
      </c>
      <c r="AM25" s="34">
        <f>($B25/12)*(1+INDEX($C25:$E25,1,Control!$B$10))^AM5*INDEX($B$13:$M$13,1,MOD(34-1,12)+1)</f>
        <v/>
      </c>
      <c r="AN25" s="34">
        <f>($B25/12)*(1+INDEX($C25:$E25,1,Control!$B$10))^AN5*INDEX($B$13:$M$13,1,MOD(35-1,12)+1)</f>
        <v/>
      </c>
      <c r="AO25" s="34">
        <f>($B25/12)*(1+INDEX($C25:$E25,1,Control!$B$10))^AO5*INDEX($B$13:$M$13,1,MOD(36-1,12)+1)</f>
        <v/>
      </c>
      <c r="AP25" s="34">
        <f>($B25/12)*(1+INDEX($C25:$E25,1,Control!$B$10))^AP5*INDEX($B$13:$M$13,1,MOD(37-1,12)+1)</f>
        <v/>
      </c>
      <c r="AQ25" s="34">
        <f>($B25/12)*(1+INDEX($C25:$E25,1,Control!$B$10))^AQ5*INDEX($B$13:$M$13,1,MOD(38-1,12)+1)</f>
        <v/>
      </c>
      <c r="AR25" s="34">
        <f>($B25/12)*(1+INDEX($C25:$E25,1,Control!$B$10))^AR5*INDEX($B$13:$M$13,1,MOD(39-1,12)+1)</f>
        <v/>
      </c>
      <c r="AS25" s="34">
        <f>($B25/12)*(1+INDEX($C25:$E25,1,Control!$B$10))^AS5*INDEX($B$13:$M$13,1,MOD(40-1,12)+1)</f>
        <v/>
      </c>
      <c r="AT25" s="34">
        <f>($B25/12)*(1+INDEX($C25:$E25,1,Control!$B$10))^AT5*INDEX($B$13:$M$13,1,MOD(41-1,12)+1)</f>
        <v/>
      </c>
      <c r="AU25" s="34">
        <f>($B25/12)*(1+INDEX($C25:$E25,1,Control!$B$10))^AU5*INDEX($B$13:$M$13,1,MOD(42-1,12)+1)</f>
        <v/>
      </c>
      <c r="AV25" s="34">
        <f>($B25/12)*(1+INDEX($C25:$E25,1,Control!$B$10))^AV5*INDEX($B$13:$M$13,1,MOD(43-1,12)+1)</f>
        <v/>
      </c>
      <c r="AW25" s="34">
        <f>($B25/12)*(1+INDEX($C25:$E25,1,Control!$B$10))^AW5*INDEX($B$13:$M$13,1,MOD(44-1,12)+1)</f>
        <v/>
      </c>
      <c r="AX25" s="34">
        <f>($B25/12)*(1+INDEX($C25:$E25,1,Control!$B$10))^AX5*INDEX($B$13:$M$13,1,MOD(45-1,12)+1)</f>
        <v/>
      </c>
      <c r="AY25" s="34">
        <f>($B25/12)*(1+INDEX($C25:$E25,1,Control!$B$10))^AY5*INDEX($B$13:$M$13,1,MOD(46-1,12)+1)</f>
        <v/>
      </c>
      <c r="AZ25" s="34">
        <f>($B25/12)*(1+INDEX($C25:$E25,1,Control!$B$10))^AZ5*INDEX($B$13:$M$13,1,MOD(47-1,12)+1)</f>
        <v/>
      </c>
      <c r="BA25" s="34">
        <f>($B25/12)*(1+INDEX($C25:$E25,1,Control!$B$10))^BA5*INDEX($B$13:$M$13,1,MOD(48-1,12)+1)</f>
        <v/>
      </c>
      <c r="BB25" s="34">
        <f>($B25/12)*(1+INDEX($C25:$E25,1,Control!$B$10))^BB5*INDEX($B$13:$M$13,1,MOD(49-1,12)+1)</f>
        <v/>
      </c>
      <c r="BC25" s="34">
        <f>($B25/12)*(1+INDEX($C25:$E25,1,Control!$B$10))^BC5*INDEX($B$13:$M$13,1,MOD(50-1,12)+1)</f>
        <v/>
      </c>
      <c r="BD25" s="34">
        <f>($B25/12)*(1+INDEX($C25:$E25,1,Control!$B$10))^BD5*INDEX($B$13:$M$13,1,MOD(51-1,12)+1)</f>
        <v/>
      </c>
      <c r="BE25" s="34">
        <f>($B25/12)*(1+INDEX($C25:$E25,1,Control!$B$10))^BE5*INDEX($B$13:$M$13,1,MOD(52-1,12)+1)</f>
        <v/>
      </c>
      <c r="BF25" s="34">
        <f>($B25/12)*(1+INDEX($C25:$E25,1,Control!$B$10))^BF5*INDEX($B$13:$M$13,1,MOD(53-1,12)+1)</f>
        <v/>
      </c>
      <c r="BG25" s="34">
        <f>($B25/12)*(1+INDEX($C25:$E25,1,Control!$B$10))^BG5*INDEX($B$13:$M$13,1,MOD(54-1,12)+1)</f>
        <v/>
      </c>
      <c r="BH25" s="34">
        <f>($B25/12)*(1+INDEX($C25:$E25,1,Control!$B$10))^BH5*INDEX($B$13:$M$13,1,MOD(55-1,12)+1)</f>
        <v/>
      </c>
      <c r="BI25" s="34">
        <f>($B25/12)*(1+INDEX($C25:$E25,1,Control!$B$10))^BI5*INDEX($B$13:$M$13,1,MOD(56-1,12)+1)</f>
        <v/>
      </c>
      <c r="BJ25" s="34">
        <f>($B25/12)*(1+INDEX($C25:$E25,1,Control!$B$10))^BJ5*INDEX($B$13:$M$13,1,MOD(57-1,12)+1)</f>
        <v/>
      </c>
      <c r="BK25" s="34">
        <f>($B25/12)*(1+INDEX($C25:$E25,1,Control!$B$10))^BK5*INDEX($B$13:$M$13,1,MOD(58-1,12)+1)</f>
        <v/>
      </c>
      <c r="BL25" s="34">
        <f>($B25/12)*(1+INDEX($C25:$E25,1,Control!$B$10))^BL5*INDEX($B$13:$M$13,1,MOD(59-1,12)+1)</f>
        <v/>
      </c>
      <c r="BM25" s="34">
        <f>($B25/12)*(1+INDEX($C25:$E25,1,Control!$B$10))^BM5*INDEX($B$13:$M$13,1,MOD(60-1,12)+1)</f>
        <v/>
      </c>
      <c r="BN25" s="34">
        <f>($B25/12)*(1+INDEX($C25:$E25,1,Control!$B$10))^BN5*INDEX($B$13:$M$13,1,MOD(61-1,12)+1)</f>
        <v/>
      </c>
      <c r="BO25" s="34">
        <f>($B25/12)*(1+INDEX($C25:$E25,1,Control!$B$10))^BO5*INDEX($B$13:$M$13,1,MOD(62-1,12)+1)</f>
        <v/>
      </c>
      <c r="BP25" s="34">
        <f>($B25/12)*(1+INDEX($C25:$E25,1,Control!$B$10))^BP5*INDEX($B$13:$M$13,1,MOD(63-1,12)+1)</f>
        <v/>
      </c>
      <c r="BQ25" s="34">
        <f>($B25/12)*(1+INDEX($C25:$E25,1,Control!$B$10))^BQ5*INDEX($B$13:$M$13,1,MOD(64-1,12)+1)</f>
        <v/>
      </c>
      <c r="BR25" s="34">
        <f>($B25/12)*(1+INDEX($C25:$E25,1,Control!$B$10))^BR5*INDEX($B$13:$M$13,1,MOD(65-1,12)+1)</f>
        <v/>
      </c>
      <c r="BS25" s="34">
        <f>($B25/12)*(1+INDEX($C25:$E25,1,Control!$B$10))^BS5*INDEX($B$13:$M$13,1,MOD(66-1,12)+1)</f>
        <v/>
      </c>
      <c r="BT25" s="34">
        <f>($B25/12)*(1+INDEX($C25:$E25,1,Control!$B$10))^BT5*INDEX($B$13:$M$13,1,MOD(67-1,12)+1)</f>
        <v/>
      </c>
      <c r="BU25" s="34">
        <f>($B25/12)*(1+INDEX($C25:$E25,1,Control!$B$10))^BU5*INDEX($B$13:$M$13,1,MOD(68-1,12)+1)</f>
        <v/>
      </c>
      <c r="BV25" s="34">
        <f>($B25/12)*(1+INDEX($C25:$E25,1,Control!$B$10))^BV5*INDEX($B$13:$M$13,1,MOD(69-1,12)+1)</f>
        <v/>
      </c>
      <c r="BW25" s="34">
        <f>($B25/12)*(1+INDEX($C25:$E25,1,Control!$B$10))^BW5*INDEX($B$13:$M$13,1,MOD(70-1,12)+1)</f>
        <v/>
      </c>
      <c r="BX25" s="34">
        <f>($B25/12)*(1+INDEX($C25:$E25,1,Control!$B$10))^BX5*INDEX($B$13:$M$13,1,MOD(71-1,12)+1)</f>
        <v/>
      </c>
      <c r="BY25" s="34">
        <f>($B25/12)*(1+INDEX($C25:$E25,1,Control!$B$10))^BY5*INDEX($B$13:$M$13,1,MOD(72-1,12)+1)</f>
        <v/>
      </c>
      <c r="BZ25" s="34">
        <f>($B25/12)*(1+INDEX($C25:$E25,1,Control!$B$10))^BZ5*INDEX($B$13:$M$13,1,MOD(73-1,12)+1)</f>
        <v/>
      </c>
      <c r="CA25" s="34">
        <f>($B25/12)*(1+INDEX($C25:$E25,1,Control!$B$10))^CA5*INDEX($B$13:$M$13,1,MOD(74-1,12)+1)</f>
        <v/>
      </c>
      <c r="CB25" s="34">
        <f>($B25/12)*(1+INDEX($C25:$E25,1,Control!$B$10))^CB5*INDEX($B$13:$M$13,1,MOD(75-1,12)+1)</f>
        <v/>
      </c>
      <c r="CC25" s="34">
        <f>($B25/12)*(1+INDEX($C25:$E25,1,Control!$B$10))^CC5*INDEX($B$13:$M$13,1,MOD(76-1,12)+1)</f>
        <v/>
      </c>
      <c r="CD25" s="34">
        <f>($B25/12)*(1+INDEX($C25:$E25,1,Control!$B$10))^CD5*INDEX($B$13:$M$13,1,MOD(77-1,12)+1)</f>
        <v/>
      </c>
      <c r="CE25" s="34">
        <f>($B25/12)*(1+INDEX($C25:$E25,1,Control!$B$10))^CE5*INDEX($B$13:$M$13,1,MOD(78-1,12)+1)</f>
        <v/>
      </c>
      <c r="CF25" s="34">
        <f>($B25/12)*(1+INDEX($C25:$E25,1,Control!$B$10))^CF5*INDEX($B$13:$M$13,1,MOD(79-1,12)+1)</f>
        <v/>
      </c>
      <c r="CG25" s="34">
        <f>($B25/12)*(1+INDEX($C25:$E25,1,Control!$B$10))^CG5*INDEX($B$13:$M$13,1,MOD(80-1,12)+1)</f>
        <v/>
      </c>
      <c r="CH25" s="34">
        <f>($B25/12)*(1+INDEX($C25:$E25,1,Control!$B$10))^CH5*INDEX($B$13:$M$13,1,MOD(81-1,12)+1)</f>
        <v/>
      </c>
      <c r="CI25" s="34">
        <f>($B25/12)*(1+INDEX($C25:$E25,1,Control!$B$10))^CI5*INDEX($B$13:$M$13,1,MOD(82-1,12)+1)</f>
        <v/>
      </c>
      <c r="CJ25" s="34">
        <f>($B25/12)*(1+INDEX($C25:$E25,1,Control!$B$10))^CJ5*INDEX($B$13:$M$13,1,MOD(83-1,12)+1)</f>
        <v/>
      </c>
      <c r="CK25" s="34">
        <f>($B25/12)*(1+INDEX($C25:$E25,1,Control!$B$10))^CK5*INDEX($B$13:$M$13,1,MOD(84-1,12)+1)</f>
        <v/>
      </c>
      <c r="CL25" s="34">
        <f>($B25/12)*(1+INDEX($C25:$E25,1,Control!$B$10))^CL5*INDEX($B$13:$M$13,1,MOD(85-1,12)+1)</f>
        <v/>
      </c>
      <c r="CM25" s="34">
        <f>($B25/12)*(1+INDEX($C25:$E25,1,Control!$B$10))^CM5*INDEX($B$13:$M$13,1,MOD(86-1,12)+1)</f>
        <v/>
      </c>
      <c r="CN25" s="34">
        <f>($B25/12)*(1+INDEX($C25:$E25,1,Control!$B$10))^CN5*INDEX($B$13:$M$13,1,MOD(87-1,12)+1)</f>
        <v/>
      </c>
      <c r="CO25" s="34">
        <f>($B25/12)*(1+INDEX($C25:$E25,1,Control!$B$10))^CO5*INDEX($B$13:$M$13,1,MOD(88-1,12)+1)</f>
        <v/>
      </c>
      <c r="CP25" s="34">
        <f>($B25/12)*(1+INDEX($C25:$E25,1,Control!$B$10))^CP5*INDEX($B$13:$M$13,1,MOD(89-1,12)+1)</f>
        <v/>
      </c>
      <c r="CQ25" s="34">
        <f>($B25/12)*(1+INDEX($C25:$E25,1,Control!$B$10))^CQ5*INDEX($B$13:$M$13,1,MOD(90-1,12)+1)</f>
        <v/>
      </c>
      <c r="CR25" s="34">
        <f>($B25/12)*(1+INDEX($C25:$E25,1,Control!$B$10))^CR5*INDEX($B$13:$M$13,1,MOD(91-1,12)+1)</f>
        <v/>
      </c>
      <c r="CS25" s="34">
        <f>($B25/12)*(1+INDEX($C25:$E25,1,Control!$B$10))^CS5*INDEX($B$13:$M$13,1,MOD(92-1,12)+1)</f>
        <v/>
      </c>
      <c r="CT25" s="34">
        <f>($B25/12)*(1+INDEX($C25:$E25,1,Control!$B$10))^CT5*INDEX($B$13:$M$13,1,MOD(93-1,12)+1)</f>
        <v/>
      </c>
      <c r="CU25" s="34">
        <f>($B25/12)*(1+INDEX($C25:$E25,1,Control!$B$10))^CU5*INDEX($B$13:$M$13,1,MOD(94-1,12)+1)</f>
        <v/>
      </c>
      <c r="CV25" s="34">
        <f>($B25/12)*(1+INDEX($C25:$E25,1,Control!$B$10))^CV5*INDEX($B$13:$M$13,1,MOD(95-1,12)+1)</f>
        <v/>
      </c>
      <c r="CW25" s="34">
        <f>($B25/12)*(1+INDEX($C25:$E25,1,Control!$B$10))^CW5*INDEX($B$13:$M$13,1,MOD(96-1,12)+1)</f>
        <v/>
      </c>
      <c r="CX25" s="34">
        <f>($B25/12)*(1+INDEX($C25:$E25,1,Control!$B$10))^CX5*INDEX($B$13:$M$13,1,MOD(97-1,12)+1)</f>
        <v/>
      </c>
      <c r="CY25" s="34">
        <f>($B25/12)*(1+INDEX($C25:$E25,1,Control!$B$10))^CY5*INDEX($B$13:$M$13,1,MOD(98-1,12)+1)</f>
        <v/>
      </c>
      <c r="CZ25" s="34">
        <f>($B25/12)*(1+INDEX($C25:$E25,1,Control!$B$10))^CZ5*INDEX($B$13:$M$13,1,MOD(99-1,12)+1)</f>
        <v/>
      </c>
      <c r="DA25" s="34">
        <f>($B25/12)*(1+INDEX($C25:$E25,1,Control!$B$10))^DA5*INDEX($B$13:$M$13,1,MOD(100-1,12)+1)</f>
        <v/>
      </c>
      <c r="DB25" s="34">
        <f>($B25/12)*(1+INDEX($C25:$E25,1,Control!$B$10))^DB5*INDEX($B$13:$M$13,1,MOD(101-1,12)+1)</f>
        <v/>
      </c>
      <c r="DC25" s="34">
        <f>($B25/12)*(1+INDEX($C25:$E25,1,Control!$B$10))^DC5*INDEX($B$13:$M$13,1,MOD(102-1,12)+1)</f>
        <v/>
      </c>
      <c r="DD25" s="34">
        <f>($B25/12)*(1+INDEX($C25:$E25,1,Control!$B$10))^DD5*INDEX($B$13:$M$13,1,MOD(103-1,12)+1)</f>
        <v/>
      </c>
      <c r="DE25" s="34">
        <f>($B25/12)*(1+INDEX($C25:$E25,1,Control!$B$10))^DE5*INDEX($B$13:$M$13,1,MOD(104-1,12)+1)</f>
        <v/>
      </c>
      <c r="DF25" s="34">
        <f>($B25/12)*(1+INDEX($C25:$E25,1,Control!$B$10))^DF5*INDEX($B$13:$M$13,1,MOD(105-1,12)+1)</f>
        <v/>
      </c>
      <c r="DG25" s="34">
        <f>($B25/12)*(1+INDEX($C25:$E25,1,Control!$B$10))^DG5*INDEX($B$13:$M$13,1,MOD(106-1,12)+1)</f>
        <v/>
      </c>
      <c r="DH25" s="34">
        <f>($B25/12)*(1+INDEX($C25:$E25,1,Control!$B$10))^DH5*INDEX($B$13:$M$13,1,MOD(107-1,12)+1)</f>
        <v/>
      </c>
      <c r="DI25" s="34">
        <f>($B25/12)*(1+INDEX($C25:$E25,1,Control!$B$10))^DI5*INDEX($B$13:$M$13,1,MOD(108-1,12)+1)</f>
        <v/>
      </c>
      <c r="DJ25" s="34">
        <f>($B25/12)*(1+INDEX($C25:$E25,1,Control!$B$10))^DJ5*INDEX($B$13:$M$13,1,MOD(109-1,12)+1)</f>
        <v/>
      </c>
      <c r="DK25" s="34">
        <f>($B25/12)*(1+INDEX($C25:$E25,1,Control!$B$10))^DK5*INDEX($B$13:$M$13,1,MOD(110-1,12)+1)</f>
        <v/>
      </c>
      <c r="DL25" s="34">
        <f>($B25/12)*(1+INDEX($C25:$E25,1,Control!$B$10))^DL5*INDEX($B$13:$M$13,1,MOD(111-1,12)+1)</f>
        <v/>
      </c>
      <c r="DM25" s="34">
        <f>($B25/12)*(1+INDEX($C25:$E25,1,Control!$B$10))^DM5*INDEX($B$13:$M$13,1,MOD(112-1,12)+1)</f>
        <v/>
      </c>
      <c r="DN25" s="34">
        <f>($B25/12)*(1+INDEX($C25:$E25,1,Control!$B$10))^DN5*INDEX($B$13:$M$13,1,MOD(113-1,12)+1)</f>
        <v/>
      </c>
      <c r="DO25" s="34">
        <f>($B25/12)*(1+INDEX($C25:$E25,1,Control!$B$10))^DO5*INDEX($B$13:$M$13,1,MOD(114-1,12)+1)</f>
        <v/>
      </c>
      <c r="DP25" s="34">
        <f>($B25/12)*(1+INDEX($C25:$E25,1,Control!$B$10))^DP5*INDEX($B$13:$M$13,1,MOD(115-1,12)+1)</f>
        <v/>
      </c>
      <c r="DQ25" s="34">
        <f>($B25/12)*(1+INDEX($C25:$E25,1,Control!$B$10))^DQ5*INDEX($B$13:$M$13,1,MOD(116-1,12)+1)</f>
        <v/>
      </c>
      <c r="DR25" s="34">
        <f>($B25/12)*(1+INDEX($C25:$E25,1,Control!$B$10))^DR5*INDEX($B$13:$M$13,1,MOD(117-1,12)+1)</f>
        <v/>
      </c>
      <c r="DS25" s="34">
        <f>($B25/12)*(1+INDEX($C25:$E25,1,Control!$B$10))^DS5*INDEX($B$13:$M$13,1,MOD(118-1,12)+1)</f>
        <v/>
      </c>
      <c r="DT25" s="34">
        <f>($B25/12)*(1+INDEX($C25:$E25,1,Control!$B$10))^DT5*INDEX($B$13:$M$13,1,MOD(119-1,12)+1)</f>
        <v/>
      </c>
      <c r="DU25" s="34">
        <f>($B25/12)*(1+INDEX($C25:$E25,1,Control!$B$10))^DU5*INDEX($B$13:$M$13,1,MOD(120-1,12)+1)</f>
        <v/>
      </c>
    </row>
    <row r="26">
      <c r="A26" t="inlineStr">
        <is>
          <t>AllDark-Bottles-OffTrade</t>
        </is>
      </c>
      <c r="B26" s="33" t="n">
        <v>25000</v>
      </c>
      <c r="C26" s="22" t="n">
        <v>0.04</v>
      </c>
      <c r="D26" s="22" t="n">
        <v>0.06</v>
      </c>
      <c r="E26" s="22" t="n">
        <v>0.02</v>
      </c>
      <c r="F26" s="34">
        <f>($B26/12)*(1+INDEX($C26:$E26,1,Control!$B$10))^F5*INDEX($B$13:$M$13,1,MOD(1-1,12)+1)</f>
        <v/>
      </c>
      <c r="G26" s="34">
        <f>($B26/12)*(1+INDEX($C26:$E26,1,Control!$B$10))^G5*INDEX($B$13:$M$13,1,MOD(2-1,12)+1)</f>
        <v/>
      </c>
      <c r="H26" s="34">
        <f>($B26/12)*(1+INDEX($C26:$E26,1,Control!$B$10))^H5*INDEX($B$13:$M$13,1,MOD(3-1,12)+1)</f>
        <v/>
      </c>
      <c r="I26" s="34">
        <f>($B26/12)*(1+INDEX($C26:$E26,1,Control!$B$10))^I5*INDEX($B$13:$M$13,1,MOD(4-1,12)+1)</f>
        <v/>
      </c>
      <c r="J26" s="34">
        <f>($B26/12)*(1+INDEX($C26:$E26,1,Control!$B$10))^J5*INDEX($B$13:$M$13,1,MOD(5-1,12)+1)</f>
        <v/>
      </c>
      <c r="K26" s="34">
        <f>($B26/12)*(1+INDEX($C26:$E26,1,Control!$B$10))^K5*INDEX($B$13:$M$13,1,MOD(6-1,12)+1)</f>
        <v/>
      </c>
      <c r="L26" s="34">
        <f>($B26/12)*(1+INDEX($C26:$E26,1,Control!$B$10))^L5*INDEX($B$13:$M$13,1,MOD(7-1,12)+1)</f>
        <v/>
      </c>
      <c r="M26" s="34">
        <f>($B26/12)*(1+INDEX($C26:$E26,1,Control!$B$10))^M5*INDEX($B$13:$M$13,1,MOD(8-1,12)+1)</f>
        <v/>
      </c>
      <c r="N26" s="34">
        <f>($B26/12)*(1+INDEX($C26:$E26,1,Control!$B$10))^N5*INDEX($B$13:$M$13,1,MOD(9-1,12)+1)</f>
        <v/>
      </c>
      <c r="O26" s="34">
        <f>($B26/12)*(1+INDEX($C26:$E26,1,Control!$B$10))^O5*INDEX($B$13:$M$13,1,MOD(10-1,12)+1)</f>
        <v/>
      </c>
      <c r="P26" s="34">
        <f>($B26/12)*(1+INDEX($C26:$E26,1,Control!$B$10))^P5*INDEX($B$13:$M$13,1,MOD(11-1,12)+1)</f>
        <v/>
      </c>
      <c r="Q26" s="34">
        <f>($B26/12)*(1+INDEX($C26:$E26,1,Control!$B$10))^Q5*INDEX($B$13:$M$13,1,MOD(12-1,12)+1)</f>
        <v/>
      </c>
      <c r="R26" s="34">
        <f>($B26/12)*(1+INDEX($C26:$E26,1,Control!$B$10))^R5*INDEX($B$13:$M$13,1,MOD(13-1,12)+1)</f>
        <v/>
      </c>
      <c r="S26" s="34">
        <f>($B26/12)*(1+INDEX($C26:$E26,1,Control!$B$10))^S5*INDEX($B$13:$M$13,1,MOD(14-1,12)+1)</f>
        <v/>
      </c>
      <c r="T26" s="34">
        <f>($B26/12)*(1+INDEX($C26:$E26,1,Control!$B$10))^T5*INDEX($B$13:$M$13,1,MOD(15-1,12)+1)</f>
        <v/>
      </c>
      <c r="U26" s="34">
        <f>($B26/12)*(1+INDEX($C26:$E26,1,Control!$B$10))^U5*INDEX($B$13:$M$13,1,MOD(16-1,12)+1)</f>
        <v/>
      </c>
      <c r="V26" s="34">
        <f>($B26/12)*(1+INDEX($C26:$E26,1,Control!$B$10))^V5*INDEX($B$13:$M$13,1,MOD(17-1,12)+1)</f>
        <v/>
      </c>
      <c r="W26" s="34">
        <f>($B26/12)*(1+INDEX($C26:$E26,1,Control!$B$10))^W5*INDEX($B$13:$M$13,1,MOD(18-1,12)+1)</f>
        <v/>
      </c>
      <c r="X26" s="34">
        <f>($B26/12)*(1+INDEX($C26:$E26,1,Control!$B$10))^X5*INDEX($B$13:$M$13,1,MOD(19-1,12)+1)</f>
        <v/>
      </c>
      <c r="Y26" s="34">
        <f>($B26/12)*(1+INDEX($C26:$E26,1,Control!$B$10))^Y5*INDEX($B$13:$M$13,1,MOD(20-1,12)+1)</f>
        <v/>
      </c>
      <c r="Z26" s="34">
        <f>($B26/12)*(1+INDEX($C26:$E26,1,Control!$B$10))^Z5*INDEX($B$13:$M$13,1,MOD(21-1,12)+1)</f>
        <v/>
      </c>
      <c r="AA26" s="34">
        <f>($B26/12)*(1+INDEX($C26:$E26,1,Control!$B$10))^AA5*INDEX($B$13:$M$13,1,MOD(22-1,12)+1)</f>
        <v/>
      </c>
      <c r="AB26" s="34">
        <f>($B26/12)*(1+INDEX($C26:$E26,1,Control!$B$10))^AB5*INDEX($B$13:$M$13,1,MOD(23-1,12)+1)</f>
        <v/>
      </c>
      <c r="AC26" s="34">
        <f>($B26/12)*(1+INDEX($C26:$E26,1,Control!$B$10))^AC5*INDEX($B$13:$M$13,1,MOD(24-1,12)+1)</f>
        <v/>
      </c>
      <c r="AD26" s="34">
        <f>($B26/12)*(1+INDEX($C26:$E26,1,Control!$B$10))^AD5*INDEX($B$13:$M$13,1,MOD(25-1,12)+1)</f>
        <v/>
      </c>
      <c r="AE26" s="34">
        <f>($B26/12)*(1+INDEX($C26:$E26,1,Control!$B$10))^AE5*INDEX($B$13:$M$13,1,MOD(26-1,12)+1)</f>
        <v/>
      </c>
      <c r="AF26" s="34">
        <f>($B26/12)*(1+INDEX($C26:$E26,1,Control!$B$10))^AF5*INDEX($B$13:$M$13,1,MOD(27-1,12)+1)</f>
        <v/>
      </c>
      <c r="AG26" s="34">
        <f>($B26/12)*(1+INDEX($C26:$E26,1,Control!$B$10))^AG5*INDEX($B$13:$M$13,1,MOD(28-1,12)+1)</f>
        <v/>
      </c>
      <c r="AH26" s="34">
        <f>($B26/12)*(1+INDEX($C26:$E26,1,Control!$B$10))^AH5*INDEX($B$13:$M$13,1,MOD(29-1,12)+1)</f>
        <v/>
      </c>
      <c r="AI26" s="34">
        <f>($B26/12)*(1+INDEX($C26:$E26,1,Control!$B$10))^AI5*INDEX($B$13:$M$13,1,MOD(30-1,12)+1)</f>
        <v/>
      </c>
      <c r="AJ26" s="34">
        <f>($B26/12)*(1+INDEX($C26:$E26,1,Control!$B$10))^AJ5*INDEX($B$13:$M$13,1,MOD(31-1,12)+1)</f>
        <v/>
      </c>
      <c r="AK26" s="34">
        <f>($B26/12)*(1+INDEX($C26:$E26,1,Control!$B$10))^AK5*INDEX($B$13:$M$13,1,MOD(32-1,12)+1)</f>
        <v/>
      </c>
      <c r="AL26" s="34">
        <f>($B26/12)*(1+INDEX($C26:$E26,1,Control!$B$10))^AL5*INDEX($B$13:$M$13,1,MOD(33-1,12)+1)</f>
        <v/>
      </c>
      <c r="AM26" s="34">
        <f>($B26/12)*(1+INDEX($C26:$E26,1,Control!$B$10))^AM5*INDEX($B$13:$M$13,1,MOD(34-1,12)+1)</f>
        <v/>
      </c>
      <c r="AN26" s="34">
        <f>($B26/12)*(1+INDEX($C26:$E26,1,Control!$B$10))^AN5*INDEX($B$13:$M$13,1,MOD(35-1,12)+1)</f>
        <v/>
      </c>
      <c r="AO26" s="34">
        <f>($B26/12)*(1+INDEX($C26:$E26,1,Control!$B$10))^AO5*INDEX($B$13:$M$13,1,MOD(36-1,12)+1)</f>
        <v/>
      </c>
      <c r="AP26" s="34">
        <f>($B26/12)*(1+INDEX($C26:$E26,1,Control!$B$10))^AP5*INDEX($B$13:$M$13,1,MOD(37-1,12)+1)</f>
        <v/>
      </c>
      <c r="AQ26" s="34">
        <f>($B26/12)*(1+INDEX($C26:$E26,1,Control!$B$10))^AQ5*INDEX($B$13:$M$13,1,MOD(38-1,12)+1)</f>
        <v/>
      </c>
      <c r="AR26" s="34">
        <f>($B26/12)*(1+INDEX($C26:$E26,1,Control!$B$10))^AR5*INDEX($B$13:$M$13,1,MOD(39-1,12)+1)</f>
        <v/>
      </c>
      <c r="AS26" s="34">
        <f>($B26/12)*(1+INDEX($C26:$E26,1,Control!$B$10))^AS5*INDEX($B$13:$M$13,1,MOD(40-1,12)+1)</f>
        <v/>
      </c>
      <c r="AT26" s="34">
        <f>($B26/12)*(1+INDEX($C26:$E26,1,Control!$B$10))^AT5*INDEX($B$13:$M$13,1,MOD(41-1,12)+1)</f>
        <v/>
      </c>
      <c r="AU26" s="34">
        <f>($B26/12)*(1+INDEX($C26:$E26,1,Control!$B$10))^AU5*INDEX($B$13:$M$13,1,MOD(42-1,12)+1)</f>
        <v/>
      </c>
      <c r="AV26" s="34">
        <f>($B26/12)*(1+INDEX($C26:$E26,1,Control!$B$10))^AV5*INDEX($B$13:$M$13,1,MOD(43-1,12)+1)</f>
        <v/>
      </c>
      <c r="AW26" s="34">
        <f>($B26/12)*(1+INDEX($C26:$E26,1,Control!$B$10))^AW5*INDEX($B$13:$M$13,1,MOD(44-1,12)+1)</f>
        <v/>
      </c>
      <c r="AX26" s="34">
        <f>($B26/12)*(1+INDEX($C26:$E26,1,Control!$B$10))^AX5*INDEX($B$13:$M$13,1,MOD(45-1,12)+1)</f>
        <v/>
      </c>
      <c r="AY26" s="34">
        <f>($B26/12)*(1+INDEX($C26:$E26,1,Control!$B$10))^AY5*INDEX($B$13:$M$13,1,MOD(46-1,12)+1)</f>
        <v/>
      </c>
      <c r="AZ26" s="34">
        <f>($B26/12)*(1+INDEX($C26:$E26,1,Control!$B$10))^AZ5*INDEX($B$13:$M$13,1,MOD(47-1,12)+1)</f>
        <v/>
      </c>
      <c r="BA26" s="34">
        <f>($B26/12)*(1+INDEX($C26:$E26,1,Control!$B$10))^BA5*INDEX($B$13:$M$13,1,MOD(48-1,12)+1)</f>
        <v/>
      </c>
      <c r="BB26" s="34">
        <f>($B26/12)*(1+INDEX($C26:$E26,1,Control!$B$10))^BB5*INDEX($B$13:$M$13,1,MOD(49-1,12)+1)</f>
        <v/>
      </c>
      <c r="BC26" s="34">
        <f>($B26/12)*(1+INDEX($C26:$E26,1,Control!$B$10))^BC5*INDEX($B$13:$M$13,1,MOD(50-1,12)+1)</f>
        <v/>
      </c>
      <c r="BD26" s="34">
        <f>($B26/12)*(1+INDEX($C26:$E26,1,Control!$B$10))^BD5*INDEX($B$13:$M$13,1,MOD(51-1,12)+1)</f>
        <v/>
      </c>
      <c r="BE26" s="34">
        <f>($B26/12)*(1+INDEX($C26:$E26,1,Control!$B$10))^BE5*INDEX($B$13:$M$13,1,MOD(52-1,12)+1)</f>
        <v/>
      </c>
      <c r="BF26" s="34">
        <f>($B26/12)*(1+INDEX($C26:$E26,1,Control!$B$10))^BF5*INDEX($B$13:$M$13,1,MOD(53-1,12)+1)</f>
        <v/>
      </c>
      <c r="BG26" s="34">
        <f>($B26/12)*(1+INDEX($C26:$E26,1,Control!$B$10))^BG5*INDEX($B$13:$M$13,1,MOD(54-1,12)+1)</f>
        <v/>
      </c>
      <c r="BH26" s="34">
        <f>($B26/12)*(1+INDEX($C26:$E26,1,Control!$B$10))^BH5*INDEX($B$13:$M$13,1,MOD(55-1,12)+1)</f>
        <v/>
      </c>
      <c r="BI26" s="34">
        <f>($B26/12)*(1+INDEX($C26:$E26,1,Control!$B$10))^BI5*INDEX($B$13:$M$13,1,MOD(56-1,12)+1)</f>
        <v/>
      </c>
      <c r="BJ26" s="34">
        <f>($B26/12)*(1+INDEX($C26:$E26,1,Control!$B$10))^BJ5*INDEX($B$13:$M$13,1,MOD(57-1,12)+1)</f>
        <v/>
      </c>
      <c r="BK26" s="34">
        <f>($B26/12)*(1+INDEX($C26:$E26,1,Control!$B$10))^BK5*INDEX($B$13:$M$13,1,MOD(58-1,12)+1)</f>
        <v/>
      </c>
      <c r="BL26" s="34">
        <f>($B26/12)*(1+INDEX($C26:$E26,1,Control!$B$10))^BL5*INDEX($B$13:$M$13,1,MOD(59-1,12)+1)</f>
        <v/>
      </c>
      <c r="BM26" s="34">
        <f>($B26/12)*(1+INDEX($C26:$E26,1,Control!$B$10))^BM5*INDEX($B$13:$M$13,1,MOD(60-1,12)+1)</f>
        <v/>
      </c>
      <c r="BN26" s="34">
        <f>($B26/12)*(1+INDEX($C26:$E26,1,Control!$B$10))^BN5*INDEX($B$13:$M$13,1,MOD(61-1,12)+1)</f>
        <v/>
      </c>
      <c r="BO26" s="34">
        <f>($B26/12)*(1+INDEX($C26:$E26,1,Control!$B$10))^BO5*INDEX($B$13:$M$13,1,MOD(62-1,12)+1)</f>
        <v/>
      </c>
      <c r="BP26" s="34">
        <f>($B26/12)*(1+INDEX($C26:$E26,1,Control!$B$10))^BP5*INDEX($B$13:$M$13,1,MOD(63-1,12)+1)</f>
        <v/>
      </c>
      <c r="BQ26" s="34">
        <f>($B26/12)*(1+INDEX($C26:$E26,1,Control!$B$10))^BQ5*INDEX($B$13:$M$13,1,MOD(64-1,12)+1)</f>
        <v/>
      </c>
      <c r="BR26" s="34">
        <f>($B26/12)*(1+INDEX($C26:$E26,1,Control!$B$10))^BR5*INDEX($B$13:$M$13,1,MOD(65-1,12)+1)</f>
        <v/>
      </c>
      <c r="BS26" s="34">
        <f>($B26/12)*(1+INDEX($C26:$E26,1,Control!$B$10))^BS5*INDEX($B$13:$M$13,1,MOD(66-1,12)+1)</f>
        <v/>
      </c>
      <c r="BT26" s="34">
        <f>($B26/12)*(1+INDEX($C26:$E26,1,Control!$B$10))^BT5*INDEX($B$13:$M$13,1,MOD(67-1,12)+1)</f>
        <v/>
      </c>
      <c r="BU26" s="34">
        <f>($B26/12)*(1+INDEX($C26:$E26,1,Control!$B$10))^BU5*INDEX($B$13:$M$13,1,MOD(68-1,12)+1)</f>
        <v/>
      </c>
      <c r="BV26" s="34">
        <f>($B26/12)*(1+INDEX($C26:$E26,1,Control!$B$10))^BV5*INDEX($B$13:$M$13,1,MOD(69-1,12)+1)</f>
        <v/>
      </c>
      <c r="BW26" s="34">
        <f>($B26/12)*(1+INDEX($C26:$E26,1,Control!$B$10))^BW5*INDEX($B$13:$M$13,1,MOD(70-1,12)+1)</f>
        <v/>
      </c>
      <c r="BX26" s="34">
        <f>($B26/12)*(1+INDEX($C26:$E26,1,Control!$B$10))^BX5*INDEX($B$13:$M$13,1,MOD(71-1,12)+1)</f>
        <v/>
      </c>
      <c r="BY26" s="34">
        <f>($B26/12)*(1+INDEX($C26:$E26,1,Control!$B$10))^BY5*INDEX($B$13:$M$13,1,MOD(72-1,12)+1)</f>
        <v/>
      </c>
      <c r="BZ26" s="34">
        <f>($B26/12)*(1+INDEX($C26:$E26,1,Control!$B$10))^BZ5*INDEX($B$13:$M$13,1,MOD(73-1,12)+1)</f>
        <v/>
      </c>
      <c r="CA26" s="34">
        <f>($B26/12)*(1+INDEX($C26:$E26,1,Control!$B$10))^CA5*INDEX($B$13:$M$13,1,MOD(74-1,12)+1)</f>
        <v/>
      </c>
      <c r="CB26" s="34">
        <f>($B26/12)*(1+INDEX($C26:$E26,1,Control!$B$10))^CB5*INDEX($B$13:$M$13,1,MOD(75-1,12)+1)</f>
        <v/>
      </c>
      <c r="CC26" s="34">
        <f>($B26/12)*(1+INDEX($C26:$E26,1,Control!$B$10))^CC5*INDEX($B$13:$M$13,1,MOD(76-1,12)+1)</f>
        <v/>
      </c>
      <c r="CD26" s="34">
        <f>($B26/12)*(1+INDEX($C26:$E26,1,Control!$B$10))^CD5*INDEX($B$13:$M$13,1,MOD(77-1,12)+1)</f>
        <v/>
      </c>
      <c r="CE26" s="34">
        <f>($B26/12)*(1+INDEX($C26:$E26,1,Control!$B$10))^CE5*INDEX($B$13:$M$13,1,MOD(78-1,12)+1)</f>
        <v/>
      </c>
      <c r="CF26" s="34">
        <f>($B26/12)*(1+INDEX($C26:$E26,1,Control!$B$10))^CF5*INDEX($B$13:$M$13,1,MOD(79-1,12)+1)</f>
        <v/>
      </c>
      <c r="CG26" s="34">
        <f>($B26/12)*(1+INDEX($C26:$E26,1,Control!$B$10))^CG5*INDEX($B$13:$M$13,1,MOD(80-1,12)+1)</f>
        <v/>
      </c>
      <c r="CH26" s="34">
        <f>($B26/12)*(1+INDEX($C26:$E26,1,Control!$B$10))^CH5*INDEX($B$13:$M$13,1,MOD(81-1,12)+1)</f>
        <v/>
      </c>
      <c r="CI26" s="34">
        <f>($B26/12)*(1+INDEX($C26:$E26,1,Control!$B$10))^CI5*INDEX($B$13:$M$13,1,MOD(82-1,12)+1)</f>
        <v/>
      </c>
      <c r="CJ26" s="34">
        <f>($B26/12)*(1+INDEX($C26:$E26,1,Control!$B$10))^CJ5*INDEX($B$13:$M$13,1,MOD(83-1,12)+1)</f>
        <v/>
      </c>
      <c r="CK26" s="34">
        <f>($B26/12)*(1+INDEX($C26:$E26,1,Control!$B$10))^CK5*INDEX($B$13:$M$13,1,MOD(84-1,12)+1)</f>
        <v/>
      </c>
      <c r="CL26" s="34">
        <f>($B26/12)*(1+INDEX($C26:$E26,1,Control!$B$10))^CL5*INDEX($B$13:$M$13,1,MOD(85-1,12)+1)</f>
        <v/>
      </c>
      <c r="CM26" s="34">
        <f>($B26/12)*(1+INDEX($C26:$E26,1,Control!$B$10))^CM5*INDEX($B$13:$M$13,1,MOD(86-1,12)+1)</f>
        <v/>
      </c>
      <c r="CN26" s="34">
        <f>($B26/12)*(1+INDEX($C26:$E26,1,Control!$B$10))^CN5*INDEX($B$13:$M$13,1,MOD(87-1,12)+1)</f>
        <v/>
      </c>
      <c r="CO26" s="34">
        <f>($B26/12)*(1+INDEX($C26:$E26,1,Control!$B$10))^CO5*INDEX($B$13:$M$13,1,MOD(88-1,12)+1)</f>
        <v/>
      </c>
      <c r="CP26" s="34">
        <f>($B26/12)*(1+INDEX($C26:$E26,1,Control!$B$10))^CP5*INDEX($B$13:$M$13,1,MOD(89-1,12)+1)</f>
        <v/>
      </c>
      <c r="CQ26" s="34">
        <f>($B26/12)*(1+INDEX($C26:$E26,1,Control!$B$10))^CQ5*INDEX($B$13:$M$13,1,MOD(90-1,12)+1)</f>
        <v/>
      </c>
      <c r="CR26" s="34">
        <f>($B26/12)*(1+INDEX($C26:$E26,1,Control!$B$10))^CR5*INDEX($B$13:$M$13,1,MOD(91-1,12)+1)</f>
        <v/>
      </c>
      <c r="CS26" s="34">
        <f>($B26/12)*(1+INDEX($C26:$E26,1,Control!$B$10))^CS5*INDEX($B$13:$M$13,1,MOD(92-1,12)+1)</f>
        <v/>
      </c>
      <c r="CT26" s="34">
        <f>($B26/12)*(1+INDEX($C26:$E26,1,Control!$B$10))^CT5*INDEX($B$13:$M$13,1,MOD(93-1,12)+1)</f>
        <v/>
      </c>
      <c r="CU26" s="34">
        <f>($B26/12)*(1+INDEX($C26:$E26,1,Control!$B$10))^CU5*INDEX($B$13:$M$13,1,MOD(94-1,12)+1)</f>
        <v/>
      </c>
      <c r="CV26" s="34">
        <f>($B26/12)*(1+INDEX($C26:$E26,1,Control!$B$10))^CV5*INDEX($B$13:$M$13,1,MOD(95-1,12)+1)</f>
        <v/>
      </c>
      <c r="CW26" s="34">
        <f>($B26/12)*(1+INDEX($C26:$E26,1,Control!$B$10))^CW5*INDEX($B$13:$M$13,1,MOD(96-1,12)+1)</f>
        <v/>
      </c>
      <c r="CX26" s="34">
        <f>($B26/12)*(1+INDEX($C26:$E26,1,Control!$B$10))^CX5*INDEX($B$13:$M$13,1,MOD(97-1,12)+1)</f>
        <v/>
      </c>
      <c r="CY26" s="34">
        <f>($B26/12)*(1+INDEX($C26:$E26,1,Control!$B$10))^CY5*INDEX($B$13:$M$13,1,MOD(98-1,12)+1)</f>
        <v/>
      </c>
      <c r="CZ26" s="34">
        <f>($B26/12)*(1+INDEX($C26:$E26,1,Control!$B$10))^CZ5*INDEX($B$13:$M$13,1,MOD(99-1,12)+1)</f>
        <v/>
      </c>
      <c r="DA26" s="34">
        <f>($B26/12)*(1+INDEX($C26:$E26,1,Control!$B$10))^DA5*INDEX($B$13:$M$13,1,MOD(100-1,12)+1)</f>
        <v/>
      </c>
      <c r="DB26" s="34">
        <f>($B26/12)*(1+INDEX($C26:$E26,1,Control!$B$10))^DB5*INDEX($B$13:$M$13,1,MOD(101-1,12)+1)</f>
        <v/>
      </c>
      <c r="DC26" s="34">
        <f>($B26/12)*(1+INDEX($C26:$E26,1,Control!$B$10))^DC5*INDEX($B$13:$M$13,1,MOD(102-1,12)+1)</f>
        <v/>
      </c>
      <c r="DD26" s="34">
        <f>($B26/12)*(1+INDEX($C26:$E26,1,Control!$B$10))^DD5*INDEX($B$13:$M$13,1,MOD(103-1,12)+1)</f>
        <v/>
      </c>
      <c r="DE26" s="34">
        <f>($B26/12)*(1+INDEX($C26:$E26,1,Control!$B$10))^DE5*INDEX($B$13:$M$13,1,MOD(104-1,12)+1)</f>
        <v/>
      </c>
      <c r="DF26" s="34">
        <f>($B26/12)*(1+INDEX($C26:$E26,1,Control!$B$10))^DF5*INDEX($B$13:$M$13,1,MOD(105-1,12)+1)</f>
        <v/>
      </c>
      <c r="DG26" s="34">
        <f>($B26/12)*(1+INDEX($C26:$E26,1,Control!$B$10))^DG5*INDEX($B$13:$M$13,1,MOD(106-1,12)+1)</f>
        <v/>
      </c>
      <c r="DH26" s="34">
        <f>($B26/12)*(1+INDEX($C26:$E26,1,Control!$B$10))^DH5*INDEX($B$13:$M$13,1,MOD(107-1,12)+1)</f>
        <v/>
      </c>
      <c r="DI26" s="34">
        <f>($B26/12)*(1+INDEX($C26:$E26,1,Control!$B$10))^DI5*INDEX($B$13:$M$13,1,MOD(108-1,12)+1)</f>
        <v/>
      </c>
      <c r="DJ26" s="34">
        <f>($B26/12)*(1+INDEX($C26:$E26,1,Control!$B$10))^DJ5*INDEX($B$13:$M$13,1,MOD(109-1,12)+1)</f>
        <v/>
      </c>
      <c r="DK26" s="34">
        <f>($B26/12)*(1+INDEX($C26:$E26,1,Control!$B$10))^DK5*INDEX($B$13:$M$13,1,MOD(110-1,12)+1)</f>
        <v/>
      </c>
      <c r="DL26" s="34">
        <f>($B26/12)*(1+INDEX($C26:$E26,1,Control!$B$10))^DL5*INDEX($B$13:$M$13,1,MOD(111-1,12)+1)</f>
        <v/>
      </c>
      <c r="DM26" s="34">
        <f>($B26/12)*(1+INDEX($C26:$E26,1,Control!$B$10))^DM5*INDEX($B$13:$M$13,1,MOD(112-1,12)+1)</f>
        <v/>
      </c>
      <c r="DN26" s="34">
        <f>($B26/12)*(1+INDEX($C26:$E26,1,Control!$B$10))^DN5*INDEX($B$13:$M$13,1,MOD(113-1,12)+1)</f>
        <v/>
      </c>
      <c r="DO26" s="34">
        <f>($B26/12)*(1+INDEX($C26:$E26,1,Control!$B$10))^DO5*INDEX($B$13:$M$13,1,MOD(114-1,12)+1)</f>
        <v/>
      </c>
      <c r="DP26" s="34">
        <f>($B26/12)*(1+INDEX($C26:$E26,1,Control!$B$10))^DP5*INDEX($B$13:$M$13,1,MOD(115-1,12)+1)</f>
        <v/>
      </c>
      <c r="DQ26" s="34">
        <f>($B26/12)*(1+INDEX($C26:$E26,1,Control!$B$10))^DQ5*INDEX($B$13:$M$13,1,MOD(116-1,12)+1)</f>
        <v/>
      </c>
      <c r="DR26" s="34">
        <f>($B26/12)*(1+INDEX($C26:$E26,1,Control!$B$10))^DR5*INDEX($B$13:$M$13,1,MOD(117-1,12)+1)</f>
        <v/>
      </c>
      <c r="DS26" s="34">
        <f>($B26/12)*(1+INDEX($C26:$E26,1,Control!$B$10))^DS5*INDEX($B$13:$M$13,1,MOD(118-1,12)+1)</f>
        <v/>
      </c>
      <c r="DT26" s="34">
        <f>($B26/12)*(1+INDEX($C26:$E26,1,Control!$B$10))^DT5*INDEX($B$13:$M$13,1,MOD(119-1,12)+1)</f>
        <v/>
      </c>
      <c r="DU26" s="34">
        <f>($B26/12)*(1+INDEX($C26:$E26,1,Control!$B$10))^DU5*INDEX($B$13:$M$13,1,MOD(120-1,12)+1)</f>
        <v/>
      </c>
    </row>
    <row r="27">
      <c r="A27" t="inlineStr">
        <is>
          <t>AllDark-Cans-OnTrade</t>
        </is>
      </c>
      <c r="B27" s="33" t="n">
        <v>8000</v>
      </c>
      <c r="C27" s="22" t="n">
        <v>0.04</v>
      </c>
      <c r="D27" s="22" t="n">
        <v>0.06</v>
      </c>
      <c r="E27" s="22" t="n">
        <v>0.02</v>
      </c>
      <c r="F27" s="34">
        <f>($B27/12)*(1+INDEX($C27:$E27,1,Control!$B$10))^F5*INDEX($B$13:$M$13,1,MOD(1-1,12)+1)</f>
        <v/>
      </c>
      <c r="G27" s="34">
        <f>($B27/12)*(1+INDEX($C27:$E27,1,Control!$B$10))^G5*INDEX($B$13:$M$13,1,MOD(2-1,12)+1)</f>
        <v/>
      </c>
      <c r="H27" s="34">
        <f>($B27/12)*(1+INDEX($C27:$E27,1,Control!$B$10))^H5*INDEX($B$13:$M$13,1,MOD(3-1,12)+1)</f>
        <v/>
      </c>
      <c r="I27" s="34">
        <f>($B27/12)*(1+INDEX($C27:$E27,1,Control!$B$10))^I5*INDEX($B$13:$M$13,1,MOD(4-1,12)+1)</f>
        <v/>
      </c>
      <c r="J27" s="34">
        <f>($B27/12)*(1+INDEX($C27:$E27,1,Control!$B$10))^J5*INDEX($B$13:$M$13,1,MOD(5-1,12)+1)</f>
        <v/>
      </c>
      <c r="K27" s="34">
        <f>($B27/12)*(1+INDEX($C27:$E27,1,Control!$B$10))^K5*INDEX($B$13:$M$13,1,MOD(6-1,12)+1)</f>
        <v/>
      </c>
      <c r="L27" s="34">
        <f>($B27/12)*(1+INDEX($C27:$E27,1,Control!$B$10))^L5*INDEX($B$13:$M$13,1,MOD(7-1,12)+1)</f>
        <v/>
      </c>
      <c r="M27" s="34">
        <f>($B27/12)*(1+INDEX($C27:$E27,1,Control!$B$10))^M5*INDEX($B$13:$M$13,1,MOD(8-1,12)+1)</f>
        <v/>
      </c>
      <c r="N27" s="34">
        <f>($B27/12)*(1+INDEX($C27:$E27,1,Control!$B$10))^N5*INDEX($B$13:$M$13,1,MOD(9-1,12)+1)</f>
        <v/>
      </c>
      <c r="O27" s="34">
        <f>($B27/12)*(1+INDEX($C27:$E27,1,Control!$B$10))^O5*INDEX($B$13:$M$13,1,MOD(10-1,12)+1)</f>
        <v/>
      </c>
      <c r="P27" s="34">
        <f>($B27/12)*(1+INDEX($C27:$E27,1,Control!$B$10))^P5*INDEX($B$13:$M$13,1,MOD(11-1,12)+1)</f>
        <v/>
      </c>
      <c r="Q27" s="34">
        <f>($B27/12)*(1+INDEX($C27:$E27,1,Control!$B$10))^Q5*INDEX($B$13:$M$13,1,MOD(12-1,12)+1)</f>
        <v/>
      </c>
      <c r="R27" s="34">
        <f>($B27/12)*(1+INDEX($C27:$E27,1,Control!$B$10))^R5*INDEX($B$13:$M$13,1,MOD(13-1,12)+1)</f>
        <v/>
      </c>
      <c r="S27" s="34">
        <f>($B27/12)*(1+INDEX($C27:$E27,1,Control!$B$10))^S5*INDEX($B$13:$M$13,1,MOD(14-1,12)+1)</f>
        <v/>
      </c>
      <c r="T27" s="34">
        <f>($B27/12)*(1+INDEX($C27:$E27,1,Control!$B$10))^T5*INDEX($B$13:$M$13,1,MOD(15-1,12)+1)</f>
        <v/>
      </c>
      <c r="U27" s="34">
        <f>($B27/12)*(1+INDEX($C27:$E27,1,Control!$B$10))^U5*INDEX($B$13:$M$13,1,MOD(16-1,12)+1)</f>
        <v/>
      </c>
      <c r="V27" s="34">
        <f>($B27/12)*(1+INDEX($C27:$E27,1,Control!$B$10))^V5*INDEX($B$13:$M$13,1,MOD(17-1,12)+1)</f>
        <v/>
      </c>
      <c r="W27" s="34">
        <f>($B27/12)*(1+INDEX($C27:$E27,1,Control!$B$10))^W5*INDEX($B$13:$M$13,1,MOD(18-1,12)+1)</f>
        <v/>
      </c>
      <c r="X27" s="34">
        <f>($B27/12)*(1+INDEX($C27:$E27,1,Control!$B$10))^X5*INDEX($B$13:$M$13,1,MOD(19-1,12)+1)</f>
        <v/>
      </c>
      <c r="Y27" s="34">
        <f>($B27/12)*(1+INDEX($C27:$E27,1,Control!$B$10))^Y5*INDEX($B$13:$M$13,1,MOD(20-1,12)+1)</f>
        <v/>
      </c>
      <c r="Z27" s="34">
        <f>($B27/12)*(1+INDEX($C27:$E27,1,Control!$B$10))^Z5*INDEX($B$13:$M$13,1,MOD(21-1,12)+1)</f>
        <v/>
      </c>
      <c r="AA27" s="34">
        <f>($B27/12)*(1+INDEX($C27:$E27,1,Control!$B$10))^AA5*INDEX($B$13:$M$13,1,MOD(22-1,12)+1)</f>
        <v/>
      </c>
      <c r="AB27" s="34">
        <f>($B27/12)*(1+INDEX($C27:$E27,1,Control!$B$10))^AB5*INDEX($B$13:$M$13,1,MOD(23-1,12)+1)</f>
        <v/>
      </c>
      <c r="AC27" s="34">
        <f>($B27/12)*(1+INDEX($C27:$E27,1,Control!$B$10))^AC5*INDEX($B$13:$M$13,1,MOD(24-1,12)+1)</f>
        <v/>
      </c>
      <c r="AD27" s="34">
        <f>($B27/12)*(1+INDEX($C27:$E27,1,Control!$B$10))^AD5*INDEX($B$13:$M$13,1,MOD(25-1,12)+1)</f>
        <v/>
      </c>
      <c r="AE27" s="34">
        <f>($B27/12)*(1+INDEX($C27:$E27,1,Control!$B$10))^AE5*INDEX($B$13:$M$13,1,MOD(26-1,12)+1)</f>
        <v/>
      </c>
      <c r="AF27" s="34">
        <f>($B27/12)*(1+INDEX($C27:$E27,1,Control!$B$10))^AF5*INDEX($B$13:$M$13,1,MOD(27-1,12)+1)</f>
        <v/>
      </c>
      <c r="AG27" s="34">
        <f>($B27/12)*(1+INDEX($C27:$E27,1,Control!$B$10))^AG5*INDEX($B$13:$M$13,1,MOD(28-1,12)+1)</f>
        <v/>
      </c>
      <c r="AH27" s="34">
        <f>($B27/12)*(1+INDEX($C27:$E27,1,Control!$B$10))^AH5*INDEX($B$13:$M$13,1,MOD(29-1,12)+1)</f>
        <v/>
      </c>
      <c r="AI27" s="34">
        <f>($B27/12)*(1+INDEX($C27:$E27,1,Control!$B$10))^AI5*INDEX($B$13:$M$13,1,MOD(30-1,12)+1)</f>
        <v/>
      </c>
      <c r="AJ27" s="34">
        <f>($B27/12)*(1+INDEX($C27:$E27,1,Control!$B$10))^AJ5*INDEX($B$13:$M$13,1,MOD(31-1,12)+1)</f>
        <v/>
      </c>
      <c r="AK27" s="34">
        <f>($B27/12)*(1+INDEX($C27:$E27,1,Control!$B$10))^AK5*INDEX($B$13:$M$13,1,MOD(32-1,12)+1)</f>
        <v/>
      </c>
      <c r="AL27" s="34">
        <f>($B27/12)*(1+INDEX($C27:$E27,1,Control!$B$10))^AL5*INDEX($B$13:$M$13,1,MOD(33-1,12)+1)</f>
        <v/>
      </c>
      <c r="AM27" s="34">
        <f>($B27/12)*(1+INDEX($C27:$E27,1,Control!$B$10))^AM5*INDEX($B$13:$M$13,1,MOD(34-1,12)+1)</f>
        <v/>
      </c>
      <c r="AN27" s="34">
        <f>($B27/12)*(1+INDEX($C27:$E27,1,Control!$B$10))^AN5*INDEX($B$13:$M$13,1,MOD(35-1,12)+1)</f>
        <v/>
      </c>
      <c r="AO27" s="34">
        <f>($B27/12)*(1+INDEX($C27:$E27,1,Control!$B$10))^AO5*INDEX($B$13:$M$13,1,MOD(36-1,12)+1)</f>
        <v/>
      </c>
      <c r="AP27" s="34">
        <f>($B27/12)*(1+INDEX($C27:$E27,1,Control!$B$10))^AP5*INDEX($B$13:$M$13,1,MOD(37-1,12)+1)</f>
        <v/>
      </c>
      <c r="AQ27" s="34">
        <f>($B27/12)*(1+INDEX($C27:$E27,1,Control!$B$10))^AQ5*INDEX($B$13:$M$13,1,MOD(38-1,12)+1)</f>
        <v/>
      </c>
      <c r="AR27" s="34">
        <f>($B27/12)*(1+INDEX($C27:$E27,1,Control!$B$10))^AR5*INDEX($B$13:$M$13,1,MOD(39-1,12)+1)</f>
        <v/>
      </c>
      <c r="AS27" s="34">
        <f>($B27/12)*(1+INDEX($C27:$E27,1,Control!$B$10))^AS5*INDEX($B$13:$M$13,1,MOD(40-1,12)+1)</f>
        <v/>
      </c>
      <c r="AT27" s="34">
        <f>($B27/12)*(1+INDEX($C27:$E27,1,Control!$B$10))^AT5*INDEX($B$13:$M$13,1,MOD(41-1,12)+1)</f>
        <v/>
      </c>
      <c r="AU27" s="34">
        <f>($B27/12)*(1+INDEX($C27:$E27,1,Control!$B$10))^AU5*INDEX($B$13:$M$13,1,MOD(42-1,12)+1)</f>
        <v/>
      </c>
      <c r="AV27" s="34">
        <f>($B27/12)*(1+INDEX($C27:$E27,1,Control!$B$10))^AV5*INDEX($B$13:$M$13,1,MOD(43-1,12)+1)</f>
        <v/>
      </c>
      <c r="AW27" s="34">
        <f>($B27/12)*(1+INDEX($C27:$E27,1,Control!$B$10))^AW5*INDEX($B$13:$M$13,1,MOD(44-1,12)+1)</f>
        <v/>
      </c>
      <c r="AX27" s="34">
        <f>($B27/12)*(1+INDEX($C27:$E27,1,Control!$B$10))^AX5*INDEX($B$13:$M$13,1,MOD(45-1,12)+1)</f>
        <v/>
      </c>
      <c r="AY27" s="34">
        <f>($B27/12)*(1+INDEX($C27:$E27,1,Control!$B$10))^AY5*INDEX($B$13:$M$13,1,MOD(46-1,12)+1)</f>
        <v/>
      </c>
      <c r="AZ27" s="34">
        <f>($B27/12)*(1+INDEX($C27:$E27,1,Control!$B$10))^AZ5*INDEX($B$13:$M$13,1,MOD(47-1,12)+1)</f>
        <v/>
      </c>
      <c r="BA27" s="34">
        <f>($B27/12)*(1+INDEX($C27:$E27,1,Control!$B$10))^BA5*INDEX($B$13:$M$13,1,MOD(48-1,12)+1)</f>
        <v/>
      </c>
      <c r="BB27" s="34">
        <f>($B27/12)*(1+INDEX($C27:$E27,1,Control!$B$10))^BB5*INDEX($B$13:$M$13,1,MOD(49-1,12)+1)</f>
        <v/>
      </c>
      <c r="BC27" s="34">
        <f>($B27/12)*(1+INDEX($C27:$E27,1,Control!$B$10))^BC5*INDEX($B$13:$M$13,1,MOD(50-1,12)+1)</f>
        <v/>
      </c>
      <c r="BD27" s="34">
        <f>($B27/12)*(1+INDEX($C27:$E27,1,Control!$B$10))^BD5*INDEX($B$13:$M$13,1,MOD(51-1,12)+1)</f>
        <v/>
      </c>
      <c r="BE27" s="34">
        <f>($B27/12)*(1+INDEX($C27:$E27,1,Control!$B$10))^BE5*INDEX($B$13:$M$13,1,MOD(52-1,12)+1)</f>
        <v/>
      </c>
      <c r="BF27" s="34">
        <f>($B27/12)*(1+INDEX($C27:$E27,1,Control!$B$10))^BF5*INDEX($B$13:$M$13,1,MOD(53-1,12)+1)</f>
        <v/>
      </c>
      <c r="BG27" s="34">
        <f>($B27/12)*(1+INDEX($C27:$E27,1,Control!$B$10))^BG5*INDEX($B$13:$M$13,1,MOD(54-1,12)+1)</f>
        <v/>
      </c>
      <c r="BH27" s="34">
        <f>($B27/12)*(1+INDEX($C27:$E27,1,Control!$B$10))^BH5*INDEX($B$13:$M$13,1,MOD(55-1,12)+1)</f>
        <v/>
      </c>
      <c r="BI27" s="34">
        <f>($B27/12)*(1+INDEX($C27:$E27,1,Control!$B$10))^BI5*INDEX($B$13:$M$13,1,MOD(56-1,12)+1)</f>
        <v/>
      </c>
      <c r="BJ27" s="34">
        <f>($B27/12)*(1+INDEX($C27:$E27,1,Control!$B$10))^BJ5*INDEX($B$13:$M$13,1,MOD(57-1,12)+1)</f>
        <v/>
      </c>
      <c r="BK27" s="34">
        <f>($B27/12)*(1+INDEX($C27:$E27,1,Control!$B$10))^BK5*INDEX($B$13:$M$13,1,MOD(58-1,12)+1)</f>
        <v/>
      </c>
      <c r="BL27" s="34">
        <f>($B27/12)*(1+INDEX($C27:$E27,1,Control!$B$10))^BL5*INDEX($B$13:$M$13,1,MOD(59-1,12)+1)</f>
        <v/>
      </c>
      <c r="BM27" s="34">
        <f>($B27/12)*(1+INDEX($C27:$E27,1,Control!$B$10))^BM5*INDEX($B$13:$M$13,1,MOD(60-1,12)+1)</f>
        <v/>
      </c>
      <c r="BN27" s="34">
        <f>($B27/12)*(1+INDEX($C27:$E27,1,Control!$B$10))^BN5*INDEX($B$13:$M$13,1,MOD(61-1,12)+1)</f>
        <v/>
      </c>
      <c r="BO27" s="34">
        <f>($B27/12)*(1+INDEX($C27:$E27,1,Control!$B$10))^BO5*INDEX($B$13:$M$13,1,MOD(62-1,12)+1)</f>
        <v/>
      </c>
      <c r="BP27" s="34">
        <f>($B27/12)*(1+INDEX($C27:$E27,1,Control!$B$10))^BP5*INDEX($B$13:$M$13,1,MOD(63-1,12)+1)</f>
        <v/>
      </c>
      <c r="BQ27" s="34">
        <f>($B27/12)*(1+INDEX($C27:$E27,1,Control!$B$10))^BQ5*INDEX($B$13:$M$13,1,MOD(64-1,12)+1)</f>
        <v/>
      </c>
      <c r="BR27" s="34">
        <f>($B27/12)*(1+INDEX($C27:$E27,1,Control!$B$10))^BR5*INDEX($B$13:$M$13,1,MOD(65-1,12)+1)</f>
        <v/>
      </c>
      <c r="BS27" s="34">
        <f>($B27/12)*(1+INDEX($C27:$E27,1,Control!$B$10))^BS5*INDEX($B$13:$M$13,1,MOD(66-1,12)+1)</f>
        <v/>
      </c>
      <c r="BT27" s="34">
        <f>($B27/12)*(1+INDEX($C27:$E27,1,Control!$B$10))^BT5*INDEX($B$13:$M$13,1,MOD(67-1,12)+1)</f>
        <v/>
      </c>
      <c r="BU27" s="34">
        <f>($B27/12)*(1+INDEX($C27:$E27,1,Control!$B$10))^BU5*INDEX($B$13:$M$13,1,MOD(68-1,12)+1)</f>
        <v/>
      </c>
      <c r="BV27" s="34">
        <f>($B27/12)*(1+INDEX($C27:$E27,1,Control!$B$10))^BV5*INDEX($B$13:$M$13,1,MOD(69-1,12)+1)</f>
        <v/>
      </c>
      <c r="BW27" s="34">
        <f>($B27/12)*(1+INDEX($C27:$E27,1,Control!$B$10))^BW5*INDEX($B$13:$M$13,1,MOD(70-1,12)+1)</f>
        <v/>
      </c>
      <c r="BX27" s="34">
        <f>($B27/12)*(1+INDEX($C27:$E27,1,Control!$B$10))^BX5*INDEX($B$13:$M$13,1,MOD(71-1,12)+1)</f>
        <v/>
      </c>
      <c r="BY27" s="34">
        <f>($B27/12)*(1+INDEX($C27:$E27,1,Control!$B$10))^BY5*INDEX($B$13:$M$13,1,MOD(72-1,12)+1)</f>
        <v/>
      </c>
      <c r="BZ27" s="34">
        <f>($B27/12)*(1+INDEX($C27:$E27,1,Control!$B$10))^BZ5*INDEX($B$13:$M$13,1,MOD(73-1,12)+1)</f>
        <v/>
      </c>
      <c r="CA27" s="34">
        <f>($B27/12)*(1+INDEX($C27:$E27,1,Control!$B$10))^CA5*INDEX($B$13:$M$13,1,MOD(74-1,12)+1)</f>
        <v/>
      </c>
      <c r="CB27" s="34">
        <f>($B27/12)*(1+INDEX($C27:$E27,1,Control!$B$10))^CB5*INDEX($B$13:$M$13,1,MOD(75-1,12)+1)</f>
        <v/>
      </c>
      <c r="CC27" s="34">
        <f>($B27/12)*(1+INDEX($C27:$E27,1,Control!$B$10))^CC5*INDEX($B$13:$M$13,1,MOD(76-1,12)+1)</f>
        <v/>
      </c>
      <c r="CD27" s="34">
        <f>($B27/12)*(1+INDEX($C27:$E27,1,Control!$B$10))^CD5*INDEX($B$13:$M$13,1,MOD(77-1,12)+1)</f>
        <v/>
      </c>
      <c r="CE27" s="34">
        <f>($B27/12)*(1+INDEX($C27:$E27,1,Control!$B$10))^CE5*INDEX($B$13:$M$13,1,MOD(78-1,12)+1)</f>
        <v/>
      </c>
      <c r="CF27" s="34">
        <f>($B27/12)*(1+INDEX($C27:$E27,1,Control!$B$10))^CF5*INDEX($B$13:$M$13,1,MOD(79-1,12)+1)</f>
        <v/>
      </c>
      <c r="CG27" s="34">
        <f>($B27/12)*(1+INDEX($C27:$E27,1,Control!$B$10))^CG5*INDEX($B$13:$M$13,1,MOD(80-1,12)+1)</f>
        <v/>
      </c>
      <c r="CH27" s="34">
        <f>($B27/12)*(1+INDEX($C27:$E27,1,Control!$B$10))^CH5*INDEX($B$13:$M$13,1,MOD(81-1,12)+1)</f>
        <v/>
      </c>
      <c r="CI27" s="34">
        <f>($B27/12)*(1+INDEX($C27:$E27,1,Control!$B$10))^CI5*INDEX($B$13:$M$13,1,MOD(82-1,12)+1)</f>
        <v/>
      </c>
      <c r="CJ27" s="34">
        <f>($B27/12)*(1+INDEX($C27:$E27,1,Control!$B$10))^CJ5*INDEX($B$13:$M$13,1,MOD(83-1,12)+1)</f>
        <v/>
      </c>
      <c r="CK27" s="34">
        <f>($B27/12)*(1+INDEX($C27:$E27,1,Control!$B$10))^CK5*INDEX($B$13:$M$13,1,MOD(84-1,12)+1)</f>
        <v/>
      </c>
      <c r="CL27" s="34">
        <f>($B27/12)*(1+INDEX($C27:$E27,1,Control!$B$10))^CL5*INDEX($B$13:$M$13,1,MOD(85-1,12)+1)</f>
        <v/>
      </c>
      <c r="CM27" s="34">
        <f>($B27/12)*(1+INDEX($C27:$E27,1,Control!$B$10))^CM5*INDEX($B$13:$M$13,1,MOD(86-1,12)+1)</f>
        <v/>
      </c>
      <c r="CN27" s="34">
        <f>($B27/12)*(1+INDEX($C27:$E27,1,Control!$B$10))^CN5*INDEX($B$13:$M$13,1,MOD(87-1,12)+1)</f>
        <v/>
      </c>
      <c r="CO27" s="34">
        <f>($B27/12)*(1+INDEX($C27:$E27,1,Control!$B$10))^CO5*INDEX($B$13:$M$13,1,MOD(88-1,12)+1)</f>
        <v/>
      </c>
      <c r="CP27" s="34">
        <f>($B27/12)*(1+INDEX($C27:$E27,1,Control!$B$10))^CP5*INDEX($B$13:$M$13,1,MOD(89-1,12)+1)</f>
        <v/>
      </c>
      <c r="CQ27" s="34">
        <f>($B27/12)*(1+INDEX($C27:$E27,1,Control!$B$10))^CQ5*INDEX($B$13:$M$13,1,MOD(90-1,12)+1)</f>
        <v/>
      </c>
      <c r="CR27" s="34">
        <f>($B27/12)*(1+INDEX($C27:$E27,1,Control!$B$10))^CR5*INDEX($B$13:$M$13,1,MOD(91-1,12)+1)</f>
        <v/>
      </c>
      <c r="CS27" s="34">
        <f>($B27/12)*(1+INDEX($C27:$E27,1,Control!$B$10))^CS5*INDEX($B$13:$M$13,1,MOD(92-1,12)+1)</f>
        <v/>
      </c>
      <c r="CT27" s="34">
        <f>($B27/12)*(1+INDEX($C27:$E27,1,Control!$B$10))^CT5*INDEX($B$13:$M$13,1,MOD(93-1,12)+1)</f>
        <v/>
      </c>
      <c r="CU27" s="34">
        <f>($B27/12)*(1+INDEX($C27:$E27,1,Control!$B$10))^CU5*INDEX($B$13:$M$13,1,MOD(94-1,12)+1)</f>
        <v/>
      </c>
      <c r="CV27" s="34">
        <f>($B27/12)*(1+INDEX($C27:$E27,1,Control!$B$10))^CV5*INDEX($B$13:$M$13,1,MOD(95-1,12)+1)</f>
        <v/>
      </c>
      <c r="CW27" s="34">
        <f>($B27/12)*(1+INDEX($C27:$E27,1,Control!$B$10))^CW5*INDEX($B$13:$M$13,1,MOD(96-1,12)+1)</f>
        <v/>
      </c>
      <c r="CX27" s="34">
        <f>($B27/12)*(1+INDEX($C27:$E27,1,Control!$B$10))^CX5*INDEX($B$13:$M$13,1,MOD(97-1,12)+1)</f>
        <v/>
      </c>
      <c r="CY27" s="34">
        <f>($B27/12)*(1+INDEX($C27:$E27,1,Control!$B$10))^CY5*INDEX($B$13:$M$13,1,MOD(98-1,12)+1)</f>
        <v/>
      </c>
      <c r="CZ27" s="34">
        <f>($B27/12)*(1+INDEX($C27:$E27,1,Control!$B$10))^CZ5*INDEX($B$13:$M$13,1,MOD(99-1,12)+1)</f>
        <v/>
      </c>
      <c r="DA27" s="34">
        <f>($B27/12)*(1+INDEX($C27:$E27,1,Control!$B$10))^DA5*INDEX($B$13:$M$13,1,MOD(100-1,12)+1)</f>
        <v/>
      </c>
      <c r="DB27" s="34">
        <f>($B27/12)*(1+INDEX($C27:$E27,1,Control!$B$10))^DB5*INDEX($B$13:$M$13,1,MOD(101-1,12)+1)</f>
        <v/>
      </c>
      <c r="DC27" s="34">
        <f>($B27/12)*(1+INDEX($C27:$E27,1,Control!$B$10))^DC5*INDEX($B$13:$M$13,1,MOD(102-1,12)+1)</f>
        <v/>
      </c>
      <c r="DD27" s="34">
        <f>($B27/12)*(1+INDEX($C27:$E27,1,Control!$B$10))^DD5*INDEX($B$13:$M$13,1,MOD(103-1,12)+1)</f>
        <v/>
      </c>
      <c r="DE27" s="34">
        <f>($B27/12)*(1+INDEX($C27:$E27,1,Control!$B$10))^DE5*INDEX($B$13:$M$13,1,MOD(104-1,12)+1)</f>
        <v/>
      </c>
      <c r="DF27" s="34">
        <f>($B27/12)*(1+INDEX($C27:$E27,1,Control!$B$10))^DF5*INDEX($B$13:$M$13,1,MOD(105-1,12)+1)</f>
        <v/>
      </c>
      <c r="DG27" s="34">
        <f>($B27/12)*(1+INDEX($C27:$E27,1,Control!$B$10))^DG5*INDEX($B$13:$M$13,1,MOD(106-1,12)+1)</f>
        <v/>
      </c>
      <c r="DH27" s="34">
        <f>($B27/12)*(1+INDEX($C27:$E27,1,Control!$B$10))^DH5*INDEX($B$13:$M$13,1,MOD(107-1,12)+1)</f>
        <v/>
      </c>
      <c r="DI27" s="34">
        <f>($B27/12)*(1+INDEX($C27:$E27,1,Control!$B$10))^DI5*INDEX($B$13:$M$13,1,MOD(108-1,12)+1)</f>
        <v/>
      </c>
      <c r="DJ27" s="34">
        <f>($B27/12)*(1+INDEX($C27:$E27,1,Control!$B$10))^DJ5*INDEX($B$13:$M$13,1,MOD(109-1,12)+1)</f>
        <v/>
      </c>
      <c r="DK27" s="34">
        <f>($B27/12)*(1+INDEX($C27:$E27,1,Control!$B$10))^DK5*INDEX($B$13:$M$13,1,MOD(110-1,12)+1)</f>
        <v/>
      </c>
      <c r="DL27" s="34">
        <f>($B27/12)*(1+INDEX($C27:$E27,1,Control!$B$10))^DL5*INDEX($B$13:$M$13,1,MOD(111-1,12)+1)</f>
        <v/>
      </c>
      <c r="DM27" s="34">
        <f>($B27/12)*(1+INDEX($C27:$E27,1,Control!$B$10))^DM5*INDEX($B$13:$M$13,1,MOD(112-1,12)+1)</f>
        <v/>
      </c>
      <c r="DN27" s="34">
        <f>($B27/12)*(1+INDEX($C27:$E27,1,Control!$B$10))^DN5*INDEX($B$13:$M$13,1,MOD(113-1,12)+1)</f>
        <v/>
      </c>
      <c r="DO27" s="34">
        <f>($B27/12)*(1+INDEX($C27:$E27,1,Control!$B$10))^DO5*INDEX($B$13:$M$13,1,MOD(114-1,12)+1)</f>
        <v/>
      </c>
      <c r="DP27" s="34">
        <f>($B27/12)*(1+INDEX($C27:$E27,1,Control!$B$10))^DP5*INDEX($B$13:$M$13,1,MOD(115-1,12)+1)</f>
        <v/>
      </c>
      <c r="DQ27" s="34">
        <f>($B27/12)*(1+INDEX($C27:$E27,1,Control!$B$10))^DQ5*INDEX($B$13:$M$13,1,MOD(116-1,12)+1)</f>
        <v/>
      </c>
      <c r="DR27" s="34">
        <f>($B27/12)*(1+INDEX($C27:$E27,1,Control!$B$10))^DR5*INDEX($B$13:$M$13,1,MOD(117-1,12)+1)</f>
        <v/>
      </c>
      <c r="DS27" s="34">
        <f>($B27/12)*(1+INDEX($C27:$E27,1,Control!$B$10))^DS5*INDEX($B$13:$M$13,1,MOD(118-1,12)+1)</f>
        <v/>
      </c>
      <c r="DT27" s="34">
        <f>($B27/12)*(1+INDEX($C27:$E27,1,Control!$B$10))^DT5*INDEX($B$13:$M$13,1,MOD(119-1,12)+1)</f>
        <v/>
      </c>
      <c r="DU27" s="34">
        <f>($B27/12)*(1+INDEX($C27:$E27,1,Control!$B$10))^DU5*INDEX($B$13:$M$13,1,MOD(120-1,12)+1)</f>
        <v/>
      </c>
    </row>
    <row r="28">
      <c r="A28" t="inlineStr">
        <is>
          <t>AllDark-Cans-OffTrade</t>
        </is>
      </c>
      <c r="B28" s="33" t="n">
        <v>30000</v>
      </c>
      <c r="C28" s="22" t="n">
        <v>0.04</v>
      </c>
      <c r="D28" s="22" t="n">
        <v>0.06</v>
      </c>
      <c r="E28" s="22" t="n">
        <v>0.02</v>
      </c>
      <c r="F28" s="34">
        <f>($B28/12)*(1+INDEX($C28:$E28,1,Control!$B$10))^F5*INDEX($B$13:$M$13,1,MOD(1-1,12)+1)</f>
        <v/>
      </c>
      <c r="G28" s="34">
        <f>($B28/12)*(1+INDEX($C28:$E28,1,Control!$B$10))^G5*INDEX($B$13:$M$13,1,MOD(2-1,12)+1)</f>
        <v/>
      </c>
      <c r="H28" s="34">
        <f>($B28/12)*(1+INDEX($C28:$E28,1,Control!$B$10))^H5*INDEX($B$13:$M$13,1,MOD(3-1,12)+1)</f>
        <v/>
      </c>
      <c r="I28" s="34">
        <f>($B28/12)*(1+INDEX($C28:$E28,1,Control!$B$10))^I5*INDEX($B$13:$M$13,1,MOD(4-1,12)+1)</f>
        <v/>
      </c>
      <c r="J28" s="34">
        <f>($B28/12)*(1+INDEX($C28:$E28,1,Control!$B$10))^J5*INDEX($B$13:$M$13,1,MOD(5-1,12)+1)</f>
        <v/>
      </c>
      <c r="K28" s="34">
        <f>($B28/12)*(1+INDEX($C28:$E28,1,Control!$B$10))^K5*INDEX($B$13:$M$13,1,MOD(6-1,12)+1)</f>
        <v/>
      </c>
      <c r="L28" s="34">
        <f>($B28/12)*(1+INDEX($C28:$E28,1,Control!$B$10))^L5*INDEX($B$13:$M$13,1,MOD(7-1,12)+1)</f>
        <v/>
      </c>
      <c r="M28" s="34">
        <f>($B28/12)*(1+INDEX($C28:$E28,1,Control!$B$10))^M5*INDEX($B$13:$M$13,1,MOD(8-1,12)+1)</f>
        <v/>
      </c>
      <c r="N28" s="34">
        <f>($B28/12)*(1+INDEX($C28:$E28,1,Control!$B$10))^N5*INDEX($B$13:$M$13,1,MOD(9-1,12)+1)</f>
        <v/>
      </c>
      <c r="O28" s="34">
        <f>($B28/12)*(1+INDEX($C28:$E28,1,Control!$B$10))^O5*INDEX($B$13:$M$13,1,MOD(10-1,12)+1)</f>
        <v/>
      </c>
      <c r="P28" s="34">
        <f>($B28/12)*(1+INDEX($C28:$E28,1,Control!$B$10))^P5*INDEX($B$13:$M$13,1,MOD(11-1,12)+1)</f>
        <v/>
      </c>
      <c r="Q28" s="34">
        <f>($B28/12)*(1+INDEX($C28:$E28,1,Control!$B$10))^Q5*INDEX($B$13:$M$13,1,MOD(12-1,12)+1)</f>
        <v/>
      </c>
      <c r="R28" s="34">
        <f>($B28/12)*(1+INDEX($C28:$E28,1,Control!$B$10))^R5*INDEX($B$13:$M$13,1,MOD(13-1,12)+1)</f>
        <v/>
      </c>
      <c r="S28" s="34">
        <f>($B28/12)*(1+INDEX($C28:$E28,1,Control!$B$10))^S5*INDEX($B$13:$M$13,1,MOD(14-1,12)+1)</f>
        <v/>
      </c>
      <c r="T28" s="34">
        <f>($B28/12)*(1+INDEX($C28:$E28,1,Control!$B$10))^T5*INDEX($B$13:$M$13,1,MOD(15-1,12)+1)</f>
        <v/>
      </c>
      <c r="U28" s="34">
        <f>($B28/12)*(1+INDEX($C28:$E28,1,Control!$B$10))^U5*INDEX($B$13:$M$13,1,MOD(16-1,12)+1)</f>
        <v/>
      </c>
      <c r="V28" s="34">
        <f>($B28/12)*(1+INDEX($C28:$E28,1,Control!$B$10))^V5*INDEX($B$13:$M$13,1,MOD(17-1,12)+1)</f>
        <v/>
      </c>
      <c r="W28" s="34">
        <f>($B28/12)*(1+INDEX($C28:$E28,1,Control!$B$10))^W5*INDEX($B$13:$M$13,1,MOD(18-1,12)+1)</f>
        <v/>
      </c>
      <c r="X28" s="34">
        <f>($B28/12)*(1+INDEX($C28:$E28,1,Control!$B$10))^X5*INDEX($B$13:$M$13,1,MOD(19-1,12)+1)</f>
        <v/>
      </c>
      <c r="Y28" s="34">
        <f>($B28/12)*(1+INDEX($C28:$E28,1,Control!$B$10))^Y5*INDEX($B$13:$M$13,1,MOD(20-1,12)+1)</f>
        <v/>
      </c>
      <c r="Z28" s="34">
        <f>($B28/12)*(1+INDEX($C28:$E28,1,Control!$B$10))^Z5*INDEX($B$13:$M$13,1,MOD(21-1,12)+1)</f>
        <v/>
      </c>
      <c r="AA28" s="34">
        <f>($B28/12)*(1+INDEX($C28:$E28,1,Control!$B$10))^AA5*INDEX($B$13:$M$13,1,MOD(22-1,12)+1)</f>
        <v/>
      </c>
      <c r="AB28" s="34">
        <f>($B28/12)*(1+INDEX($C28:$E28,1,Control!$B$10))^AB5*INDEX($B$13:$M$13,1,MOD(23-1,12)+1)</f>
        <v/>
      </c>
      <c r="AC28" s="34">
        <f>($B28/12)*(1+INDEX($C28:$E28,1,Control!$B$10))^AC5*INDEX($B$13:$M$13,1,MOD(24-1,12)+1)</f>
        <v/>
      </c>
      <c r="AD28" s="34">
        <f>($B28/12)*(1+INDEX($C28:$E28,1,Control!$B$10))^AD5*INDEX($B$13:$M$13,1,MOD(25-1,12)+1)</f>
        <v/>
      </c>
      <c r="AE28" s="34">
        <f>($B28/12)*(1+INDEX($C28:$E28,1,Control!$B$10))^AE5*INDEX($B$13:$M$13,1,MOD(26-1,12)+1)</f>
        <v/>
      </c>
      <c r="AF28" s="34">
        <f>($B28/12)*(1+INDEX($C28:$E28,1,Control!$B$10))^AF5*INDEX($B$13:$M$13,1,MOD(27-1,12)+1)</f>
        <v/>
      </c>
      <c r="AG28" s="34">
        <f>($B28/12)*(1+INDEX($C28:$E28,1,Control!$B$10))^AG5*INDEX($B$13:$M$13,1,MOD(28-1,12)+1)</f>
        <v/>
      </c>
      <c r="AH28" s="34">
        <f>($B28/12)*(1+INDEX($C28:$E28,1,Control!$B$10))^AH5*INDEX($B$13:$M$13,1,MOD(29-1,12)+1)</f>
        <v/>
      </c>
      <c r="AI28" s="34">
        <f>($B28/12)*(1+INDEX($C28:$E28,1,Control!$B$10))^AI5*INDEX($B$13:$M$13,1,MOD(30-1,12)+1)</f>
        <v/>
      </c>
      <c r="AJ28" s="34">
        <f>($B28/12)*(1+INDEX($C28:$E28,1,Control!$B$10))^AJ5*INDEX($B$13:$M$13,1,MOD(31-1,12)+1)</f>
        <v/>
      </c>
      <c r="AK28" s="34">
        <f>($B28/12)*(1+INDEX($C28:$E28,1,Control!$B$10))^AK5*INDEX($B$13:$M$13,1,MOD(32-1,12)+1)</f>
        <v/>
      </c>
      <c r="AL28" s="34">
        <f>($B28/12)*(1+INDEX($C28:$E28,1,Control!$B$10))^AL5*INDEX($B$13:$M$13,1,MOD(33-1,12)+1)</f>
        <v/>
      </c>
      <c r="AM28" s="34">
        <f>($B28/12)*(1+INDEX($C28:$E28,1,Control!$B$10))^AM5*INDEX($B$13:$M$13,1,MOD(34-1,12)+1)</f>
        <v/>
      </c>
      <c r="AN28" s="34">
        <f>($B28/12)*(1+INDEX($C28:$E28,1,Control!$B$10))^AN5*INDEX($B$13:$M$13,1,MOD(35-1,12)+1)</f>
        <v/>
      </c>
      <c r="AO28" s="34">
        <f>($B28/12)*(1+INDEX($C28:$E28,1,Control!$B$10))^AO5*INDEX($B$13:$M$13,1,MOD(36-1,12)+1)</f>
        <v/>
      </c>
      <c r="AP28" s="34">
        <f>($B28/12)*(1+INDEX($C28:$E28,1,Control!$B$10))^AP5*INDEX($B$13:$M$13,1,MOD(37-1,12)+1)</f>
        <v/>
      </c>
      <c r="AQ28" s="34">
        <f>($B28/12)*(1+INDEX($C28:$E28,1,Control!$B$10))^AQ5*INDEX($B$13:$M$13,1,MOD(38-1,12)+1)</f>
        <v/>
      </c>
      <c r="AR28" s="34">
        <f>($B28/12)*(1+INDEX($C28:$E28,1,Control!$B$10))^AR5*INDEX($B$13:$M$13,1,MOD(39-1,12)+1)</f>
        <v/>
      </c>
      <c r="AS28" s="34">
        <f>($B28/12)*(1+INDEX($C28:$E28,1,Control!$B$10))^AS5*INDEX($B$13:$M$13,1,MOD(40-1,12)+1)</f>
        <v/>
      </c>
      <c r="AT28" s="34">
        <f>($B28/12)*(1+INDEX($C28:$E28,1,Control!$B$10))^AT5*INDEX($B$13:$M$13,1,MOD(41-1,12)+1)</f>
        <v/>
      </c>
      <c r="AU28" s="34">
        <f>($B28/12)*(1+INDEX($C28:$E28,1,Control!$B$10))^AU5*INDEX($B$13:$M$13,1,MOD(42-1,12)+1)</f>
        <v/>
      </c>
      <c r="AV28" s="34">
        <f>($B28/12)*(1+INDEX($C28:$E28,1,Control!$B$10))^AV5*INDEX($B$13:$M$13,1,MOD(43-1,12)+1)</f>
        <v/>
      </c>
      <c r="AW28" s="34">
        <f>($B28/12)*(1+INDEX($C28:$E28,1,Control!$B$10))^AW5*INDEX($B$13:$M$13,1,MOD(44-1,12)+1)</f>
        <v/>
      </c>
      <c r="AX28" s="34">
        <f>($B28/12)*(1+INDEX($C28:$E28,1,Control!$B$10))^AX5*INDEX($B$13:$M$13,1,MOD(45-1,12)+1)</f>
        <v/>
      </c>
      <c r="AY28" s="34">
        <f>($B28/12)*(1+INDEX($C28:$E28,1,Control!$B$10))^AY5*INDEX($B$13:$M$13,1,MOD(46-1,12)+1)</f>
        <v/>
      </c>
      <c r="AZ28" s="34">
        <f>($B28/12)*(1+INDEX($C28:$E28,1,Control!$B$10))^AZ5*INDEX($B$13:$M$13,1,MOD(47-1,12)+1)</f>
        <v/>
      </c>
      <c r="BA28" s="34">
        <f>($B28/12)*(1+INDEX($C28:$E28,1,Control!$B$10))^BA5*INDEX($B$13:$M$13,1,MOD(48-1,12)+1)</f>
        <v/>
      </c>
      <c r="BB28" s="34">
        <f>($B28/12)*(1+INDEX($C28:$E28,1,Control!$B$10))^BB5*INDEX($B$13:$M$13,1,MOD(49-1,12)+1)</f>
        <v/>
      </c>
      <c r="BC28" s="34">
        <f>($B28/12)*(1+INDEX($C28:$E28,1,Control!$B$10))^BC5*INDEX($B$13:$M$13,1,MOD(50-1,12)+1)</f>
        <v/>
      </c>
      <c r="BD28" s="34">
        <f>($B28/12)*(1+INDEX($C28:$E28,1,Control!$B$10))^BD5*INDEX($B$13:$M$13,1,MOD(51-1,12)+1)</f>
        <v/>
      </c>
      <c r="BE28" s="34">
        <f>($B28/12)*(1+INDEX($C28:$E28,1,Control!$B$10))^BE5*INDEX($B$13:$M$13,1,MOD(52-1,12)+1)</f>
        <v/>
      </c>
      <c r="BF28" s="34">
        <f>($B28/12)*(1+INDEX($C28:$E28,1,Control!$B$10))^BF5*INDEX($B$13:$M$13,1,MOD(53-1,12)+1)</f>
        <v/>
      </c>
      <c r="BG28" s="34">
        <f>($B28/12)*(1+INDEX($C28:$E28,1,Control!$B$10))^BG5*INDEX($B$13:$M$13,1,MOD(54-1,12)+1)</f>
        <v/>
      </c>
      <c r="BH28" s="34">
        <f>($B28/12)*(1+INDEX($C28:$E28,1,Control!$B$10))^BH5*INDEX($B$13:$M$13,1,MOD(55-1,12)+1)</f>
        <v/>
      </c>
      <c r="BI28" s="34">
        <f>($B28/12)*(1+INDEX($C28:$E28,1,Control!$B$10))^BI5*INDEX($B$13:$M$13,1,MOD(56-1,12)+1)</f>
        <v/>
      </c>
      <c r="BJ28" s="34">
        <f>($B28/12)*(1+INDEX($C28:$E28,1,Control!$B$10))^BJ5*INDEX($B$13:$M$13,1,MOD(57-1,12)+1)</f>
        <v/>
      </c>
      <c r="BK28" s="34">
        <f>($B28/12)*(1+INDEX($C28:$E28,1,Control!$B$10))^BK5*INDEX($B$13:$M$13,1,MOD(58-1,12)+1)</f>
        <v/>
      </c>
      <c r="BL28" s="34">
        <f>($B28/12)*(1+INDEX($C28:$E28,1,Control!$B$10))^BL5*INDEX($B$13:$M$13,1,MOD(59-1,12)+1)</f>
        <v/>
      </c>
      <c r="BM28" s="34">
        <f>($B28/12)*(1+INDEX($C28:$E28,1,Control!$B$10))^BM5*INDEX($B$13:$M$13,1,MOD(60-1,12)+1)</f>
        <v/>
      </c>
      <c r="BN28" s="34">
        <f>($B28/12)*(1+INDEX($C28:$E28,1,Control!$B$10))^BN5*INDEX($B$13:$M$13,1,MOD(61-1,12)+1)</f>
        <v/>
      </c>
      <c r="BO28" s="34">
        <f>($B28/12)*(1+INDEX($C28:$E28,1,Control!$B$10))^BO5*INDEX($B$13:$M$13,1,MOD(62-1,12)+1)</f>
        <v/>
      </c>
      <c r="BP28" s="34">
        <f>($B28/12)*(1+INDEX($C28:$E28,1,Control!$B$10))^BP5*INDEX($B$13:$M$13,1,MOD(63-1,12)+1)</f>
        <v/>
      </c>
      <c r="BQ28" s="34">
        <f>($B28/12)*(1+INDEX($C28:$E28,1,Control!$B$10))^BQ5*INDEX($B$13:$M$13,1,MOD(64-1,12)+1)</f>
        <v/>
      </c>
      <c r="BR28" s="34">
        <f>($B28/12)*(1+INDEX($C28:$E28,1,Control!$B$10))^BR5*INDEX($B$13:$M$13,1,MOD(65-1,12)+1)</f>
        <v/>
      </c>
      <c r="BS28" s="34">
        <f>($B28/12)*(1+INDEX($C28:$E28,1,Control!$B$10))^BS5*INDEX($B$13:$M$13,1,MOD(66-1,12)+1)</f>
        <v/>
      </c>
      <c r="BT28" s="34">
        <f>($B28/12)*(1+INDEX($C28:$E28,1,Control!$B$10))^BT5*INDEX($B$13:$M$13,1,MOD(67-1,12)+1)</f>
        <v/>
      </c>
      <c r="BU28" s="34">
        <f>($B28/12)*(1+INDEX($C28:$E28,1,Control!$B$10))^BU5*INDEX($B$13:$M$13,1,MOD(68-1,12)+1)</f>
        <v/>
      </c>
      <c r="BV28" s="34">
        <f>($B28/12)*(1+INDEX($C28:$E28,1,Control!$B$10))^BV5*INDEX($B$13:$M$13,1,MOD(69-1,12)+1)</f>
        <v/>
      </c>
      <c r="BW28" s="34">
        <f>($B28/12)*(1+INDEX($C28:$E28,1,Control!$B$10))^BW5*INDEX($B$13:$M$13,1,MOD(70-1,12)+1)</f>
        <v/>
      </c>
      <c r="BX28" s="34">
        <f>($B28/12)*(1+INDEX($C28:$E28,1,Control!$B$10))^BX5*INDEX($B$13:$M$13,1,MOD(71-1,12)+1)</f>
        <v/>
      </c>
      <c r="BY28" s="34">
        <f>($B28/12)*(1+INDEX($C28:$E28,1,Control!$B$10))^BY5*INDEX($B$13:$M$13,1,MOD(72-1,12)+1)</f>
        <v/>
      </c>
      <c r="BZ28" s="34">
        <f>($B28/12)*(1+INDEX($C28:$E28,1,Control!$B$10))^BZ5*INDEX($B$13:$M$13,1,MOD(73-1,12)+1)</f>
        <v/>
      </c>
      <c r="CA28" s="34">
        <f>($B28/12)*(1+INDEX($C28:$E28,1,Control!$B$10))^CA5*INDEX($B$13:$M$13,1,MOD(74-1,12)+1)</f>
        <v/>
      </c>
      <c r="CB28" s="34">
        <f>($B28/12)*(1+INDEX($C28:$E28,1,Control!$B$10))^CB5*INDEX($B$13:$M$13,1,MOD(75-1,12)+1)</f>
        <v/>
      </c>
      <c r="CC28" s="34">
        <f>($B28/12)*(1+INDEX($C28:$E28,1,Control!$B$10))^CC5*INDEX($B$13:$M$13,1,MOD(76-1,12)+1)</f>
        <v/>
      </c>
      <c r="CD28" s="34">
        <f>($B28/12)*(1+INDEX($C28:$E28,1,Control!$B$10))^CD5*INDEX($B$13:$M$13,1,MOD(77-1,12)+1)</f>
        <v/>
      </c>
      <c r="CE28" s="34">
        <f>($B28/12)*(1+INDEX($C28:$E28,1,Control!$B$10))^CE5*INDEX($B$13:$M$13,1,MOD(78-1,12)+1)</f>
        <v/>
      </c>
      <c r="CF28" s="34">
        <f>($B28/12)*(1+INDEX($C28:$E28,1,Control!$B$10))^CF5*INDEX($B$13:$M$13,1,MOD(79-1,12)+1)</f>
        <v/>
      </c>
      <c r="CG28" s="34">
        <f>($B28/12)*(1+INDEX($C28:$E28,1,Control!$B$10))^CG5*INDEX($B$13:$M$13,1,MOD(80-1,12)+1)</f>
        <v/>
      </c>
      <c r="CH28" s="34">
        <f>($B28/12)*(1+INDEX($C28:$E28,1,Control!$B$10))^CH5*INDEX($B$13:$M$13,1,MOD(81-1,12)+1)</f>
        <v/>
      </c>
      <c r="CI28" s="34">
        <f>($B28/12)*(1+INDEX($C28:$E28,1,Control!$B$10))^CI5*INDEX($B$13:$M$13,1,MOD(82-1,12)+1)</f>
        <v/>
      </c>
      <c r="CJ28" s="34">
        <f>($B28/12)*(1+INDEX($C28:$E28,1,Control!$B$10))^CJ5*INDEX($B$13:$M$13,1,MOD(83-1,12)+1)</f>
        <v/>
      </c>
      <c r="CK28" s="34">
        <f>($B28/12)*(1+INDEX($C28:$E28,1,Control!$B$10))^CK5*INDEX($B$13:$M$13,1,MOD(84-1,12)+1)</f>
        <v/>
      </c>
      <c r="CL28" s="34">
        <f>($B28/12)*(1+INDEX($C28:$E28,1,Control!$B$10))^CL5*INDEX($B$13:$M$13,1,MOD(85-1,12)+1)</f>
        <v/>
      </c>
      <c r="CM28" s="34">
        <f>($B28/12)*(1+INDEX($C28:$E28,1,Control!$B$10))^CM5*INDEX($B$13:$M$13,1,MOD(86-1,12)+1)</f>
        <v/>
      </c>
      <c r="CN28" s="34">
        <f>($B28/12)*(1+INDEX($C28:$E28,1,Control!$B$10))^CN5*INDEX($B$13:$M$13,1,MOD(87-1,12)+1)</f>
        <v/>
      </c>
      <c r="CO28" s="34">
        <f>($B28/12)*(1+INDEX($C28:$E28,1,Control!$B$10))^CO5*INDEX($B$13:$M$13,1,MOD(88-1,12)+1)</f>
        <v/>
      </c>
      <c r="CP28" s="34">
        <f>($B28/12)*(1+INDEX($C28:$E28,1,Control!$B$10))^CP5*INDEX($B$13:$M$13,1,MOD(89-1,12)+1)</f>
        <v/>
      </c>
      <c r="CQ28" s="34">
        <f>($B28/12)*(1+INDEX($C28:$E28,1,Control!$B$10))^CQ5*INDEX($B$13:$M$13,1,MOD(90-1,12)+1)</f>
        <v/>
      </c>
      <c r="CR28" s="34">
        <f>($B28/12)*(1+INDEX($C28:$E28,1,Control!$B$10))^CR5*INDEX($B$13:$M$13,1,MOD(91-1,12)+1)</f>
        <v/>
      </c>
      <c r="CS28" s="34">
        <f>($B28/12)*(1+INDEX($C28:$E28,1,Control!$B$10))^CS5*INDEX($B$13:$M$13,1,MOD(92-1,12)+1)</f>
        <v/>
      </c>
      <c r="CT28" s="34">
        <f>($B28/12)*(1+INDEX($C28:$E28,1,Control!$B$10))^CT5*INDEX($B$13:$M$13,1,MOD(93-1,12)+1)</f>
        <v/>
      </c>
      <c r="CU28" s="34">
        <f>($B28/12)*(1+INDEX($C28:$E28,1,Control!$B$10))^CU5*INDEX($B$13:$M$13,1,MOD(94-1,12)+1)</f>
        <v/>
      </c>
      <c r="CV28" s="34">
        <f>($B28/12)*(1+INDEX($C28:$E28,1,Control!$B$10))^CV5*INDEX($B$13:$M$13,1,MOD(95-1,12)+1)</f>
        <v/>
      </c>
      <c r="CW28" s="34">
        <f>($B28/12)*(1+INDEX($C28:$E28,1,Control!$B$10))^CW5*INDEX($B$13:$M$13,1,MOD(96-1,12)+1)</f>
        <v/>
      </c>
      <c r="CX28" s="34">
        <f>($B28/12)*(1+INDEX($C28:$E28,1,Control!$B$10))^CX5*INDEX($B$13:$M$13,1,MOD(97-1,12)+1)</f>
        <v/>
      </c>
      <c r="CY28" s="34">
        <f>($B28/12)*(1+INDEX($C28:$E28,1,Control!$B$10))^CY5*INDEX($B$13:$M$13,1,MOD(98-1,12)+1)</f>
        <v/>
      </c>
      <c r="CZ28" s="34">
        <f>($B28/12)*(1+INDEX($C28:$E28,1,Control!$B$10))^CZ5*INDEX($B$13:$M$13,1,MOD(99-1,12)+1)</f>
        <v/>
      </c>
      <c r="DA28" s="34">
        <f>($B28/12)*(1+INDEX($C28:$E28,1,Control!$B$10))^DA5*INDEX($B$13:$M$13,1,MOD(100-1,12)+1)</f>
        <v/>
      </c>
      <c r="DB28" s="34">
        <f>($B28/12)*(1+INDEX($C28:$E28,1,Control!$B$10))^DB5*INDEX($B$13:$M$13,1,MOD(101-1,12)+1)</f>
        <v/>
      </c>
      <c r="DC28" s="34">
        <f>($B28/12)*(1+INDEX($C28:$E28,1,Control!$B$10))^DC5*INDEX($B$13:$M$13,1,MOD(102-1,12)+1)</f>
        <v/>
      </c>
      <c r="DD28" s="34">
        <f>($B28/12)*(1+INDEX($C28:$E28,1,Control!$B$10))^DD5*INDEX($B$13:$M$13,1,MOD(103-1,12)+1)</f>
        <v/>
      </c>
      <c r="DE28" s="34">
        <f>($B28/12)*(1+INDEX($C28:$E28,1,Control!$B$10))^DE5*INDEX($B$13:$M$13,1,MOD(104-1,12)+1)</f>
        <v/>
      </c>
      <c r="DF28" s="34">
        <f>($B28/12)*(1+INDEX($C28:$E28,1,Control!$B$10))^DF5*INDEX($B$13:$M$13,1,MOD(105-1,12)+1)</f>
        <v/>
      </c>
      <c r="DG28" s="34">
        <f>($B28/12)*(1+INDEX($C28:$E28,1,Control!$B$10))^DG5*INDEX($B$13:$M$13,1,MOD(106-1,12)+1)</f>
        <v/>
      </c>
      <c r="DH28" s="34">
        <f>($B28/12)*(1+INDEX($C28:$E28,1,Control!$B$10))^DH5*INDEX($B$13:$M$13,1,MOD(107-1,12)+1)</f>
        <v/>
      </c>
      <c r="DI28" s="34">
        <f>($B28/12)*(1+INDEX($C28:$E28,1,Control!$B$10))^DI5*INDEX($B$13:$M$13,1,MOD(108-1,12)+1)</f>
        <v/>
      </c>
      <c r="DJ28" s="34">
        <f>($B28/12)*(1+INDEX($C28:$E28,1,Control!$B$10))^DJ5*INDEX($B$13:$M$13,1,MOD(109-1,12)+1)</f>
        <v/>
      </c>
      <c r="DK28" s="34">
        <f>($B28/12)*(1+INDEX($C28:$E28,1,Control!$B$10))^DK5*INDEX($B$13:$M$13,1,MOD(110-1,12)+1)</f>
        <v/>
      </c>
      <c r="DL28" s="34">
        <f>($B28/12)*(1+INDEX($C28:$E28,1,Control!$B$10))^DL5*INDEX($B$13:$M$13,1,MOD(111-1,12)+1)</f>
        <v/>
      </c>
      <c r="DM28" s="34">
        <f>($B28/12)*(1+INDEX($C28:$E28,1,Control!$B$10))^DM5*INDEX($B$13:$M$13,1,MOD(112-1,12)+1)</f>
        <v/>
      </c>
      <c r="DN28" s="34">
        <f>($B28/12)*(1+INDEX($C28:$E28,1,Control!$B$10))^DN5*INDEX($B$13:$M$13,1,MOD(113-1,12)+1)</f>
        <v/>
      </c>
      <c r="DO28" s="34">
        <f>($B28/12)*(1+INDEX($C28:$E28,1,Control!$B$10))^DO5*INDEX($B$13:$M$13,1,MOD(114-1,12)+1)</f>
        <v/>
      </c>
      <c r="DP28" s="34">
        <f>($B28/12)*(1+INDEX($C28:$E28,1,Control!$B$10))^DP5*INDEX($B$13:$M$13,1,MOD(115-1,12)+1)</f>
        <v/>
      </c>
      <c r="DQ28" s="34">
        <f>($B28/12)*(1+INDEX($C28:$E28,1,Control!$B$10))^DQ5*INDEX($B$13:$M$13,1,MOD(116-1,12)+1)</f>
        <v/>
      </c>
      <c r="DR28" s="34">
        <f>($B28/12)*(1+INDEX($C28:$E28,1,Control!$B$10))^DR5*INDEX($B$13:$M$13,1,MOD(117-1,12)+1)</f>
        <v/>
      </c>
      <c r="DS28" s="34">
        <f>($B28/12)*(1+INDEX($C28:$E28,1,Control!$B$10))^DS5*INDEX($B$13:$M$13,1,MOD(118-1,12)+1)</f>
        <v/>
      </c>
      <c r="DT28" s="34">
        <f>($B28/12)*(1+INDEX($C28:$E28,1,Control!$B$10))^DT5*INDEX($B$13:$M$13,1,MOD(119-1,12)+1)</f>
        <v/>
      </c>
      <c r="DU28" s="34">
        <f>($B28/12)*(1+INDEX($C28:$E28,1,Control!$B$10))^DU5*INDEX($B$13:$M$13,1,MOD(120-1,12)+1)</f>
        <v/>
      </c>
    </row>
    <row r="29">
      <c r="A29" t="inlineStr">
        <is>
          <t>AllDark-Kegs-OnTrade</t>
        </is>
      </c>
      <c r="B29" s="33" t="n">
        <v>17000</v>
      </c>
      <c r="C29" s="22" t="n">
        <v>0.04</v>
      </c>
      <c r="D29" s="22" t="n">
        <v>0.06</v>
      </c>
      <c r="E29" s="22" t="n">
        <v>0.02</v>
      </c>
      <c r="F29" s="34">
        <f>($B29/12)*(1+INDEX($C29:$E29,1,Control!$B$10))^F5*INDEX($B$13:$M$13,1,MOD(1-1,12)+1)</f>
        <v/>
      </c>
      <c r="G29" s="34">
        <f>($B29/12)*(1+INDEX($C29:$E29,1,Control!$B$10))^G5*INDEX($B$13:$M$13,1,MOD(2-1,12)+1)</f>
        <v/>
      </c>
      <c r="H29" s="34">
        <f>($B29/12)*(1+INDEX($C29:$E29,1,Control!$B$10))^H5*INDEX($B$13:$M$13,1,MOD(3-1,12)+1)</f>
        <v/>
      </c>
      <c r="I29" s="34">
        <f>($B29/12)*(1+INDEX($C29:$E29,1,Control!$B$10))^I5*INDEX($B$13:$M$13,1,MOD(4-1,12)+1)</f>
        <v/>
      </c>
      <c r="J29" s="34">
        <f>($B29/12)*(1+INDEX($C29:$E29,1,Control!$B$10))^J5*INDEX($B$13:$M$13,1,MOD(5-1,12)+1)</f>
        <v/>
      </c>
      <c r="K29" s="34">
        <f>($B29/12)*(1+INDEX($C29:$E29,1,Control!$B$10))^K5*INDEX($B$13:$M$13,1,MOD(6-1,12)+1)</f>
        <v/>
      </c>
      <c r="L29" s="34">
        <f>($B29/12)*(1+INDEX($C29:$E29,1,Control!$B$10))^L5*INDEX($B$13:$M$13,1,MOD(7-1,12)+1)</f>
        <v/>
      </c>
      <c r="M29" s="34">
        <f>($B29/12)*(1+INDEX($C29:$E29,1,Control!$B$10))^M5*INDEX($B$13:$M$13,1,MOD(8-1,12)+1)</f>
        <v/>
      </c>
      <c r="N29" s="34">
        <f>($B29/12)*(1+INDEX($C29:$E29,1,Control!$B$10))^N5*INDEX($B$13:$M$13,1,MOD(9-1,12)+1)</f>
        <v/>
      </c>
      <c r="O29" s="34">
        <f>($B29/12)*(1+INDEX($C29:$E29,1,Control!$B$10))^O5*INDEX($B$13:$M$13,1,MOD(10-1,12)+1)</f>
        <v/>
      </c>
      <c r="P29" s="34">
        <f>($B29/12)*(1+INDEX($C29:$E29,1,Control!$B$10))^P5*INDEX($B$13:$M$13,1,MOD(11-1,12)+1)</f>
        <v/>
      </c>
      <c r="Q29" s="34">
        <f>($B29/12)*(1+INDEX($C29:$E29,1,Control!$B$10))^Q5*INDEX($B$13:$M$13,1,MOD(12-1,12)+1)</f>
        <v/>
      </c>
      <c r="R29" s="34">
        <f>($B29/12)*(1+INDEX($C29:$E29,1,Control!$B$10))^R5*INDEX($B$13:$M$13,1,MOD(13-1,12)+1)</f>
        <v/>
      </c>
      <c r="S29" s="34">
        <f>($B29/12)*(1+INDEX($C29:$E29,1,Control!$B$10))^S5*INDEX($B$13:$M$13,1,MOD(14-1,12)+1)</f>
        <v/>
      </c>
      <c r="T29" s="34">
        <f>($B29/12)*(1+INDEX($C29:$E29,1,Control!$B$10))^T5*INDEX($B$13:$M$13,1,MOD(15-1,12)+1)</f>
        <v/>
      </c>
      <c r="U29" s="34">
        <f>($B29/12)*(1+INDEX($C29:$E29,1,Control!$B$10))^U5*INDEX($B$13:$M$13,1,MOD(16-1,12)+1)</f>
        <v/>
      </c>
      <c r="V29" s="34">
        <f>($B29/12)*(1+INDEX($C29:$E29,1,Control!$B$10))^V5*INDEX($B$13:$M$13,1,MOD(17-1,12)+1)</f>
        <v/>
      </c>
      <c r="W29" s="34">
        <f>($B29/12)*(1+INDEX($C29:$E29,1,Control!$B$10))^W5*INDEX($B$13:$M$13,1,MOD(18-1,12)+1)</f>
        <v/>
      </c>
      <c r="X29" s="34">
        <f>($B29/12)*(1+INDEX($C29:$E29,1,Control!$B$10))^X5*INDEX($B$13:$M$13,1,MOD(19-1,12)+1)</f>
        <v/>
      </c>
      <c r="Y29" s="34">
        <f>($B29/12)*(1+INDEX($C29:$E29,1,Control!$B$10))^Y5*INDEX($B$13:$M$13,1,MOD(20-1,12)+1)</f>
        <v/>
      </c>
      <c r="Z29" s="34">
        <f>($B29/12)*(1+INDEX($C29:$E29,1,Control!$B$10))^Z5*INDEX($B$13:$M$13,1,MOD(21-1,12)+1)</f>
        <v/>
      </c>
      <c r="AA29" s="34">
        <f>($B29/12)*(1+INDEX($C29:$E29,1,Control!$B$10))^AA5*INDEX($B$13:$M$13,1,MOD(22-1,12)+1)</f>
        <v/>
      </c>
      <c r="AB29" s="34">
        <f>($B29/12)*(1+INDEX($C29:$E29,1,Control!$B$10))^AB5*INDEX($B$13:$M$13,1,MOD(23-1,12)+1)</f>
        <v/>
      </c>
      <c r="AC29" s="34">
        <f>($B29/12)*(1+INDEX($C29:$E29,1,Control!$B$10))^AC5*INDEX($B$13:$M$13,1,MOD(24-1,12)+1)</f>
        <v/>
      </c>
      <c r="AD29" s="34">
        <f>($B29/12)*(1+INDEX($C29:$E29,1,Control!$B$10))^AD5*INDEX($B$13:$M$13,1,MOD(25-1,12)+1)</f>
        <v/>
      </c>
      <c r="AE29" s="34">
        <f>($B29/12)*(1+INDEX($C29:$E29,1,Control!$B$10))^AE5*INDEX($B$13:$M$13,1,MOD(26-1,12)+1)</f>
        <v/>
      </c>
      <c r="AF29" s="34">
        <f>($B29/12)*(1+INDEX($C29:$E29,1,Control!$B$10))^AF5*INDEX($B$13:$M$13,1,MOD(27-1,12)+1)</f>
        <v/>
      </c>
      <c r="AG29" s="34">
        <f>($B29/12)*(1+INDEX($C29:$E29,1,Control!$B$10))^AG5*INDEX($B$13:$M$13,1,MOD(28-1,12)+1)</f>
        <v/>
      </c>
      <c r="AH29" s="34">
        <f>($B29/12)*(1+INDEX($C29:$E29,1,Control!$B$10))^AH5*INDEX($B$13:$M$13,1,MOD(29-1,12)+1)</f>
        <v/>
      </c>
      <c r="AI29" s="34">
        <f>($B29/12)*(1+INDEX($C29:$E29,1,Control!$B$10))^AI5*INDEX($B$13:$M$13,1,MOD(30-1,12)+1)</f>
        <v/>
      </c>
      <c r="AJ29" s="34">
        <f>($B29/12)*(1+INDEX($C29:$E29,1,Control!$B$10))^AJ5*INDEX($B$13:$M$13,1,MOD(31-1,12)+1)</f>
        <v/>
      </c>
      <c r="AK29" s="34">
        <f>($B29/12)*(1+INDEX($C29:$E29,1,Control!$B$10))^AK5*INDEX($B$13:$M$13,1,MOD(32-1,12)+1)</f>
        <v/>
      </c>
      <c r="AL29" s="34">
        <f>($B29/12)*(1+INDEX($C29:$E29,1,Control!$B$10))^AL5*INDEX($B$13:$M$13,1,MOD(33-1,12)+1)</f>
        <v/>
      </c>
      <c r="AM29" s="34">
        <f>($B29/12)*(1+INDEX($C29:$E29,1,Control!$B$10))^AM5*INDEX($B$13:$M$13,1,MOD(34-1,12)+1)</f>
        <v/>
      </c>
      <c r="AN29" s="34">
        <f>($B29/12)*(1+INDEX($C29:$E29,1,Control!$B$10))^AN5*INDEX($B$13:$M$13,1,MOD(35-1,12)+1)</f>
        <v/>
      </c>
      <c r="AO29" s="34">
        <f>($B29/12)*(1+INDEX($C29:$E29,1,Control!$B$10))^AO5*INDEX($B$13:$M$13,1,MOD(36-1,12)+1)</f>
        <v/>
      </c>
      <c r="AP29" s="34">
        <f>($B29/12)*(1+INDEX($C29:$E29,1,Control!$B$10))^AP5*INDEX($B$13:$M$13,1,MOD(37-1,12)+1)</f>
        <v/>
      </c>
      <c r="AQ29" s="34">
        <f>($B29/12)*(1+INDEX($C29:$E29,1,Control!$B$10))^AQ5*INDEX($B$13:$M$13,1,MOD(38-1,12)+1)</f>
        <v/>
      </c>
      <c r="AR29" s="34">
        <f>($B29/12)*(1+INDEX($C29:$E29,1,Control!$B$10))^AR5*INDEX($B$13:$M$13,1,MOD(39-1,12)+1)</f>
        <v/>
      </c>
      <c r="AS29" s="34">
        <f>($B29/12)*(1+INDEX($C29:$E29,1,Control!$B$10))^AS5*INDEX($B$13:$M$13,1,MOD(40-1,12)+1)</f>
        <v/>
      </c>
      <c r="AT29" s="34">
        <f>($B29/12)*(1+INDEX($C29:$E29,1,Control!$B$10))^AT5*INDEX($B$13:$M$13,1,MOD(41-1,12)+1)</f>
        <v/>
      </c>
      <c r="AU29" s="34">
        <f>($B29/12)*(1+INDEX($C29:$E29,1,Control!$B$10))^AU5*INDEX($B$13:$M$13,1,MOD(42-1,12)+1)</f>
        <v/>
      </c>
      <c r="AV29" s="34">
        <f>($B29/12)*(1+INDEX($C29:$E29,1,Control!$B$10))^AV5*INDEX($B$13:$M$13,1,MOD(43-1,12)+1)</f>
        <v/>
      </c>
      <c r="AW29" s="34">
        <f>($B29/12)*(1+INDEX($C29:$E29,1,Control!$B$10))^AW5*INDEX($B$13:$M$13,1,MOD(44-1,12)+1)</f>
        <v/>
      </c>
      <c r="AX29" s="34">
        <f>($B29/12)*(1+INDEX($C29:$E29,1,Control!$B$10))^AX5*INDEX($B$13:$M$13,1,MOD(45-1,12)+1)</f>
        <v/>
      </c>
      <c r="AY29" s="34">
        <f>($B29/12)*(1+INDEX($C29:$E29,1,Control!$B$10))^AY5*INDEX($B$13:$M$13,1,MOD(46-1,12)+1)</f>
        <v/>
      </c>
      <c r="AZ29" s="34">
        <f>($B29/12)*(1+INDEX($C29:$E29,1,Control!$B$10))^AZ5*INDEX($B$13:$M$13,1,MOD(47-1,12)+1)</f>
        <v/>
      </c>
      <c r="BA29" s="34">
        <f>($B29/12)*(1+INDEX($C29:$E29,1,Control!$B$10))^BA5*INDEX($B$13:$M$13,1,MOD(48-1,12)+1)</f>
        <v/>
      </c>
      <c r="BB29" s="34">
        <f>($B29/12)*(1+INDEX($C29:$E29,1,Control!$B$10))^BB5*INDEX($B$13:$M$13,1,MOD(49-1,12)+1)</f>
        <v/>
      </c>
      <c r="BC29" s="34">
        <f>($B29/12)*(1+INDEX($C29:$E29,1,Control!$B$10))^BC5*INDEX($B$13:$M$13,1,MOD(50-1,12)+1)</f>
        <v/>
      </c>
      <c r="BD29" s="34">
        <f>($B29/12)*(1+INDEX($C29:$E29,1,Control!$B$10))^BD5*INDEX($B$13:$M$13,1,MOD(51-1,12)+1)</f>
        <v/>
      </c>
      <c r="BE29" s="34">
        <f>($B29/12)*(1+INDEX($C29:$E29,1,Control!$B$10))^BE5*INDEX($B$13:$M$13,1,MOD(52-1,12)+1)</f>
        <v/>
      </c>
      <c r="BF29" s="34">
        <f>($B29/12)*(1+INDEX($C29:$E29,1,Control!$B$10))^BF5*INDEX($B$13:$M$13,1,MOD(53-1,12)+1)</f>
        <v/>
      </c>
      <c r="BG29" s="34">
        <f>($B29/12)*(1+INDEX($C29:$E29,1,Control!$B$10))^BG5*INDEX($B$13:$M$13,1,MOD(54-1,12)+1)</f>
        <v/>
      </c>
      <c r="BH29" s="34">
        <f>($B29/12)*(1+INDEX($C29:$E29,1,Control!$B$10))^BH5*INDEX($B$13:$M$13,1,MOD(55-1,12)+1)</f>
        <v/>
      </c>
      <c r="BI29" s="34">
        <f>($B29/12)*(1+INDEX($C29:$E29,1,Control!$B$10))^BI5*INDEX($B$13:$M$13,1,MOD(56-1,12)+1)</f>
        <v/>
      </c>
      <c r="BJ29" s="34">
        <f>($B29/12)*(1+INDEX($C29:$E29,1,Control!$B$10))^BJ5*INDEX($B$13:$M$13,1,MOD(57-1,12)+1)</f>
        <v/>
      </c>
      <c r="BK29" s="34">
        <f>($B29/12)*(1+INDEX($C29:$E29,1,Control!$B$10))^BK5*INDEX($B$13:$M$13,1,MOD(58-1,12)+1)</f>
        <v/>
      </c>
      <c r="BL29" s="34">
        <f>($B29/12)*(1+INDEX($C29:$E29,1,Control!$B$10))^BL5*INDEX($B$13:$M$13,1,MOD(59-1,12)+1)</f>
        <v/>
      </c>
      <c r="BM29" s="34">
        <f>($B29/12)*(1+INDEX($C29:$E29,1,Control!$B$10))^BM5*INDEX($B$13:$M$13,1,MOD(60-1,12)+1)</f>
        <v/>
      </c>
      <c r="BN29" s="34">
        <f>($B29/12)*(1+INDEX($C29:$E29,1,Control!$B$10))^BN5*INDEX($B$13:$M$13,1,MOD(61-1,12)+1)</f>
        <v/>
      </c>
      <c r="BO29" s="34">
        <f>($B29/12)*(1+INDEX($C29:$E29,1,Control!$B$10))^BO5*INDEX($B$13:$M$13,1,MOD(62-1,12)+1)</f>
        <v/>
      </c>
      <c r="BP29" s="34">
        <f>($B29/12)*(1+INDEX($C29:$E29,1,Control!$B$10))^BP5*INDEX($B$13:$M$13,1,MOD(63-1,12)+1)</f>
        <v/>
      </c>
      <c r="BQ29" s="34">
        <f>($B29/12)*(1+INDEX($C29:$E29,1,Control!$B$10))^BQ5*INDEX($B$13:$M$13,1,MOD(64-1,12)+1)</f>
        <v/>
      </c>
      <c r="BR29" s="34">
        <f>($B29/12)*(1+INDEX($C29:$E29,1,Control!$B$10))^BR5*INDEX($B$13:$M$13,1,MOD(65-1,12)+1)</f>
        <v/>
      </c>
      <c r="BS29" s="34">
        <f>($B29/12)*(1+INDEX($C29:$E29,1,Control!$B$10))^BS5*INDEX($B$13:$M$13,1,MOD(66-1,12)+1)</f>
        <v/>
      </c>
      <c r="BT29" s="34">
        <f>($B29/12)*(1+INDEX($C29:$E29,1,Control!$B$10))^BT5*INDEX($B$13:$M$13,1,MOD(67-1,12)+1)</f>
        <v/>
      </c>
      <c r="BU29" s="34">
        <f>($B29/12)*(1+INDEX($C29:$E29,1,Control!$B$10))^BU5*INDEX($B$13:$M$13,1,MOD(68-1,12)+1)</f>
        <v/>
      </c>
      <c r="BV29" s="34">
        <f>($B29/12)*(1+INDEX($C29:$E29,1,Control!$B$10))^BV5*INDEX($B$13:$M$13,1,MOD(69-1,12)+1)</f>
        <v/>
      </c>
      <c r="BW29" s="34">
        <f>($B29/12)*(1+INDEX($C29:$E29,1,Control!$B$10))^BW5*INDEX($B$13:$M$13,1,MOD(70-1,12)+1)</f>
        <v/>
      </c>
      <c r="BX29" s="34">
        <f>($B29/12)*(1+INDEX($C29:$E29,1,Control!$B$10))^BX5*INDEX($B$13:$M$13,1,MOD(71-1,12)+1)</f>
        <v/>
      </c>
      <c r="BY29" s="34">
        <f>($B29/12)*(1+INDEX($C29:$E29,1,Control!$B$10))^BY5*INDEX($B$13:$M$13,1,MOD(72-1,12)+1)</f>
        <v/>
      </c>
      <c r="BZ29" s="34">
        <f>($B29/12)*(1+INDEX($C29:$E29,1,Control!$B$10))^BZ5*INDEX($B$13:$M$13,1,MOD(73-1,12)+1)</f>
        <v/>
      </c>
      <c r="CA29" s="34">
        <f>($B29/12)*(1+INDEX($C29:$E29,1,Control!$B$10))^CA5*INDEX($B$13:$M$13,1,MOD(74-1,12)+1)</f>
        <v/>
      </c>
      <c r="CB29" s="34">
        <f>($B29/12)*(1+INDEX($C29:$E29,1,Control!$B$10))^CB5*INDEX($B$13:$M$13,1,MOD(75-1,12)+1)</f>
        <v/>
      </c>
      <c r="CC29" s="34">
        <f>($B29/12)*(1+INDEX($C29:$E29,1,Control!$B$10))^CC5*INDEX($B$13:$M$13,1,MOD(76-1,12)+1)</f>
        <v/>
      </c>
      <c r="CD29" s="34">
        <f>($B29/12)*(1+INDEX($C29:$E29,1,Control!$B$10))^CD5*INDEX($B$13:$M$13,1,MOD(77-1,12)+1)</f>
        <v/>
      </c>
      <c r="CE29" s="34">
        <f>($B29/12)*(1+INDEX($C29:$E29,1,Control!$B$10))^CE5*INDEX($B$13:$M$13,1,MOD(78-1,12)+1)</f>
        <v/>
      </c>
      <c r="CF29" s="34">
        <f>($B29/12)*(1+INDEX($C29:$E29,1,Control!$B$10))^CF5*INDEX($B$13:$M$13,1,MOD(79-1,12)+1)</f>
        <v/>
      </c>
      <c r="CG29" s="34">
        <f>($B29/12)*(1+INDEX($C29:$E29,1,Control!$B$10))^CG5*INDEX($B$13:$M$13,1,MOD(80-1,12)+1)</f>
        <v/>
      </c>
      <c r="CH29" s="34">
        <f>($B29/12)*(1+INDEX($C29:$E29,1,Control!$B$10))^CH5*INDEX($B$13:$M$13,1,MOD(81-1,12)+1)</f>
        <v/>
      </c>
      <c r="CI29" s="34">
        <f>($B29/12)*(1+INDEX($C29:$E29,1,Control!$B$10))^CI5*INDEX($B$13:$M$13,1,MOD(82-1,12)+1)</f>
        <v/>
      </c>
      <c r="CJ29" s="34">
        <f>($B29/12)*(1+INDEX($C29:$E29,1,Control!$B$10))^CJ5*INDEX($B$13:$M$13,1,MOD(83-1,12)+1)</f>
        <v/>
      </c>
      <c r="CK29" s="34">
        <f>($B29/12)*(1+INDEX($C29:$E29,1,Control!$B$10))^CK5*INDEX($B$13:$M$13,1,MOD(84-1,12)+1)</f>
        <v/>
      </c>
      <c r="CL29" s="34">
        <f>($B29/12)*(1+INDEX($C29:$E29,1,Control!$B$10))^CL5*INDEX($B$13:$M$13,1,MOD(85-1,12)+1)</f>
        <v/>
      </c>
      <c r="CM29" s="34">
        <f>($B29/12)*(1+INDEX($C29:$E29,1,Control!$B$10))^CM5*INDEX($B$13:$M$13,1,MOD(86-1,12)+1)</f>
        <v/>
      </c>
      <c r="CN29" s="34">
        <f>($B29/12)*(1+INDEX($C29:$E29,1,Control!$B$10))^CN5*INDEX($B$13:$M$13,1,MOD(87-1,12)+1)</f>
        <v/>
      </c>
      <c r="CO29" s="34">
        <f>($B29/12)*(1+INDEX($C29:$E29,1,Control!$B$10))^CO5*INDEX($B$13:$M$13,1,MOD(88-1,12)+1)</f>
        <v/>
      </c>
      <c r="CP29" s="34">
        <f>($B29/12)*(1+INDEX($C29:$E29,1,Control!$B$10))^CP5*INDEX($B$13:$M$13,1,MOD(89-1,12)+1)</f>
        <v/>
      </c>
      <c r="CQ29" s="34">
        <f>($B29/12)*(1+INDEX($C29:$E29,1,Control!$B$10))^CQ5*INDEX($B$13:$M$13,1,MOD(90-1,12)+1)</f>
        <v/>
      </c>
      <c r="CR29" s="34">
        <f>($B29/12)*(1+INDEX($C29:$E29,1,Control!$B$10))^CR5*INDEX($B$13:$M$13,1,MOD(91-1,12)+1)</f>
        <v/>
      </c>
      <c r="CS29" s="34">
        <f>($B29/12)*(1+INDEX($C29:$E29,1,Control!$B$10))^CS5*INDEX($B$13:$M$13,1,MOD(92-1,12)+1)</f>
        <v/>
      </c>
      <c r="CT29" s="34">
        <f>($B29/12)*(1+INDEX($C29:$E29,1,Control!$B$10))^CT5*INDEX($B$13:$M$13,1,MOD(93-1,12)+1)</f>
        <v/>
      </c>
      <c r="CU29" s="34">
        <f>($B29/12)*(1+INDEX($C29:$E29,1,Control!$B$10))^CU5*INDEX($B$13:$M$13,1,MOD(94-1,12)+1)</f>
        <v/>
      </c>
      <c r="CV29" s="34">
        <f>($B29/12)*(1+INDEX($C29:$E29,1,Control!$B$10))^CV5*INDEX($B$13:$M$13,1,MOD(95-1,12)+1)</f>
        <v/>
      </c>
      <c r="CW29" s="34">
        <f>($B29/12)*(1+INDEX($C29:$E29,1,Control!$B$10))^CW5*INDEX($B$13:$M$13,1,MOD(96-1,12)+1)</f>
        <v/>
      </c>
      <c r="CX29" s="34">
        <f>($B29/12)*(1+INDEX($C29:$E29,1,Control!$B$10))^CX5*INDEX($B$13:$M$13,1,MOD(97-1,12)+1)</f>
        <v/>
      </c>
      <c r="CY29" s="34">
        <f>($B29/12)*(1+INDEX($C29:$E29,1,Control!$B$10))^CY5*INDEX($B$13:$M$13,1,MOD(98-1,12)+1)</f>
        <v/>
      </c>
      <c r="CZ29" s="34">
        <f>($B29/12)*(1+INDEX($C29:$E29,1,Control!$B$10))^CZ5*INDEX($B$13:$M$13,1,MOD(99-1,12)+1)</f>
        <v/>
      </c>
      <c r="DA29" s="34">
        <f>($B29/12)*(1+INDEX($C29:$E29,1,Control!$B$10))^DA5*INDEX($B$13:$M$13,1,MOD(100-1,12)+1)</f>
        <v/>
      </c>
      <c r="DB29" s="34">
        <f>($B29/12)*(1+INDEX($C29:$E29,1,Control!$B$10))^DB5*INDEX($B$13:$M$13,1,MOD(101-1,12)+1)</f>
        <v/>
      </c>
      <c r="DC29" s="34">
        <f>($B29/12)*(1+INDEX($C29:$E29,1,Control!$B$10))^DC5*INDEX($B$13:$M$13,1,MOD(102-1,12)+1)</f>
        <v/>
      </c>
      <c r="DD29" s="34">
        <f>($B29/12)*(1+INDEX($C29:$E29,1,Control!$B$10))^DD5*INDEX($B$13:$M$13,1,MOD(103-1,12)+1)</f>
        <v/>
      </c>
      <c r="DE29" s="34">
        <f>($B29/12)*(1+INDEX($C29:$E29,1,Control!$B$10))^DE5*INDEX($B$13:$M$13,1,MOD(104-1,12)+1)</f>
        <v/>
      </c>
      <c r="DF29" s="34">
        <f>($B29/12)*(1+INDEX($C29:$E29,1,Control!$B$10))^DF5*INDEX($B$13:$M$13,1,MOD(105-1,12)+1)</f>
        <v/>
      </c>
      <c r="DG29" s="34">
        <f>($B29/12)*(1+INDEX($C29:$E29,1,Control!$B$10))^DG5*INDEX($B$13:$M$13,1,MOD(106-1,12)+1)</f>
        <v/>
      </c>
      <c r="DH29" s="34">
        <f>($B29/12)*(1+INDEX($C29:$E29,1,Control!$B$10))^DH5*INDEX($B$13:$M$13,1,MOD(107-1,12)+1)</f>
        <v/>
      </c>
      <c r="DI29" s="34">
        <f>($B29/12)*(1+INDEX($C29:$E29,1,Control!$B$10))^DI5*INDEX($B$13:$M$13,1,MOD(108-1,12)+1)</f>
        <v/>
      </c>
      <c r="DJ29" s="34">
        <f>($B29/12)*(1+INDEX($C29:$E29,1,Control!$B$10))^DJ5*INDEX($B$13:$M$13,1,MOD(109-1,12)+1)</f>
        <v/>
      </c>
      <c r="DK29" s="34">
        <f>($B29/12)*(1+INDEX($C29:$E29,1,Control!$B$10))^DK5*INDEX($B$13:$M$13,1,MOD(110-1,12)+1)</f>
        <v/>
      </c>
      <c r="DL29" s="34">
        <f>($B29/12)*(1+INDEX($C29:$E29,1,Control!$B$10))^DL5*INDEX($B$13:$M$13,1,MOD(111-1,12)+1)</f>
        <v/>
      </c>
      <c r="DM29" s="34">
        <f>($B29/12)*(1+INDEX($C29:$E29,1,Control!$B$10))^DM5*INDEX($B$13:$M$13,1,MOD(112-1,12)+1)</f>
        <v/>
      </c>
      <c r="DN29" s="34">
        <f>($B29/12)*(1+INDEX($C29:$E29,1,Control!$B$10))^DN5*INDEX($B$13:$M$13,1,MOD(113-1,12)+1)</f>
        <v/>
      </c>
      <c r="DO29" s="34">
        <f>($B29/12)*(1+INDEX($C29:$E29,1,Control!$B$10))^DO5*INDEX($B$13:$M$13,1,MOD(114-1,12)+1)</f>
        <v/>
      </c>
      <c r="DP29" s="34">
        <f>($B29/12)*(1+INDEX($C29:$E29,1,Control!$B$10))^DP5*INDEX($B$13:$M$13,1,MOD(115-1,12)+1)</f>
        <v/>
      </c>
      <c r="DQ29" s="34">
        <f>($B29/12)*(1+INDEX($C29:$E29,1,Control!$B$10))^DQ5*INDEX($B$13:$M$13,1,MOD(116-1,12)+1)</f>
        <v/>
      </c>
      <c r="DR29" s="34">
        <f>($B29/12)*(1+INDEX($C29:$E29,1,Control!$B$10))^DR5*INDEX($B$13:$M$13,1,MOD(117-1,12)+1)</f>
        <v/>
      </c>
      <c r="DS29" s="34">
        <f>($B29/12)*(1+INDEX($C29:$E29,1,Control!$B$10))^DS5*INDEX($B$13:$M$13,1,MOD(118-1,12)+1)</f>
        <v/>
      </c>
      <c r="DT29" s="34">
        <f>($B29/12)*(1+INDEX($C29:$E29,1,Control!$B$10))^DT5*INDEX($B$13:$M$13,1,MOD(119-1,12)+1)</f>
        <v/>
      </c>
      <c r="DU29" s="34">
        <f>($B29/12)*(1+INDEX($C29:$E29,1,Control!$B$10))^DU5*INDEX($B$13:$M$13,1,MOD(120-1,12)+1)</f>
        <v/>
      </c>
    </row>
    <row r="30">
      <c r="A30" t="inlineStr">
        <is>
          <t>AllDark-Kegs-OffTrade</t>
        </is>
      </c>
      <c r="B30" s="33" t="n">
        <v>0</v>
      </c>
      <c r="C30" s="22" t="n">
        <v>0.04</v>
      </c>
      <c r="D30" s="22" t="n">
        <v>0.06</v>
      </c>
      <c r="E30" s="22" t="n">
        <v>0.02</v>
      </c>
      <c r="F30" s="34">
        <f>($B30/12)*(1+INDEX($C30:$E30,1,Control!$B$10))^F5*INDEX($B$13:$M$13,1,MOD(1-1,12)+1)</f>
        <v/>
      </c>
      <c r="G30" s="34">
        <f>($B30/12)*(1+INDEX($C30:$E30,1,Control!$B$10))^G5*INDEX($B$13:$M$13,1,MOD(2-1,12)+1)</f>
        <v/>
      </c>
      <c r="H30" s="34">
        <f>($B30/12)*(1+INDEX($C30:$E30,1,Control!$B$10))^H5*INDEX($B$13:$M$13,1,MOD(3-1,12)+1)</f>
        <v/>
      </c>
      <c r="I30" s="34">
        <f>($B30/12)*(1+INDEX($C30:$E30,1,Control!$B$10))^I5*INDEX($B$13:$M$13,1,MOD(4-1,12)+1)</f>
        <v/>
      </c>
      <c r="J30" s="34">
        <f>($B30/12)*(1+INDEX($C30:$E30,1,Control!$B$10))^J5*INDEX($B$13:$M$13,1,MOD(5-1,12)+1)</f>
        <v/>
      </c>
      <c r="K30" s="34">
        <f>($B30/12)*(1+INDEX($C30:$E30,1,Control!$B$10))^K5*INDEX($B$13:$M$13,1,MOD(6-1,12)+1)</f>
        <v/>
      </c>
      <c r="L30" s="34">
        <f>($B30/12)*(1+INDEX($C30:$E30,1,Control!$B$10))^L5*INDEX($B$13:$M$13,1,MOD(7-1,12)+1)</f>
        <v/>
      </c>
      <c r="M30" s="34">
        <f>($B30/12)*(1+INDEX($C30:$E30,1,Control!$B$10))^M5*INDEX($B$13:$M$13,1,MOD(8-1,12)+1)</f>
        <v/>
      </c>
      <c r="N30" s="34">
        <f>($B30/12)*(1+INDEX($C30:$E30,1,Control!$B$10))^N5*INDEX($B$13:$M$13,1,MOD(9-1,12)+1)</f>
        <v/>
      </c>
      <c r="O30" s="34">
        <f>($B30/12)*(1+INDEX($C30:$E30,1,Control!$B$10))^O5*INDEX($B$13:$M$13,1,MOD(10-1,12)+1)</f>
        <v/>
      </c>
      <c r="P30" s="34">
        <f>($B30/12)*(1+INDEX($C30:$E30,1,Control!$B$10))^P5*INDEX($B$13:$M$13,1,MOD(11-1,12)+1)</f>
        <v/>
      </c>
      <c r="Q30" s="34">
        <f>($B30/12)*(1+INDEX($C30:$E30,1,Control!$B$10))^Q5*INDEX($B$13:$M$13,1,MOD(12-1,12)+1)</f>
        <v/>
      </c>
      <c r="R30" s="34">
        <f>($B30/12)*(1+INDEX($C30:$E30,1,Control!$B$10))^R5*INDEX($B$13:$M$13,1,MOD(13-1,12)+1)</f>
        <v/>
      </c>
      <c r="S30" s="34">
        <f>($B30/12)*(1+INDEX($C30:$E30,1,Control!$B$10))^S5*INDEX($B$13:$M$13,1,MOD(14-1,12)+1)</f>
        <v/>
      </c>
      <c r="T30" s="34">
        <f>($B30/12)*(1+INDEX($C30:$E30,1,Control!$B$10))^T5*INDEX($B$13:$M$13,1,MOD(15-1,12)+1)</f>
        <v/>
      </c>
      <c r="U30" s="34">
        <f>($B30/12)*(1+INDEX($C30:$E30,1,Control!$B$10))^U5*INDEX($B$13:$M$13,1,MOD(16-1,12)+1)</f>
        <v/>
      </c>
      <c r="V30" s="34">
        <f>($B30/12)*(1+INDEX($C30:$E30,1,Control!$B$10))^V5*INDEX($B$13:$M$13,1,MOD(17-1,12)+1)</f>
        <v/>
      </c>
      <c r="W30" s="34">
        <f>($B30/12)*(1+INDEX($C30:$E30,1,Control!$B$10))^W5*INDEX($B$13:$M$13,1,MOD(18-1,12)+1)</f>
        <v/>
      </c>
      <c r="X30" s="34">
        <f>($B30/12)*(1+INDEX($C30:$E30,1,Control!$B$10))^X5*INDEX($B$13:$M$13,1,MOD(19-1,12)+1)</f>
        <v/>
      </c>
      <c r="Y30" s="34">
        <f>($B30/12)*(1+INDEX($C30:$E30,1,Control!$B$10))^Y5*INDEX($B$13:$M$13,1,MOD(20-1,12)+1)</f>
        <v/>
      </c>
      <c r="Z30" s="34">
        <f>($B30/12)*(1+INDEX($C30:$E30,1,Control!$B$10))^Z5*INDEX($B$13:$M$13,1,MOD(21-1,12)+1)</f>
        <v/>
      </c>
      <c r="AA30" s="34">
        <f>($B30/12)*(1+INDEX($C30:$E30,1,Control!$B$10))^AA5*INDEX($B$13:$M$13,1,MOD(22-1,12)+1)</f>
        <v/>
      </c>
      <c r="AB30" s="34">
        <f>($B30/12)*(1+INDEX($C30:$E30,1,Control!$B$10))^AB5*INDEX($B$13:$M$13,1,MOD(23-1,12)+1)</f>
        <v/>
      </c>
      <c r="AC30" s="34">
        <f>($B30/12)*(1+INDEX($C30:$E30,1,Control!$B$10))^AC5*INDEX($B$13:$M$13,1,MOD(24-1,12)+1)</f>
        <v/>
      </c>
      <c r="AD30" s="34">
        <f>($B30/12)*(1+INDEX($C30:$E30,1,Control!$B$10))^AD5*INDEX($B$13:$M$13,1,MOD(25-1,12)+1)</f>
        <v/>
      </c>
      <c r="AE30" s="34">
        <f>($B30/12)*(1+INDEX($C30:$E30,1,Control!$B$10))^AE5*INDEX($B$13:$M$13,1,MOD(26-1,12)+1)</f>
        <v/>
      </c>
      <c r="AF30" s="34">
        <f>($B30/12)*(1+INDEX($C30:$E30,1,Control!$B$10))^AF5*INDEX($B$13:$M$13,1,MOD(27-1,12)+1)</f>
        <v/>
      </c>
      <c r="AG30" s="34">
        <f>($B30/12)*(1+INDEX($C30:$E30,1,Control!$B$10))^AG5*INDEX($B$13:$M$13,1,MOD(28-1,12)+1)</f>
        <v/>
      </c>
      <c r="AH30" s="34">
        <f>($B30/12)*(1+INDEX($C30:$E30,1,Control!$B$10))^AH5*INDEX($B$13:$M$13,1,MOD(29-1,12)+1)</f>
        <v/>
      </c>
      <c r="AI30" s="34">
        <f>($B30/12)*(1+INDEX($C30:$E30,1,Control!$B$10))^AI5*INDEX($B$13:$M$13,1,MOD(30-1,12)+1)</f>
        <v/>
      </c>
      <c r="AJ30" s="34">
        <f>($B30/12)*(1+INDEX($C30:$E30,1,Control!$B$10))^AJ5*INDEX($B$13:$M$13,1,MOD(31-1,12)+1)</f>
        <v/>
      </c>
      <c r="AK30" s="34">
        <f>($B30/12)*(1+INDEX($C30:$E30,1,Control!$B$10))^AK5*INDEX($B$13:$M$13,1,MOD(32-1,12)+1)</f>
        <v/>
      </c>
      <c r="AL30" s="34">
        <f>($B30/12)*(1+INDEX($C30:$E30,1,Control!$B$10))^AL5*INDEX($B$13:$M$13,1,MOD(33-1,12)+1)</f>
        <v/>
      </c>
      <c r="AM30" s="34">
        <f>($B30/12)*(1+INDEX($C30:$E30,1,Control!$B$10))^AM5*INDEX($B$13:$M$13,1,MOD(34-1,12)+1)</f>
        <v/>
      </c>
      <c r="AN30" s="34">
        <f>($B30/12)*(1+INDEX($C30:$E30,1,Control!$B$10))^AN5*INDEX($B$13:$M$13,1,MOD(35-1,12)+1)</f>
        <v/>
      </c>
      <c r="AO30" s="34">
        <f>($B30/12)*(1+INDEX($C30:$E30,1,Control!$B$10))^AO5*INDEX($B$13:$M$13,1,MOD(36-1,12)+1)</f>
        <v/>
      </c>
      <c r="AP30" s="34">
        <f>($B30/12)*(1+INDEX($C30:$E30,1,Control!$B$10))^AP5*INDEX($B$13:$M$13,1,MOD(37-1,12)+1)</f>
        <v/>
      </c>
      <c r="AQ30" s="34">
        <f>($B30/12)*(1+INDEX($C30:$E30,1,Control!$B$10))^AQ5*INDEX($B$13:$M$13,1,MOD(38-1,12)+1)</f>
        <v/>
      </c>
      <c r="AR30" s="34">
        <f>($B30/12)*(1+INDEX($C30:$E30,1,Control!$B$10))^AR5*INDEX($B$13:$M$13,1,MOD(39-1,12)+1)</f>
        <v/>
      </c>
      <c r="AS30" s="34">
        <f>($B30/12)*(1+INDEX($C30:$E30,1,Control!$B$10))^AS5*INDEX($B$13:$M$13,1,MOD(40-1,12)+1)</f>
        <v/>
      </c>
      <c r="AT30" s="34">
        <f>($B30/12)*(1+INDEX($C30:$E30,1,Control!$B$10))^AT5*INDEX($B$13:$M$13,1,MOD(41-1,12)+1)</f>
        <v/>
      </c>
      <c r="AU30" s="34">
        <f>($B30/12)*(1+INDEX($C30:$E30,1,Control!$B$10))^AU5*INDEX($B$13:$M$13,1,MOD(42-1,12)+1)</f>
        <v/>
      </c>
      <c r="AV30" s="34">
        <f>($B30/12)*(1+INDEX($C30:$E30,1,Control!$B$10))^AV5*INDEX($B$13:$M$13,1,MOD(43-1,12)+1)</f>
        <v/>
      </c>
      <c r="AW30" s="34">
        <f>($B30/12)*(1+INDEX($C30:$E30,1,Control!$B$10))^AW5*INDEX($B$13:$M$13,1,MOD(44-1,12)+1)</f>
        <v/>
      </c>
      <c r="AX30" s="34">
        <f>($B30/12)*(1+INDEX($C30:$E30,1,Control!$B$10))^AX5*INDEX($B$13:$M$13,1,MOD(45-1,12)+1)</f>
        <v/>
      </c>
      <c r="AY30" s="34">
        <f>($B30/12)*(1+INDEX($C30:$E30,1,Control!$B$10))^AY5*INDEX($B$13:$M$13,1,MOD(46-1,12)+1)</f>
        <v/>
      </c>
      <c r="AZ30" s="34">
        <f>($B30/12)*(1+INDEX($C30:$E30,1,Control!$B$10))^AZ5*INDEX($B$13:$M$13,1,MOD(47-1,12)+1)</f>
        <v/>
      </c>
      <c r="BA30" s="34">
        <f>($B30/12)*(1+INDEX($C30:$E30,1,Control!$B$10))^BA5*INDEX($B$13:$M$13,1,MOD(48-1,12)+1)</f>
        <v/>
      </c>
      <c r="BB30" s="34">
        <f>($B30/12)*(1+INDEX($C30:$E30,1,Control!$B$10))^BB5*INDEX($B$13:$M$13,1,MOD(49-1,12)+1)</f>
        <v/>
      </c>
      <c r="BC30" s="34">
        <f>($B30/12)*(1+INDEX($C30:$E30,1,Control!$B$10))^BC5*INDEX($B$13:$M$13,1,MOD(50-1,12)+1)</f>
        <v/>
      </c>
      <c r="BD30" s="34">
        <f>($B30/12)*(1+INDEX($C30:$E30,1,Control!$B$10))^BD5*INDEX($B$13:$M$13,1,MOD(51-1,12)+1)</f>
        <v/>
      </c>
      <c r="BE30" s="34">
        <f>($B30/12)*(1+INDEX($C30:$E30,1,Control!$B$10))^BE5*INDEX($B$13:$M$13,1,MOD(52-1,12)+1)</f>
        <v/>
      </c>
      <c r="BF30" s="34">
        <f>($B30/12)*(1+INDEX($C30:$E30,1,Control!$B$10))^BF5*INDEX($B$13:$M$13,1,MOD(53-1,12)+1)</f>
        <v/>
      </c>
      <c r="BG30" s="34">
        <f>($B30/12)*(1+INDEX($C30:$E30,1,Control!$B$10))^BG5*INDEX($B$13:$M$13,1,MOD(54-1,12)+1)</f>
        <v/>
      </c>
      <c r="BH30" s="34">
        <f>($B30/12)*(1+INDEX($C30:$E30,1,Control!$B$10))^BH5*INDEX($B$13:$M$13,1,MOD(55-1,12)+1)</f>
        <v/>
      </c>
      <c r="BI30" s="34">
        <f>($B30/12)*(1+INDEX($C30:$E30,1,Control!$B$10))^BI5*INDEX($B$13:$M$13,1,MOD(56-1,12)+1)</f>
        <v/>
      </c>
      <c r="BJ30" s="34">
        <f>($B30/12)*(1+INDEX($C30:$E30,1,Control!$B$10))^BJ5*INDEX($B$13:$M$13,1,MOD(57-1,12)+1)</f>
        <v/>
      </c>
      <c r="BK30" s="34">
        <f>($B30/12)*(1+INDEX($C30:$E30,1,Control!$B$10))^BK5*INDEX($B$13:$M$13,1,MOD(58-1,12)+1)</f>
        <v/>
      </c>
      <c r="BL30" s="34">
        <f>($B30/12)*(1+INDEX($C30:$E30,1,Control!$B$10))^BL5*INDEX($B$13:$M$13,1,MOD(59-1,12)+1)</f>
        <v/>
      </c>
      <c r="BM30" s="34">
        <f>($B30/12)*(1+INDEX($C30:$E30,1,Control!$B$10))^BM5*INDEX($B$13:$M$13,1,MOD(60-1,12)+1)</f>
        <v/>
      </c>
      <c r="BN30" s="34">
        <f>($B30/12)*(1+INDEX($C30:$E30,1,Control!$B$10))^BN5*INDEX($B$13:$M$13,1,MOD(61-1,12)+1)</f>
        <v/>
      </c>
      <c r="BO30" s="34">
        <f>($B30/12)*(1+INDEX($C30:$E30,1,Control!$B$10))^BO5*INDEX($B$13:$M$13,1,MOD(62-1,12)+1)</f>
        <v/>
      </c>
      <c r="BP30" s="34">
        <f>($B30/12)*(1+INDEX($C30:$E30,1,Control!$B$10))^BP5*INDEX($B$13:$M$13,1,MOD(63-1,12)+1)</f>
        <v/>
      </c>
      <c r="BQ30" s="34">
        <f>($B30/12)*(1+INDEX($C30:$E30,1,Control!$B$10))^BQ5*INDEX($B$13:$M$13,1,MOD(64-1,12)+1)</f>
        <v/>
      </c>
      <c r="BR30" s="34">
        <f>($B30/12)*(1+INDEX($C30:$E30,1,Control!$B$10))^BR5*INDEX($B$13:$M$13,1,MOD(65-1,12)+1)</f>
        <v/>
      </c>
      <c r="BS30" s="34">
        <f>($B30/12)*(1+INDEX($C30:$E30,1,Control!$B$10))^BS5*INDEX($B$13:$M$13,1,MOD(66-1,12)+1)</f>
        <v/>
      </c>
      <c r="BT30" s="34">
        <f>($B30/12)*(1+INDEX($C30:$E30,1,Control!$B$10))^BT5*INDEX($B$13:$M$13,1,MOD(67-1,12)+1)</f>
        <v/>
      </c>
      <c r="BU30" s="34">
        <f>($B30/12)*(1+INDEX($C30:$E30,1,Control!$B$10))^BU5*INDEX($B$13:$M$13,1,MOD(68-1,12)+1)</f>
        <v/>
      </c>
      <c r="BV30" s="34">
        <f>($B30/12)*(1+INDEX($C30:$E30,1,Control!$B$10))^BV5*INDEX($B$13:$M$13,1,MOD(69-1,12)+1)</f>
        <v/>
      </c>
      <c r="BW30" s="34">
        <f>($B30/12)*(1+INDEX($C30:$E30,1,Control!$B$10))^BW5*INDEX($B$13:$M$13,1,MOD(70-1,12)+1)</f>
        <v/>
      </c>
      <c r="BX30" s="34">
        <f>($B30/12)*(1+INDEX($C30:$E30,1,Control!$B$10))^BX5*INDEX($B$13:$M$13,1,MOD(71-1,12)+1)</f>
        <v/>
      </c>
      <c r="BY30" s="34">
        <f>($B30/12)*(1+INDEX($C30:$E30,1,Control!$B$10))^BY5*INDEX($B$13:$M$13,1,MOD(72-1,12)+1)</f>
        <v/>
      </c>
      <c r="BZ30" s="34">
        <f>($B30/12)*(1+INDEX($C30:$E30,1,Control!$B$10))^BZ5*INDEX($B$13:$M$13,1,MOD(73-1,12)+1)</f>
        <v/>
      </c>
      <c r="CA30" s="34">
        <f>($B30/12)*(1+INDEX($C30:$E30,1,Control!$B$10))^CA5*INDEX($B$13:$M$13,1,MOD(74-1,12)+1)</f>
        <v/>
      </c>
      <c r="CB30" s="34">
        <f>($B30/12)*(1+INDEX($C30:$E30,1,Control!$B$10))^CB5*INDEX($B$13:$M$13,1,MOD(75-1,12)+1)</f>
        <v/>
      </c>
      <c r="CC30" s="34">
        <f>($B30/12)*(1+INDEX($C30:$E30,1,Control!$B$10))^CC5*INDEX($B$13:$M$13,1,MOD(76-1,12)+1)</f>
        <v/>
      </c>
      <c r="CD30" s="34">
        <f>($B30/12)*(1+INDEX($C30:$E30,1,Control!$B$10))^CD5*INDEX($B$13:$M$13,1,MOD(77-1,12)+1)</f>
        <v/>
      </c>
      <c r="CE30" s="34">
        <f>($B30/12)*(1+INDEX($C30:$E30,1,Control!$B$10))^CE5*INDEX($B$13:$M$13,1,MOD(78-1,12)+1)</f>
        <v/>
      </c>
      <c r="CF30" s="34">
        <f>($B30/12)*(1+INDEX($C30:$E30,1,Control!$B$10))^CF5*INDEX($B$13:$M$13,1,MOD(79-1,12)+1)</f>
        <v/>
      </c>
      <c r="CG30" s="34">
        <f>($B30/12)*(1+INDEX($C30:$E30,1,Control!$B$10))^CG5*INDEX($B$13:$M$13,1,MOD(80-1,12)+1)</f>
        <v/>
      </c>
      <c r="CH30" s="34">
        <f>($B30/12)*(1+INDEX($C30:$E30,1,Control!$B$10))^CH5*INDEX($B$13:$M$13,1,MOD(81-1,12)+1)</f>
        <v/>
      </c>
      <c r="CI30" s="34">
        <f>($B30/12)*(1+INDEX($C30:$E30,1,Control!$B$10))^CI5*INDEX($B$13:$M$13,1,MOD(82-1,12)+1)</f>
        <v/>
      </c>
      <c r="CJ30" s="34">
        <f>($B30/12)*(1+INDEX($C30:$E30,1,Control!$B$10))^CJ5*INDEX($B$13:$M$13,1,MOD(83-1,12)+1)</f>
        <v/>
      </c>
      <c r="CK30" s="34">
        <f>($B30/12)*(1+INDEX($C30:$E30,1,Control!$B$10))^CK5*INDEX($B$13:$M$13,1,MOD(84-1,12)+1)</f>
        <v/>
      </c>
      <c r="CL30" s="34">
        <f>($B30/12)*(1+INDEX($C30:$E30,1,Control!$B$10))^CL5*INDEX($B$13:$M$13,1,MOD(85-1,12)+1)</f>
        <v/>
      </c>
      <c r="CM30" s="34">
        <f>($B30/12)*(1+INDEX($C30:$E30,1,Control!$B$10))^CM5*INDEX($B$13:$M$13,1,MOD(86-1,12)+1)</f>
        <v/>
      </c>
      <c r="CN30" s="34">
        <f>($B30/12)*(1+INDEX($C30:$E30,1,Control!$B$10))^CN5*INDEX($B$13:$M$13,1,MOD(87-1,12)+1)</f>
        <v/>
      </c>
      <c r="CO30" s="34">
        <f>($B30/12)*(1+INDEX($C30:$E30,1,Control!$B$10))^CO5*INDEX($B$13:$M$13,1,MOD(88-1,12)+1)</f>
        <v/>
      </c>
      <c r="CP30" s="34">
        <f>($B30/12)*(1+INDEX($C30:$E30,1,Control!$B$10))^CP5*INDEX($B$13:$M$13,1,MOD(89-1,12)+1)</f>
        <v/>
      </c>
      <c r="CQ30" s="34">
        <f>($B30/12)*(1+INDEX($C30:$E30,1,Control!$B$10))^CQ5*INDEX($B$13:$M$13,1,MOD(90-1,12)+1)</f>
        <v/>
      </c>
      <c r="CR30" s="34">
        <f>($B30/12)*(1+INDEX($C30:$E30,1,Control!$B$10))^CR5*INDEX($B$13:$M$13,1,MOD(91-1,12)+1)</f>
        <v/>
      </c>
      <c r="CS30" s="34">
        <f>($B30/12)*(1+INDEX($C30:$E30,1,Control!$B$10))^CS5*INDEX($B$13:$M$13,1,MOD(92-1,12)+1)</f>
        <v/>
      </c>
      <c r="CT30" s="34">
        <f>($B30/12)*(1+INDEX($C30:$E30,1,Control!$B$10))^CT5*INDEX($B$13:$M$13,1,MOD(93-1,12)+1)</f>
        <v/>
      </c>
      <c r="CU30" s="34">
        <f>($B30/12)*(1+INDEX($C30:$E30,1,Control!$B$10))^CU5*INDEX($B$13:$M$13,1,MOD(94-1,12)+1)</f>
        <v/>
      </c>
      <c r="CV30" s="34">
        <f>($B30/12)*(1+INDEX($C30:$E30,1,Control!$B$10))^CV5*INDEX($B$13:$M$13,1,MOD(95-1,12)+1)</f>
        <v/>
      </c>
      <c r="CW30" s="34">
        <f>($B30/12)*(1+INDEX($C30:$E30,1,Control!$B$10))^CW5*INDEX($B$13:$M$13,1,MOD(96-1,12)+1)</f>
        <v/>
      </c>
      <c r="CX30" s="34">
        <f>($B30/12)*(1+INDEX($C30:$E30,1,Control!$B$10))^CX5*INDEX($B$13:$M$13,1,MOD(97-1,12)+1)</f>
        <v/>
      </c>
      <c r="CY30" s="34">
        <f>($B30/12)*(1+INDEX($C30:$E30,1,Control!$B$10))^CY5*INDEX($B$13:$M$13,1,MOD(98-1,12)+1)</f>
        <v/>
      </c>
      <c r="CZ30" s="34">
        <f>($B30/12)*(1+INDEX($C30:$E30,1,Control!$B$10))^CZ5*INDEX($B$13:$M$13,1,MOD(99-1,12)+1)</f>
        <v/>
      </c>
      <c r="DA30" s="34">
        <f>($B30/12)*(1+INDEX($C30:$E30,1,Control!$B$10))^DA5*INDEX($B$13:$M$13,1,MOD(100-1,12)+1)</f>
        <v/>
      </c>
      <c r="DB30" s="34">
        <f>($B30/12)*(1+INDEX($C30:$E30,1,Control!$B$10))^DB5*INDEX($B$13:$M$13,1,MOD(101-1,12)+1)</f>
        <v/>
      </c>
      <c r="DC30" s="34">
        <f>($B30/12)*(1+INDEX($C30:$E30,1,Control!$B$10))^DC5*INDEX($B$13:$M$13,1,MOD(102-1,12)+1)</f>
        <v/>
      </c>
      <c r="DD30" s="34">
        <f>($B30/12)*(1+INDEX($C30:$E30,1,Control!$B$10))^DD5*INDEX($B$13:$M$13,1,MOD(103-1,12)+1)</f>
        <v/>
      </c>
      <c r="DE30" s="34">
        <f>($B30/12)*(1+INDEX($C30:$E30,1,Control!$B$10))^DE5*INDEX($B$13:$M$13,1,MOD(104-1,12)+1)</f>
        <v/>
      </c>
      <c r="DF30" s="34">
        <f>($B30/12)*(1+INDEX($C30:$E30,1,Control!$B$10))^DF5*INDEX($B$13:$M$13,1,MOD(105-1,12)+1)</f>
        <v/>
      </c>
      <c r="DG30" s="34">
        <f>($B30/12)*(1+INDEX($C30:$E30,1,Control!$B$10))^DG5*INDEX($B$13:$M$13,1,MOD(106-1,12)+1)</f>
        <v/>
      </c>
      <c r="DH30" s="34">
        <f>($B30/12)*(1+INDEX($C30:$E30,1,Control!$B$10))^DH5*INDEX($B$13:$M$13,1,MOD(107-1,12)+1)</f>
        <v/>
      </c>
      <c r="DI30" s="34">
        <f>($B30/12)*(1+INDEX($C30:$E30,1,Control!$B$10))^DI5*INDEX($B$13:$M$13,1,MOD(108-1,12)+1)</f>
        <v/>
      </c>
      <c r="DJ30" s="34">
        <f>($B30/12)*(1+INDEX($C30:$E30,1,Control!$B$10))^DJ5*INDEX($B$13:$M$13,1,MOD(109-1,12)+1)</f>
        <v/>
      </c>
      <c r="DK30" s="34">
        <f>($B30/12)*(1+INDEX($C30:$E30,1,Control!$B$10))^DK5*INDEX($B$13:$M$13,1,MOD(110-1,12)+1)</f>
        <v/>
      </c>
      <c r="DL30" s="34">
        <f>($B30/12)*(1+INDEX($C30:$E30,1,Control!$B$10))^DL5*INDEX($B$13:$M$13,1,MOD(111-1,12)+1)</f>
        <v/>
      </c>
      <c r="DM30" s="34">
        <f>($B30/12)*(1+INDEX($C30:$E30,1,Control!$B$10))^DM5*INDEX($B$13:$M$13,1,MOD(112-1,12)+1)</f>
        <v/>
      </c>
      <c r="DN30" s="34">
        <f>($B30/12)*(1+INDEX($C30:$E30,1,Control!$B$10))^DN5*INDEX($B$13:$M$13,1,MOD(113-1,12)+1)</f>
        <v/>
      </c>
      <c r="DO30" s="34">
        <f>($B30/12)*(1+INDEX($C30:$E30,1,Control!$B$10))^DO5*INDEX($B$13:$M$13,1,MOD(114-1,12)+1)</f>
        <v/>
      </c>
      <c r="DP30" s="34">
        <f>($B30/12)*(1+INDEX($C30:$E30,1,Control!$B$10))^DP5*INDEX($B$13:$M$13,1,MOD(115-1,12)+1)</f>
        <v/>
      </c>
      <c r="DQ30" s="34">
        <f>($B30/12)*(1+INDEX($C30:$E30,1,Control!$B$10))^DQ5*INDEX($B$13:$M$13,1,MOD(116-1,12)+1)</f>
        <v/>
      </c>
      <c r="DR30" s="34">
        <f>($B30/12)*(1+INDEX($C30:$E30,1,Control!$B$10))^DR5*INDEX($B$13:$M$13,1,MOD(117-1,12)+1)</f>
        <v/>
      </c>
      <c r="DS30" s="34">
        <f>($B30/12)*(1+INDEX($C30:$E30,1,Control!$B$10))^DS5*INDEX($B$13:$M$13,1,MOD(118-1,12)+1)</f>
        <v/>
      </c>
      <c r="DT30" s="34">
        <f>($B30/12)*(1+INDEX($C30:$E30,1,Control!$B$10))^DT5*INDEX($B$13:$M$13,1,MOD(119-1,12)+1)</f>
        <v/>
      </c>
      <c r="DU30" s="34">
        <f>($B30/12)*(1+INDEX($C30:$E30,1,Control!$B$10))^DU5*INDEX($B$13:$M$13,1,MOD(120-1,12)+1)</f>
        <v/>
      </c>
    </row>
    <row r="31">
      <c r="A31" t="inlineStr">
        <is>
          <t>GoldCoast-Bottles-OnTrade</t>
        </is>
      </c>
      <c r="B31" s="33" t="n">
        <v>20000</v>
      </c>
      <c r="C31" s="22" t="n">
        <v>0.04</v>
      </c>
      <c r="D31" s="22" t="n">
        <v>0.06</v>
      </c>
      <c r="E31" s="22" t="n">
        <v>0.02</v>
      </c>
      <c r="F31" s="34">
        <f>($B31/12)*(1+INDEX($C31:$E31,1,Control!$B$10))^F5*INDEX($B$13:$M$13,1,MOD(1-1,12)+1)</f>
        <v/>
      </c>
      <c r="G31" s="34">
        <f>($B31/12)*(1+INDEX($C31:$E31,1,Control!$B$10))^G5*INDEX($B$13:$M$13,1,MOD(2-1,12)+1)</f>
        <v/>
      </c>
      <c r="H31" s="34">
        <f>($B31/12)*(1+INDEX($C31:$E31,1,Control!$B$10))^H5*INDEX($B$13:$M$13,1,MOD(3-1,12)+1)</f>
        <v/>
      </c>
      <c r="I31" s="34">
        <f>($B31/12)*(1+INDEX($C31:$E31,1,Control!$B$10))^I5*INDEX($B$13:$M$13,1,MOD(4-1,12)+1)</f>
        <v/>
      </c>
      <c r="J31" s="34">
        <f>($B31/12)*(1+INDEX($C31:$E31,1,Control!$B$10))^J5*INDEX($B$13:$M$13,1,MOD(5-1,12)+1)</f>
        <v/>
      </c>
      <c r="K31" s="34">
        <f>($B31/12)*(1+INDEX($C31:$E31,1,Control!$B$10))^K5*INDEX($B$13:$M$13,1,MOD(6-1,12)+1)</f>
        <v/>
      </c>
      <c r="L31" s="34">
        <f>($B31/12)*(1+INDEX($C31:$E31,1,Control!$B$10))^L5*INDEX($B$13:$M$13,1,MOD(7-1,12)+1)</f>
        <v/>
      </c>
      <c r="M31" s="34">
        <f>($B31/12)*(1+INDEX($C31:$E31,1,Control!$B$10))^M5*INDEX($B$13:$M$13,1,MOD(8-1,12)+1)</f>
        <v/>
      </c>
      <c r="N31" s="34">
        <f>($B31/12)*(1+INDEX($C31:$E31,1,Control!$B$10))^N5*INDEX($B$13:$M$13,1,MOD(9-1,12)+1)</f>
        <v/>
      </c>
      <c r="O31" s="34">
        <f>($B31/12)*(1+INDEX($C31:$E31,1,Control!$B$10))^O5*INDEX($B$13:$M$13,1,MOD(10-1,12)+1)</f>
        <v/>
      </c>
      <c r="P31" s="34">
        <f>($B31/12)*(1+INDEX($C31:$E31,1,Control!$B$10))^P5*INDEX($B$13:$M$13,1,MOD(11-1,12)+1)</f>
        <v/>
      </c>
      <c r="Q31" s="34">
        <f>($B31/12)*(1+INDEX($C31:$E31,1,Control!$B$10))^Q5*INDEX($B$13:$M$13,1,MOD(12-1,12)+1)</f>
        <v/>
      </c>
      <c r="R31" s="34">
        <f>($B31/12)*(1+INDEX($C31:$E31,1,Control!$B$10))^R5*INDEX($B$13:$M$13,1,MOD(13-1,12)+1)</f>
        <v/>
      </c>
      <c r="S31" s="34">
        <f>($B31/12)*(1+INDEX($C31:$E31,1,Control!$B$10))^S5*INDEX($B$13:$M$13,1,MOD(14-1,12)+1)</f>
        <v/>
      </c>
      <c r="T31" s="34">
        <f>($B31/12)*(1+INDEX($C31:$E31,1,Control!$B$10))^T5*INDEX($B$13:$M$13,1,MOD(15-1,12)+1)</f>
        <v/>
      </c>
      <c r="U31" s="34">
        <f>($B31/12)*(1+INDEX($C31:$E31,1,Control!$B$10))^U5*INDEX($B$13:$M$13,1,MOD(16-1,12)+1)</f>
        <v/>
      </c>
      <c r="V31" s="34">
        <f>($B31/12)*(1+INDEX($C31:$E31,1,Control!$B$10))^V5*INDEX($B$13:$M$13,1,MOD(17-1,12)+1)</f>
        <v/>
      </c>
      <c r="W31" s="34">
        <f>($B31/12)*(1+INDEX($C31:$E31,1,Control!$B$10))^W5*INDEX($B$13:$M$13,1,MOD(18-1,12)+1)</f>
        <v/>
      </c>
      <c r="X31" s="34">
        <f>($B31/12)*(1+INDEX($C31:$E31,1,Control!$B$10))^X5*INDEX($B$13:$M$13,1,MOD(19-1,12)+1)</f>
        <v/>
      </c>
      <c r="Y31" s="34">
        <f>($B31/12)*(1+INDEX($C31:$E31,1,Control!$B$10))^Y5*INDEX($B$13:$M$13,1,MOD(20-1,12)+1)</f>
        <v/>
      </c>
      <c r="Z31" s="34">
        <f>($B31/12)*(1+INDEX($C31:$E31,1,Control!$B$10))^Z5*INDEX($B$13:$M$13,1,MOD(21-1,12)+1)</f>
        <v/>
      </c>
      <c r="AA31" s="34">
        <f>($B31/12)*(1+INDEX($C31:$E31,1,Control!$B$10))^AA5*INDEX($B$13:$M$13,1,MOD(22-1,12)+1)</f>
        <v/>
      </c>
      <c r="AB31" s="34">
        <f>($B31/12)*(1+INDEX($C31:$E31,1,Control!$B$10))^AB5*INDEX($B$13:$M$13,1,MOD(23-1,12)+1)</f>
        <v/>
      </c>
      <c r="AC31" s="34">
        <f>($B31/12)*(1+INDEX($C31:$E31,1,Control!$B$10))^AC5*INDEX($B$13:$M$13,1,MOD(24-1,12)+1)</f>
        <v/>
      </c>
      <c r="AD31" s="34">
        <f>($B31/12)*(1+INDEX($C31:$E31,1,Control!$B$10))^AD5*INDEX($B$13:$M$13,1,MOD(25-1,12)+1)</f>
        <v/>
      </c>
      <c r="AE31" s="34">
        <f>($B31/12)*(1+INDEX($C31:$E31,1,Control!$B$10))^AE5*INDEX($B$13:$M$13,1,MOD(26-1,12)+1)</f>
        <v/>
      </c>
      <c r="AF31" s="34">
        <f>($B31/12)*(1+INDEX($C31:$E31,1,Control!$B$10))^AF5*INDEX($B$13:$M$13,1,MOD(27-1,12)+1)</f>
        <v/>
      </c>
      <c r="AG31" s="34">
        <f>($B31/12)*(1+INDEX($C31:$E31,1,Control!$B$10))^AG5*INDEX($B$13:$M$13,1,MOD(28-1,12)+1)</f>
        <v/>
      </c>
      <c r="AH31" s="34">
        <f>($B31/12)*(1+INDEX($C31:$E31,1,Control!$B$10))^AH5*INDEX($B$13:$M$13,1,MOD(29-1,12)+1)</f>
        <v/>
      </c>
      <c r="AI31" s="34">
        <f>($B31/12)*(1+INDEX($C31:$E31,1,Control!$B$10))^AI5*INDEX($B$13:$M$13,1,MOD(30-1,12)+1)</f>
        <v/>
      </c>
      <c r="AJ31" s="34">
        <f>($B31/12)*(1+INDEX($C31:$E31,1,Control!$B$10))^AJ5*INDEX($B$13:$M$13,1,MOD(31-1,12)+1)</f>
        <v/>
      </c>
      <c r="AK31" s="34">
        <f>($B31/12)*(1+INDEX($C31:$E31,1,Control!$B$10))^AK5*INDEX($B$13:$M$13,1,MOD(32-1,12)+1)</f>
        <v/>
      </c>
      <c r="AL31" s="34">
        <f>($B31/12)*(1+INDEX($C31:$E31,1,Control!$B$10))^AL5*INDEX($B$13:$M$13,1,MOD(33-1,12)+1)</f>
        <v/>
      </c>
      <c r="AM31" s="34">
        <f>($B31/12)*(1+INDEX($C31:$E31,1,Control!$B$10))^AM5*INDEX($B$13:$M$13,1,MOD(34-1,12)+1)</f>
        <v/>
      </c>
      <c r="AN31" s="34">
        <f>($B31/12)*(1+INDEX($C31:$E31,1,Control!$B$10))^AN5*INDEX($B$13:$M$13,1,MOD(35-1,12)+1)</f>
        <v/>
      </c>
      <c r="AO31" s="34">
        <f>($B31/12)*(1+INDEX($C31:$E31,1,Control!$B$10))^AO5*INDEX($B$13:$M$13,1,MOD(36-1,12)+1)</f>
        <v/>
      </c>
      <c r="AP31" s="34">
        <f>($B31/12)*(1+INDEX($C31:$E31,1,Control!$B$10))^AP5*INDEX($B$13:$M$13,1,MOD(37-1,12)+1)</f>
        <v/>
      </c>
      <c r="AQ31" s="34">
        <f>($B31/12)*(1+INDEX($C31:$E31,1,Control!$B$10))^AQ5*INDEX($B$13:$M$13,1,MOD(38-1,12)+1)</f>
        <v/>
      </c>
      <c r="AR31" s="34">
        <f>($B31/12)*(1+INDEX($C31:$E31,1,Control!$B$10))^AR5*INDEX($B$13:$M$13,1,MOD(39-1,12)+1)</f>
        <v/>
      </c>
      <c r="AS31" s="34">
        <f>($B31/12)*(1+INDEX($C31:$E31,1,Control!$B$10))^AS5*INDEX($B$13:$M$13,1,MOD(40-1,12)+1)</f>
        <v/>
      </c>
      <c r="AT31" s="34">
        <f>($B31/12)*(1+INDEX($C31:$E31,1,Control!$B$10))^AT5*INDEX($B$13:$M$13,1,MOD(41-1,12)+1)</f>
        <v/>
      </c>
      <c r="AU31" s="34">
        <f>($B31/12)*(1+INDEX($C31:$E31,1,Control!$B$10))^AU5*INDEX($B$13:$M$13,1,MOD(42-1,12)+1)</f>
        <v/>
      </c>
      <c r="AV31" s="34">
        <f>($B31/12)*(1+INDEX($C31:$E31,1,Control!$B$10))^AV5*INDEX($B$13:$M$13,1,MOD(43-1,12)+1)</f>
        <v/>
      </c>
      <c r="AW31" s="34">
        <f>($B31/12)*(1+INDEX($C31:$E31,1,Control!$B$10))^AW5*INDEX($B$13:$M$13,1,MOD(44-1,12)+1)</f>
        <v/>
      </c>
      <c r="AX31" s="34">
        <f>($B31/12)*(1+INDEX($C31:$E31,1,Control!$B$10))^AX5*INDEX($B$13:$M$13,1,MOD(45-1,12)+1)</f>
        <v/>
      </c>
      <c r="AY31" s="34">
        <f>($B31/12)*(1+INDEX($C31:$E31,1,Control!$B$10))^AY5*INDEX($B$13:$M$13,1,MOD(46-1,12)+1)</f>
        <v/>
      </c>
      <c r="AZ31" s="34">
        <f>($B31/12)*(1+INDEX($C31:$E31,1,Control!$B$10))^AZ5*INDEX($B$13:$M$13,1,MOD(47-1,12)+1)</f>
        <v/>
      </c>
      <c r="BA31" s="34">
        <f>($B31/12)*(1+INDEX($C31:$E31,1,Control!$B$10))^BA5*INDEX($B$13:$M$13,1,MOD(48-1,12)+1)</f>
        <v/>
      </c>
      <c r="BB31" s="34">
        <f>($B31/12)*(1+INDEX($C31:$E31,1,Control!$B$10))^BB5*INDEX($B$13:$M$13,1,MOD(49-1,12)+1)</f>
        <v/>
      </c>
      <c r="BC31" s="34">
        <f>($B31/12)*(1+INDEX($C31:$E31,1,Control!$B$10))^BC5*INDEX($B$13:$M$13,1,MOD(50-1,12)+1)</f>
        <v/>
      </c>
      <c r="BD31" s="34">
        <f>($B31/12)*(1+INDEX($C31:$E31,1,Control!$B$10))^BD5*INDEX($B$13:$M$13,1,MOD(51-1,12)+1)</f>
        <v/>
      </c>
      <c r="BE31" s="34">
        <f>($B31/12)*(1+INDEX($C31:$E31,1,Control!$B$10))^BE5*INDEX($B$13:$M$13,1,MOD(52-1,12)+1)</f>
        <v/>
      </c>
      <c r="BF31" s="34">
        <f>($B31/12)*(1+INDEX($C31:$E31,1,Control!$B$10))^BF5*INDEX($B$13:$M$13,1,MOD(53-1,12)+1)</f>
        <v/>
      </c>
      <c r="BG31" s="34">
        <f>($B31/12)*(1+INDEX($C31:$E31,1,Control!$B$10))^BG5*INDEX($B$13:$M$13,1,MOD(54-1,12)+1)</f>
        <v/>
      </c>
      <c r="BH31" s="34">
        <f>($B31/12)*(1+INDEX($C31:$E31,1,Control!$B$10))^BH5*INDEX($B$13:$M$13,1,MOD(55-1,12)+1)</f>
        <v/>
      </c>
      <c r="BI31" s="34">
        <f>($B31/12)*(1+INDEX($C31:$E31,1,Control!$B$10))^BI5*INDEX($B$13:$M$13,1,MOD(56-1,12)+1)</f>
        <v/>
      </c>
      <c r="BJ31" s="34">
        <f>($B31/12)*(1+INDEX($C31:$E31,1,Control!$B$10))^BJ5*INDEX($B$13:$M$13,1,MOD(57-1,12)+1)</f>
        <v/>
      </c>
      <c r="BK31" s="34">
        <f>($B31/12)*(1+INDEX($C31:$E31,1,Control!$B$10))^BK5*INDEX($B$13:$M$13,1,MOD(58-1,12)+1)</f>
        <v/>
      </c>
      <c r="BL31" s="34">
        <f>($B31/12)*(1+INDEX($C31:$E31,1,Control!$B$10))^BL5*INDEX($B$13:$M$13,1,MOD(59-1,12)+1)</f>
        <v/>
      </c>
      <c r="BM31" s="34">
        <f>($B31/12)*(1+INDEX($C31:$E31,1,Control!$B$10))^BM5*INDEX($B$13:$M$13,1,MOD(60-1,12)+1)</f>
        <v/>
      </c>
      <c r="BN31" s="34">
        <f>($B31/12)*(1+INDEX($C31:$E31,1,Control!$B$10))^BN5*INDEX($B$13:$M$13,1,MOD(61-1,12)+1)</f>
        <v/>
      </c>
      <c r="BO31" s="34">
        <f>($B31/12)*(1+INDEX($C31:$E31,1,Control!$B$10))^BO5*INDEX($B$13:$M$13,1,MOD(62-1,12)+1)</f>
        <v/>
      </c>
      <c r="BP31" s="34">
        <f>($B31/12)*(1+INDEX($C31:$E31,1,Control!$B$10))^BP5*INDEX($B$13:$M$13,1,MOD(63-1,12)+1)</f>
        <v/>
      </c>
      <c r="BQ31" s="34">
        <f>($B31/12)*(1+INDEX($C31:$E31,1,Control!$B$10))^BQ5*INDEX($B$13:$M$13,1,MOD(64-1,12)+1)</f>
        <v/>
      </c>
      <c r="BR31" s="34">
        <f>($B31/12)*(1+INDEX($C31:$E31,1,Control!$B$10))^BR5*INDEX($B$13:$M$13,1,MOD(65-1,12)+1)</f>
        <v/>
      </c>
      <c r="BS31" s="34">
        <f>($B31/12)*(1+INDEX($C31:$E31,1,Control!$B$10))^BS5*INDEX($B$13:$M$13,1,MOD(66-1,12)+1)</f>
        <v/>
      </c>
      <c r="BT31" s="34">
        <f>($B31/12)*(1+INDEX($C31:$E31,1,Control!$B$10))^BT5*INDEX($B$13:$M$13,1,MOD(67-1,12)+1)</f>
        <v/>
      </c>
      <c r="BU31" s="34">
        <f>($B31/12)*(1+INDEX($C31:$E31,1,Control!$B$10))^BU5*INDEX($B$13:$M$13,1,MOD(68-1,12)+1)</f>
        <v/>
      </c>
      <c r="BV31" s="34">
        <f>($B31/12)*(1+INDEX($C31:$E31,1,Control!$B$10))^BV5*INDEX($B$13:$M$13,1,MOD(69-1,12)+1)</f>
        <v/>
      </c>
      <c r="BW31" s="34">
        <f>($B31/12)*(1+INDEX($C31:$E31,1,Control!$B$10))^BW5*INDEX($B$13:$M$13,1,MOD(70-1,12)+1)</f>
        <v/>
      </c>
      <c r="BX31" s="34">
        <f>($B31/12)*(1+INDEX($C31:$E31,1,Control!$B$10))^BX5*INDEX($B$13:$M$13,1,MOD(71-1,12)+1)</f>
        <v/>
      </c>
      <c r="BY31" s="34">
        <f>($B31/12)*(1+INDEX($C31:$E31,1,Control!$B$10))^BY5*INDEX($B$13:$M$13,1,MOD(72-1,12)+1)</f>
        <v/>
      </c>
      <c r="BZ31" s="34">
        <f>($B31/12)*(1+INDEX($C31:$E31,1,Control!$B$10))^BZ5*INDEX($B$13:$M$13,1,MOD(73-1,12)+1)</f>
        <v/>
      </c>
      <c r="CA31" s="34">
        <f>($B31/12)*(1+INDEX($C31:$E31,1,Control!$B$10))^CA5*INDEX($B$13:$M$13,1,MOD(74-1,12)+1)</f>
        <v/>
      </c>
      <c r="CB31" s="34">
        <f>($B31/12)*(1+INDEX($C31:$E31,1,Control!$B$10))^CB5*INDEX($B$13:$M$13,1,MOD(75-1,12)+1)</f>
        <v/>
      </c>
      <c r="CC31" s="34">
        <f>($B31/12)*(1+INDEX($C31:$E31,1,Control!$B$10))^CC5*INDEX($B$13:$M$13,1,MOD(76-1,12)+1)</f>
        <v/>
      </c>
      <c r="CD31" s="34">
        <f>($B31/12)*(1+INDEX($C31:$E31,1,Control!$B$10))^CD5*INDEX($B$13:$M$13,1,MOD(77-1,12)+1)</f>
        <v/>
      </c>
      <c r="CE31" s="34">
        <f>($B31/12)*(1+INDEX($C31:$E31,1,Control!$B$10))^CE5*INDEX($B$13:$M$13,1,MOD(78-1,12)+1)</f>
        <v/>
      </c>
      <c r="CF31" s="34">
        <f>($B31/12)*(1+INDEX($C31:$E31,1,Control!$B$10))^CF5*INDEX($B$13:$M$13,1,MOD(79-1,12)+1)</f>
        <v/>
      </c>
      <c r="CG31" s="34">
        <f>($B31/12)*(1+INDEX($C31:$E31,1,Control!$B$10))^CG5*INDEX($B$13:$M$13,1,MOD(80-1,12)+1)</f>
        <v/>
      </c>
      <c r="CH31" s="34">
        <f>($B31/12)*(1+INDEX($C31:$E31,1,Control!$B$10))^CH5*INDEX($B$13:$M$13,1,MOD(81-1,12)+1)</f>
        <v/>
      </c>
      <c r="CI31" s="34">
        <f>($B31/12)*(1+INDEX($C31:$E31,1,Control!$B$10))^CI5*INDEX($B$13:$M$13,1,MOD(82-1,12)+1)</f>
        <v/>
      </c>
      <c r="CJ31" s="34">
        <f>($B31/12)*(1+INDEX($C31:$E31,1,Control!$B$10))^CJ5*INDEX($B$13:$M$13,1,MOD(83-1,12)+1)</f>
        <v/>
      </c>
      <c r="CK31" s="34">
        <f>($B31/12)*(1+INDEX($C31:$E31,1,Control!$B$10))^CK5*INDEX($B$13:$M$13,1,MOD(84-1,12)+1)</f>
        <v/>
      </c>
      <c r="CL31" s="34">
        <f>($B31/12)*(1+INDEX($C31:$E31,1,Control!$B$10))^CL5*INDEX($B$13:$M$13,1,MOD(85-1,12)+1)</f>
        <v/>
      </c>
      <c r="CM31" s="34">
        <f>($B31/12)*(1+INDEX($C31:$E31,1,Control!$B$10))^CM5*INDEX($B$13:$M$13,1,MOD(86-1,12)+1)</f>
        <v/>
      </c>
      <c r="CN31" s="34">
        <f>($B31/12)*(1+INDEX($C31:$E31,1,Control!$B$10))^CN5*INDEX($B$13:$M$13,1,MOD(87-1,12)+1)</f>
        <v/>
      </c>
      <c r="CO31" s="34">
        <f>($B31/12)*(1+INDEX($C31:$E31,1,Control!$B$10))^CO5*INDEX($B$13:$M$13,1,MOD(88-1,12)+1)</f>
        <v/>
      </c>
      <c r="CP31" s="34">
        <f>($B31/12)*(1+INDEX($C31:$E31,1,Control!$B$10))^CP5*INDEX($B$13:$M$13,1,MOD(89-1,12)+1)</f>
        <v/>
      </c>
      <c r="CQ31" s="34">
        <f>($B31/12)*(1+INDEX($C31:$E31,1,Control!$B$10))^CQ5*INDEX($B$13:$M$13,1,MOD(90-1,12)+1)</f>
        <v/>
      </c>
      <c r="CR31" s="34">
        <f>($B31/12)*(1+INDEX($C31:$E31,1,Control!$B$10))^CR5*INDEX($B$13:$M$13,1,MOD(91-1,12)+1)</f>
        <v/>
      </c>
      <c r="CS31" s="34">
        <f>($B31/12)*(1+INDEX($C31:$E31,1,Control!$B$10))^CS5*INDEX($B$13:$M$13,1,MOD(92-1,12)+1)</f>
        <v/>
      </c>
      <c r="CT31" s="34">
        <f>($B31/12)*(1+INDEX($C31:$E31,1,Control!$B$10))^CT5*INDEX($B$13:$M$13,1,MOD(93-1,12)+1)</f>
        <v/>
      </c>
      <c r="CU31" s="34">
        <f>($B31/12)*(1+INDEX($C31:$E31,1,Control!$B$10))^CU5*INDEX($B$13:$M$13,1,MOD(94-1,12)+1)</f>
        <v/>
      </c>
      <c r="CV31" s="34">
        <f>($B31/12)*(1+INDEX($C31:$E31,1,Control!$B$10))^CV5*INDEX($B$13:$M$13,1,MOD(95-1,12)+1)</f>
        <v/>
      </c>
      <c r="CW31" s="34">
        <f>($B31/12)*(1+INDEX($C31:$E31,1,Control!$B$10))^CW5*INDEX($B$13:$M$13,1,MOD(96-1,12)+1)</f>
        <v/>
      </c>
      <c r="CX31" s="34">
        <f>($B31/12)*(1+INDEX($C31:$E31,1,Control!$B$10))^CX5*INDEX($B$13:$M$13,1,MOD(97-1,12)+1)</f>
        <v/>
      </c>
      <c r="CY31" s="34">
        <f>($B31/12)*(1+INDEX($C31:$E31,1,Control!$B$10))^CY5*INDEX($B$13:$M$13,1,MOD(98-1,12)+1)</f>
        <v/>
      </c>
      <c r="CZ31" s="34">
        <f>($B31/12)*(1+INDEX($C31:$E31,1,Control!$B$10))^CZ5*INDEX($B$13:$M$13,1,MOD(99-1,12)+1)</f>
        <v/>
      </c>
      <c r="DA31" s="34">
        <f>($B31/12)*(1+INDEX($C31:$E31,1,Control!$B$10))^DA5*INDEX($B$13:$M$13,1,MOD(100-1,12)+1)</f>
        <v/>
      </c>
      <c r="DB31" s="34">
        <f>($B31/12)*(1+INDEX($C31:$E31,1,Control!$B$10))^DB5*INDEX($B$13:$M$13,1,MOD(101-1,12)+1)</f>
        <v/>
      </c>
      <c r="DC31" s="34">
        <f>($B31/12)*(1+INDEX($C31:$E31,1,Control!$B$10))^DC5*INDEX($B$13:$M$13,1,MOD(102-1,12)+1)</f>
        <v/>
      </c>
      <c r="DD31" s="34">
        <f>($B31/12)*(1+INDEX($C31:$E31,1,Control!$B$10))^DD5*INDEX($B$13:$M$13,1,MOD(103-1,12)+1)</f>
        <v/>
      </c>
      <c r="DE31" s="34">
        <f>($B31/12)*(1+INDEX($C31:$E31,1,Control!$B$10))^DE5*INDEX($B$13:$M$13,1,MOD(104-1,12)+1)</f>
        <v/>
      </c>
      <c r="DF31" s="34">
        <f>($B31/12)*(1+INDEX($C31:$E31,1,Control!$B$10))^DF5*INDEX($B$13:$M$13,1,MOD(105-1,12)+1)</f>
        <v/>
      </c>
      <c r="DG31" s="34">
        <f>($B31/12)*(1+INDEX($C31:$E31,1,Control!$B$10))^DG5*INDEX($B$13:$M$13,1,MOD(106-1,12)+1)</f>
        <v/>
      </c>
      <c r="DH31" s="34">
        <f>($B31/12)*(1+INDEX($C31:$E31,1,Control!$B$10))^DH5*INDEX($B$13:$M$13,1,MOD(107-1,12)+1)</f>
        <v/>
      </c>
      <c r="DI31" s="34">
        <f>($B31/12)*(1+INDEX($C31:$E31,1,Control!$B$10))^DI5*INDEX($B$13:$M$13,1,MOD(108-1,12)+1)</f>
        <v/>
      </c>
      <c r="DJ31" s="34">
        <f>($B31/12)*(1+INDEX($C31:$E31,1,Control!$B$10))^DJ5*INDEX($B$13:$M$13,1,MOD(109-1,12)+1)</f>
        <v/>
      </c>
      <c r="DK31" s="34">
        <f>($B31/12)*(1+INDEX($C31:$E31,1,Control!$B$10))^DK5*INDEX($B$13:$M$13,1,MOD(110-1,12)+1)</f>
        <v/>
      </c>
      <c r="DL31" s="34">
        <f>($B31/12)*(1+INDEX($C31:$E31,1,Control!$B$10))^DL5*INDEX($B$13:$M$13,1,MOD(111-1,12)+1)</f>
        <v/>
      </c>
      <c r="DM31" s="34">
        <f>($B31/12)*(1+INDEX($C31:$E31,1,Control!$B$10))^DM5*INDEX($B$13:$M$13,1,MOD(112-1,12)+1)</f>
        <v/>
      </c>
      <c r="DN31" s="34">
        <f>($B31/12)*(1+INDEX($C31:$E31,1,Control!$B$10))^DN5*INDEX($B$13:$M$13,1,MOD(113-1,12)+1)</f>
        <v/>
      </c>
      <c r="DO31" s="34">
        <f>($B31/12)*(1+INDEX($C31:$E31,1,Control!$B$10))^DO5*INDEX($B$13:$M$13,1,MOD(114-1,12)+1)</f>
        <v/>
      </c>
      <c r="DP31" s="34">
        <f>($B31/12)*(1+INDEX($C31:$E31,1,Control!$B$10))^DP5*INDEX($B$13:$M$13,1,MOD(115-1,12)+1)</f>
        <v/>
      </c>
      <c r="DQ31" s="34">
        <f>($B31/12)*(1+INDEX($C31:$E31,1,Control!$B$10))^DQ5*INDEX($B$13:$M$13,1,MOD(116-1,12)+1)</f>
        <v/>
      </c>
      <c r="DR31" s="34">
        <f>($B31/12)*(1+INDEX($C31:$E31,1,Control!$B$10))^DR5*INDEX($B$13:$M$13,1,MOD(117-1,12)+1)</f>
        <v/>
      </c>
      <c r="DS31" s="34">
        <f>($B31/12)*(1+INDEX($C31:$E31,1,Control!$B$10))^DS5*INDEX($B$13:$M$13,1,MOD(118-1,12)+1)</f>
        <v/>
      </c>
      <c r="DT31" s="34">
        <f>($B31/12)*(1+INDEX($C31:$E31,1,Control!$B$10))^DT5*INDEX($B$13:$M$13,1,MOD(119-1,12)+1)</f>
        <v/>
      </c>
      <c r="DU31" s="34">
        <f>($B31/12)*(1+INDEX($C31:$E31,1,Control!$B$10))^DU5*INDEX($B$13:$M$13,1,MOD(120-1,12)+1)</f>
        <v/>
      </c>
    </row>
    <row r="32">
      <c r="A32" t="inlineStr">
        <is>
          <t>GoldCoast-Bottles-OffTrade</t>
        </is>
      </c>
      <c r="B32" s="33" t="n">
        <v>35000</v>
      </c>
      <c r="C32" s="22" t="n">
        <v>0.04</v>
      </c>
      <c r="D32" s="22" t="n">
        <v>0.06</v>
      </c>
      <c r="E32" s="22" t="n">
        <v>0.02</v>
      </c>
      <c r="F32" s="34">
        <f>($B32/12)*(1+INDEX($C32:$E32,1,Control!$B$10))^F5*INDEX($B$13:$M$13,1,MOD(1-1,12)+1)</f>
        <v/>
      </c>
      <c r="G32" s="34">
        <f>($B32/12)*(1+INDEX($C32:$E32,1,Control!$B$10))^G5*INDEX($B$13:$M$13,1,MOD(2-1,12)+1)</f>
        <v/>
      </c>
      <c r="H32" s="34">
        <f>($B32/12)*(1+INDEX($C32:$E32,1,Control!$B$10))^H5*INDEX($B$13:$M$13,1,MOD(3-1,12)+1)</f>
        <v/>
      </c>
      <c r="I32" s="34">
        <f>($B32/12)*(1+INDEX($C32:$E32,1,Control!$B$10))^I5*INDEX($B$13:$M$13,1,MOD(4-1,12)+1)</f>
        <v/>
      </c>
      <c r="J32" s="34">
        <f>($B32/12)*(1+INDEX($C32:$E32,1,Control!$B$10))^J5*INDEX($B$13:$M$13,1,MOD(5-1,12)+1)</f>
        <v/>
      </c>
      <c r="K32" s="34">
        <f>($B32/12)*(1+INDEX($C32:$E32,1,Control!$B$10))^K5*INDEX($B$13:$M$13,1,MOD(6-1,12)+1)</f>
        <v/>
      </c>
      <c r="L32" s="34">
        <f>($B32/12)*(1+INDEX($C32:$E32,1,Control!$B$10))^L5*INDEX($B$13:$M$13,1,MOD(7-1,12)+1)</f>
        <v/>
      </c>
      <c r="M32" s="34">
        <f>($B32/12)*(1+INDEX($C32:$E32,1,Control!$B$10))^M5*INDEX($B$13:$M$13,1,MOD(8-1,12)+1)</f>
        <v/>
      </c>
      <c r="N32" s="34">
        <f>($B32/12)*(1+INDEX($C32:$E32,1,Control!$B$10))^N5*INDEX($B$13:$M$13,1,MOD(9-1,12)+1)</f>
        <v/>
      </c>
      <c r="O32" s="34">
        <f>($B32/12)*(1+INDEX($C32:$E32,1,Control!$B$10))^O5*INDEX($B$13:$M$13,1,MOD(10-1,12)+1)</f>
        <v/>
      </c>
      <c r="P32" s="34">
        <f>($B32/12)*(1+INDEX($C32:$E32,1,Control!$B$10))^P5*INDEX($B$13:$M$13,1,MOD(11-1,12)+1)</f>
        <v/>
      </c>
      <c r="Q32" s="34">
        <f>($B32/12)*(1+INDEX($C32:$E32,1,Control!$B$10))^Q5*INDEX($B$13:$M$13,1,MOD(12-1,12)+1)</f>
        <v/>
      </c>
      <c r="R32" s="34">
        <f>($B32/12)*(1+INDEX($C32:$E32,1,Control!$B$10))^R5*INDEX($B$13:$M$13,1,MOD(13-1,12)+1)</f>
        <v/>
      </c>
      <c r="S32" s="34">
        <f>($B32/12)*(1+INDEX($C32:$E32,1,Control!$B$10))^S5*INDEX($B$13:$M$13,1,MOD(14-1,12)+1)</f>
        <v/>
      </c>
      <c r="T32" s="34">
        <f>($B32/12)*(1+INDEX($C32:$E32,1,Control!$B$10))^T5*INDEX($B$13:$M$13,1,MOD(15-1,12)+1)</f>
        <v/>
      </c>
      <c r="U32" s="34">
        <f>($B32/12)*(1+INDEX($C32:$E32,1,Control!$B$10))^U5*INDEX($B$13:$M$13,1,MOD(16-1,12)+1)</f>
        <v/>
      </c>
      <c r="V32" s="34">
        <f>($B32/12)*(1+INDEX($C32:$E32,1,Control!$B$10))^V5*INDEX($B$13:$M$13,1,MOD(17-1,12)+1)</f>
        <v/>
      </c>
      <c r="W32" s="34">
        <f>($B32/12)*(1+INDEX($C32:$E32,1,Control!$B$10))^W5*INDEX($B$13:$M$13,1,MOD(18-1,12)+1)</f>
        <v/>
      </c>
      <c r="X32" s="34">
        <f>($B32/12)*(1+INDEX($C32:$E32,1,Control!$B$10))^X5*INDEX($B$13:$M$13,1,MOD(19-1,12)+1)</f>
        <v/>
      </c>
      <c r="Y32" s="34">
        <f>($B32/12)*(1+INDEX($C32:$E32,1,Control!$B$10))^Y5*INDEX($B$13:$M$13,1,MOD(20-1,12)+1)</f>
        <v/>
      </c>
      <c r="Z32" s="34">
        <f>($B32/12)*(1+INDEX($C32:$E32,1,Control!$B$10))^Z5*INDEX($B$13:$M$13,1,MOD(21-1,12)+1)</f>
        <v/>
      </c>
      <c r="AA32" s="34">
        <f>($B32/12)*(1+INDEX($C32:$E32,1,Control!$B$10))^AA5*INDEX($B$13:$M$13,1,MOD(22-1,12)+1)</f>
        <v/>
      </c>
      <c r="AB32" s="34">
        <f>($B32/12)*(1+INDEX($C32:$E32,1,Control!$B$10))^AB5*INDEX($B$13:$M$13,1,MOD(23-1,12)+1)</f>
        <v/>
      </c>
      <c r="AC32" s="34">
        <f>($B32/12)*(1+INDEX($C32:$E32,1,Control!$B$10))^AC5*INDEX($B$13:$M$13,1,MOD(24-1,12)+1)</f>
        <v/>
      </c>
      <c r="AD32" s="34">
        <f>($B32/12)*(1+INDEX($C32:$E32,1,Control!$B$10))^AD5*INDEX($B$13:$M$13,1,MOD(25-1,12)+1)</f>
        <v/>
      </c>
      <c r="AE32" s="34">
        <f>($B32/12)*(1+INDEX($C32:$E32,1,Control!$B$10))^AE5*INDEX($B$13:$M$13,1,MOD(26-1,12)+1)</f>
        <v/>
      </c>
      <c r="AF32" s="34">
        <f>($B32/12)*(1+INDEX($C32:$E32,1,Control!$B$10))^AF5*INDEX($B$13:$M$13,1,MOD(27-1,12)+1)</f>
        <v/>
      </c>
      <c r="AG32" s="34">
        <f>($B32/12)*(1+INDEX($C32:$E32,1,Control!$B$10))^AG5*INDEX($B$13:$M$13,1,MOD(28-1,12)+1)</f>
        <v/>
      </c>
      <c r="AH32" s="34">
        <f>($B32/12)*(1+INDEX($C32:$E32,1,Control!$B$10))^AH5*INDEX($B$13:$M$13,1,MOD(29-1,12)+1)</f>
        <v/>
      </c>
      <c r="AI32" s="34">
        <f>($B32/12)*(1+INDEX($C32:$E32,1,Control!$B$10))^AI5*INDEX($B$13:$M$13,1,MOD(30-1,12)+1)</f>
        <v/>
      </c>
      <c r="AJ32" s="34">
        <f>($B32/12)*(1+INDEX($C32:$E32,1,Control!$B$10))^AJ5*INDEX($B$13:$M$13,1,MOD(31-1,12)+1)</f>
        <v/>
      </c>
      <c r="AK32" s="34">
        <f>($B32/12)*(1+INDEX($C32:$E32,1,Control!$B$10))^AK5*INDEX($B$13:$M$13,1,MOD(32-1,12)+1)</f>
        <v/>
      </c>
      <c r="AL32" s="34">
        <f>($B32/12)*(1+INDEX($C32:$E32,1,Control!$B$10))^AL5*INDEX($B$13:$M$13,1,MOD(33-1,12)+1)</f>
        <v/>
      </c>
      <c r="AM32" s="34">
        <f>($B32/12)*(1+INDEX($C32:$E32,1,Control!$B$10))^AM5*INDEX($B$13:$M$13,1,MOD(34-1,12)+1)</f>
        <v/>
      </c>
      <c r="AN32" s="34">
        <f>($B32/12)*(1+INDEX($C32:$E32,1,Control!$B$10))^AN5*INDEX($B$13:$M$13,1,MOD(35-1,12)+1)</f>
        <v/>
      </c>
      <c r="AO32" s="34">
        <f>($B32/12)*(1+INDEX($C32:$E32,1,Control!$B$10))^AO5*INDEX($B$13:$M$13,1,MOD(36-1,12)+1)</f>
        <v/>
      </c>
      <c r="AP32" s="34">
        <f>($B32/12)*(1+INDEX($C32:$E32,1,Control!$B$10))^AP5*INDEX($B$13:$M$13,1,MOD(37-1,12)+1)</f>
        <v/>
      </c>
      <c r="AQ32" s="34">
        <f>($B32/12)*(1+INDEX($C32:$E32,1,Control!$B$10))^AQ5*INDEX($B$13:$M$13,1,MOD(38-1,12)+1)</f>
        <v/>
      </c>
      <c r="AR32" s="34">
        <f>($B32/12)*(1+INDEX($C32:$E32,1,Control!$B$10))^AR5*INDEX($B$13:$M$13,1,MOD(39-1,12)+1)</f>
        <v/>
      </c>
      <c r="AS32" s="34">
        <f>($B32/12)*(1+INDEX($C32:$E32,1,Control!$B$10))^AS5*INDEX($B$13:$M$13,1,MOD(40-1,12)+1)</f>
        <v/>
      </c>
      <c r="AT32" s="34">
        <f>($B32/12)*(1+INDEX($C32:$E32,1,Control!$B$10))^AT5*INDEX($B$13:$M$13,1,MOD(41-1,12)+1)</f>
        <v/>
      </c>
      <c r="AU32" s="34">
        <f>($B32/12)*(1+INDEX($C32:$E32,1,Control!$B$10))^AU5*INDEX($B$13:$M$13,1,MOD(42-1,12)+1)</f>
        <v/>
      </c>
      <c r="AV32" s="34">
        <f>($B32/12)*(1+INDEX($C32:$E32,1,Control!$B$10))^AV5*INDEX($B$13:$M$13,1,MOD(43-1,12)+1)</f>
        <v/>
      </c>
      <c r="AW32" s="34">
        <f>($B32/12)*(1+INDEX($C32:$E32,1,Control!$B$10))^AW5*INDEX($B$13:$M$13,1,MOD(44-1,12)+1)</f>
        <v/>
      </c>
      <c r="AX32" s="34">
        <f>($B32/12)*(1+INDEX($C32:$E32,1,Control!$B$10))^AX5*INDEX($B$13:$M$13,1,MOD(45-1,12)+1)</f>
        <v/>
      </c>
      <c r="AY32" s="34">
        <f>($B32/12)*(1+INDEX($C32:$E32,1,Control!$B$10))^AY5*INDEX($B$13:$M$13,1,MOD(46-1,12)+1)</f>
        <v/>
      </c>
      <c r="AZ32" s="34">
        <f>($B32/12)*(1+INDEX($C32:$E32,1,Control!$B$10))^AZ5*INDEX($B$13:$M$13,1,MOD(47-1,12)+1)</f>
        <v/>
      </c>
      <c r="BA32" s="34">
        <f>($B32/12)*(1+INDEX($C32:$E32,1,Control!$B$10))^BA5*INDEX($B$13:$M$13,1,MOD(48-1,12)+1)</f>
        <v/>
      </c>
      <c r="BB32" s="34">
        <f>($B32/12)*(1+INDEX($C32:$E32,1,Control!$B$10))^BB5*INDEX($B$13:$M$13,1,MOD(49-1,12)+1)</f>
        <v/>
      </c>
      <c r="BC32" s="34">
        <f>($B32/12)*(1+INDEX($C32:$E32,1,Control!$B$10))^BC5*INDEX($B$13:$M$13,1,MOD(50-1,12)+1)</f>
        <v/>
      </c>
      <c r="BD32" s="34">
        <f>($B32/12)*(1+INDEX($C32:$E32,1,Control!$B$10))^BD5*INDEX($B$13:$M$13,1,MOD(51-1,12)+1)</f>
        <v/>
      </c>
      <c r="BE32" s="34">
        <f>($B32/12)*(1+INDEX($C32:$E32,1,Control!$B$10))^BE5*INDEX($B$13:$M$13,1,MOD(52-1,12)+1)</f>
        <v/>
      </c>
      <c r="BF32" s="34">
        <f>($B32/12)*(1+INDEX($C32:$E32,1,Control!$B$10))^BF5*INDEX($B$13:$M$13,1,MOD(53-1,12)+1)</f>
        <v/>
      </c>
      <c r="BG32" s="34">
        <f>($B32/12)*(1+INDEX($C32:$E32,1,Control!$B$10))^BG5*INDEX($B$13:$M$13,1,MOD(54-1,12)+1)</f>
        <v/>
      </c>
      <c r="BH32" s="34">
        <f>($B32/12)*(1+INDEX($C32:$E32,1,Control!$B$10))^BH5*INDEX($B$13:$M$13,1,MOD(55-1,12)+1)</f>
        <v/>
      </c>
      <c r="BI32" s="34">
        <f>($B32/12)*(1+INDEX($C32:$E32,1,Control!$B$10))^BI5*INDEX($B$13:$M$13,1,MOD(56-1,12)+1)</f>
        <v/>
      </c>
      <c r="BJ32" s="34">
        <f>($B32/12)*(1+INDEX($C32:$E32,1,Control!$B$10))^BJ5*INDEX($B$13:$M$13,1,MOD(57-1,12)+1)</f>
        <v/>
      </c>
      <c r="BK32" s="34">
        <f>($B32/12)*(1+INDEX($C32:$E32,1,Control!$B$10))^BK5*INDEX($B$13:$M$13,1,MOD(58-1,12)+1)</f>
        <v/>
      </c>
      <c r="BL32" s="34">
        <f>($B32/12)*(1+INDEX($C32:$E32,1,Control!$B$10))^BL5*INDEX($B$13:$M$13,1,MOD(59-1,12)+1)</f>
        <v/>
      </c>
      <c r="BM32" s="34">
        <f>($B32/12)*(1+INDEX($C32:$E32,1,Control!$B$10))^BM5*INDEX($B$13:$M$13,1,MOD(60-1,12)+1)</f>
        <v/>
      </c>
      <c r="BN32" s="34">
        <f>($B32/12)*(1+INDEX($C32:$E32,1,Control!$B$10))^BN5*INDEX($B$13:$M$13,1,MOD(61-1,12)+1)</f>
        <v/>
      </c>
      <c r="BO32" s="34">
        <f>($B32/12)*(1+INDEX($C32:$E32,1,Control!$B$10))^BO5*INDEX($B$13:$M$13,1,MOD(62-1,12)+1)</f>
        <v/>
      </c>
      <c r="BP32" s="34">
        <f>($B32/12)*(1+INDEX($C32:$E32,1,Control!$B$10))^BP5*INDEX($B$13:$M$13,1,MOD(63-1,12)+1)</f>
        <v/>
      </c>
      <c r="BQ32" s="34">
        <f>($B32/12)*(1+INDEX($C32:$E32,1,Control!$B$10))^BQ5*INDEX($B$13:$M$13,1,MOD(64-1,12)+1)</f>
        <v/>
      </c>
      <c r="BR32" s="34">
        <f>($B32/12)*(1+INDEX($C32:$E32,1,Control!$B$10))^BR5*INDEX($B$13:$M$13,1,MOD(65-1,12)+1)</f>
        <v/>
      </c>
      <c r="BS32" s="34">
        <f>($B32/12)*(1+INDEX($C32:$E32,1,Control!$B$10))^BS5*INDEX($B$13:$M$13,1,MOD(66-1,12)+1)</f>
        <v/>
      </c>
      <c r="BT32" s="34">
        <f>($B32/12)*(1+INDEX($C32:$E32,1,Control!$B$10))^BT5*INDEX($B$13:$M$13,1,MOD(67-1,12)+1)</f>
        <v/>
      </c>
      <c r="BU32" s="34">
        <f>($B32/12)*(1+INDEX($C32:$E32,1,Control!$B$10))^BU5*INDEX($B$13:$M$13,1,MOD(68-1,12)+1)</f>
        <v/>
      </c>
      <c r="BV32" s="34">
        <f>($B32/12)*(1+INDEX($C32:$E32,1,Control!$B$10))^BV5*INDEX($B$13:$M$13,1,MOD(69-1,12)+1)</f>
        <v/>
      </c>
      <c r="BW32" s="34">
        <f>($B32/12)*(1+INDEX($C32:$E32,1,Control!$B$10))^BW5*INDEX($B$13:$M$13,1,MOD(70-1,12)+1)</f>
        <v/>
      </c>
      <c r="BX32" s="34">
        <f>($B32/12)*(1+INDEX($C32:$E32,1,Control!$B$10))^BX5*INDEX($B$13:$M$13,1,MOD(71-1,12)+1)</f>
        <v/>
      </c>
      <c r="BY32" s="34">
        <f>($B32/12)*(1+INDEX($C32:$E32,1,Control!$B$10))^BY5*INDEX($B$13:$M$13,1,MOD(72-1,12)+1)</f>
        <v/>
      </c>
      <c r="BZ32" s="34">
        <f>($B32/12)*(1+INDEX($C32:$E32,1,Control!$B$10))^BZ5*INDEX($B$13:$M$13,1,MOD(73-1,12)+1)</f>
        <v/>
      </c>
      <c r="CA32" s="34">
        <f>($B32/12)*(1+INDEX($C32:$E32,1,Control!$B$10))^CA5*INDEX($B$13:$M$13,1,MOD(74-1,12)+1)</f>
        <v/>
      </c>
      <c r="CB32" s="34">
        <f>($B32/12)*(1+INDEX($C32:$E32,1,Control!$B$10))^CB5*INDEX($B$13:$M$13,1,MOD(75-1,12)+1)</f>
        <v/>
      </c>
      <c r="CC32" s="34">
        <f>($B32/12)*(1+INDEX($C32:$E32,1,Control!$B$10))^CC5*INDEX($B$13:$M$13,1,MOD(76-1,12)+1)</f>
        <v/>
      </c>
      <c r="CD32" s="34">
        <f>($B32/12)*(1+INDEX($C32:$E32,1,Control!$B$10))^CD5*INDEX($B$13:$M$13,1,MOD(77-1,12)+1)</f>
        <v/>
      </c>
      <c r="CE32" s="34">
        <f>($B32/12)*(1+INDEX($C32:$E32,1,Control!$B$10))^CE5*INDEX($B$13:$M$13,1,MOD(78-1,12)+1)</f>
        <v/>
      </c>
      <c r="CF32" s="34">
        <f>($B32/12)*(1+INDEX($C32:$E32,1,Control!$B$10))^CF5*INDEX($B$13:$M$13,1,MOD(79-1,12)+1)</f>
        <v/>
      </c>
      <c r="CG32" s="34">
        <f>($B32/12)*(1+INDEX($C32:$E32,1,Control!$B$10))^CG5*INDEX($B$13:$M$13,1,MOD(80-1,12)+1)</f>
        <v/>
      </c>
      <c r="CH32" s="34">
        <f>($B32/12)*(1+INDEX($C32:$E32,1,Control!$B$10))^CH5*INDEX($B$13:$M$13,1,MOD(81-1,12)+1)</f>
        <v/>
      </c>
      <c r="CI32" s="34">
        <f>($B32/12)*(1+INDEX($C32:$E32,1,Control!$B$10))^CI5*INDEX($B$13:$M$13,1,MOD(82-1,12)+1)</f>
        <v/>
      </c>
      <c r="CJ32" s="34">
        <f>($B32/12)*(1+INDEX($C32:$E32,1,Control!$B$10))^CJ5*INDEX($B$13:$M$13,1,MOD(83-1,12)+1)</f>
        <v/>
      </c>
      <c r="CK32" s="34">
        <f>($B32/12)*(1+INDEX($C32:$E32,1,Control!$B$10))^CK5*INDEX($B$13:$M$13,1,MOD(84-1,12)+1)</f>
        <v/>
      </c>
      <c r="CL32" s="34">
        <f>($B32/12)*(1+INDEX($C32:$E32,1,Control!$B$10))^CL5*INDEX($B$13:$M$13,1,MOD(85-1,12)+1)</f>
        <v/>
      </c>
      <c r="CM32" s="34">
        <f>($B32/12)*(1+INDEX($C32:$E32,1,Control!$B$10))^CM5*INDEX($B$13:$M$13,1,MOD(86-1,12)+1)</f>
        <v/>
      </c>
      <c r="CN32" s="34">
        <f>($B32/12)*(1+INDEX($C32:$E32,1,Control!$B$10))^CN5*INDEX($B$13:$M$13,1,MOD(87-1,12)+1)</f>
        <v/>
      </c>
      <c r="CO32" s="34">
        <f>($B32/12)*(1+INDEX($C32:$E32,1,Control!$B$10))^CO5*INDEX($B$13:$M$13,1,MOD(88-1,12)+1)</f>
        <v/>
      </c>
      <c r="CP32" s="34">
        <f>($B32/12)*(1+INDEX($C32:$E32,1,Control!$B$10))^CP5*INDEX($B$13:$M$13,1,MOD(89-1,12)+1)</f>
        <v/>
      </c>
      <c r="CQ32" s="34">
        <f>($B32/12)*(1+INDEX($C32:$E32,1,Control!$B$10))^CQ5*INDEX($B$13:$M$13,1,MOD(90-1,12)+1)</f>
        <v/>
      </c>
      <c r="CR32" s="34">
        <f>($B32/12)*(1+INDEX($C32:$E32,1,Control!$B$10))^CR5*INDEX($B$13:$M$13,1,MOD(91-1,12)+1)</f>
        <v/>
      </c>
      <c r="CS32" s="34">
        <f>($B32/12)*(1+INDEX($C32:$E32,1,Control!$B$10))^CS5*INDEX($B$13:$M$13,1,MOD(92-1,12)+1)</f>
        <v/>
      </c>
      <c r="CT32" s="34">
        <f>($B32/12)*(1+INDEX($C32:$E32,1,Control!$B$10))^CT5*INDEX($B$13:$M$13,1,MOD(93-1,12)+1)</f>
        <v/>
      </c>
      <c r="CU32" s="34">
        <f>($B32/12)*(1+INDEX($C32:$E32,1,Control!$B$10))^CU5*INDEX($B$13:$M$13,1,MOD(94-1,12)+1)</f>
        <v/>
      </c>
      <c r="CV32" s="34">
        <f>($B32/12)*(1+INDEX($C32:$E32,1,Control!$B$10))^CV5*INDEX($B$13:$M$13,1,MOD(95-1,12)+1)</f>
        <v/>
      </c>
      <c r="CW32" s="34">
        <f>($B32/12)*(1+INDEX($C32:$E32,1,Control!$B$10))^CW5*INDEX($B$13:$M$13,1,MOD(96-1,12)+1)</f>
        <v/>
      </c>
      <c r="CX32" s="34">
        <f>($B32/12)*(1+INDEX($C32:$E32,1,Control!$B$10))^CX5*INDEX($B$13:$M$13,1,MOD(97-1,12)+1)</f>
        <v/>
      </c>
      <c r="CY32" s="34">
        <f>($B32/12)*(1+INDEX($C32:$E32,1,Control!$B$10))^CY5*INDEX($B$13:$M$13,1,MOD(98-1,12)+1)</f>
        <v/>
      </c>
      <c r="CZ32" s="34">
        <f>($B32/12)*(1+INDEX($C32:$E32,1,Control!$B$10))^CZ5*INDEX($B$13:$M$13,1,MOD(99-1,12)+1)</f>
        <v/>
      </c>
      <c r="DA32" s="34">
        <f>($B32/12)*(1+INDEX($C32:$E32,1,Control!$B$10))^DA5*INDEX($B$13:$M$13,1,MOD(100-1,12)+1)</f>
        <v/>
      </c>
      <c r="DB32" s="34">
        <f>($B32/12)*(1+INDEX($C32:$E32,1,Control!$B$10))^DB5*INDEX($B$13:$M$13,1,MOD(101-1,12)+1)</f>
        <v/>
      </c>
      <c r="DC32" s="34">
        <f>($B32/12)*(1+INDEX($C32:$E32,1,Control!$B$10))^DC5*INDEX($B$13:$M$13,1,MOD(102-1,12)+1)</f>
        <v/>
      </c>
      <c r="DD32" s="34">
        <f>($B32/12)*(1+INDEX($C32:$E32,1,Control!$B$10))^DD5*INDEX($B$13:$M$13,1,MOD(103-1,12)+1)</f>
        <v/>
      </c>
      <c r="DE32" s="34">
        <f>($B32/12)*(1+INDEX($C32:$E32,1,Control!$B$10))^DE5*INDEX($B$13:$M$13,1,MOD(104-1,12)+1)</f>
        <v/>
      </c>
      <c r="DF32" s="34">
        <f>($B32/12)*(1+INDEX($C32:$E32,1,Control!$B$10))^DF5*INDEX($B$13:$M$13,1,MOD(105-1,12)+1)</f>
        <v/>
      </c>
      <c r="DG32" s="34">
        <f>($B32/12)*(1+INDEX($C32:$E32,1,Control!$B$10))^DG5*INDEX($B$13:$M$13,1,MOD(106-1,12)+1)</f>
        <v/>
      </c>
      <c r="DH32" s="34">
        <f>($B32/12)*(1+INDEX($C32:$E32,1,Control!$B$10))^DH5*INDEX($B$13:$M$13,1,MOD(107-1,12)+1)</f>
        <v/>
      </c>
      <c r="DI32" s="34">
        <f>($B32/12)*(1+INDEX($C32:$E32,1,Control!$B$10))^DI5*INDEX($B$13:$M$13,1,MOD(108-1,12)+1)</f>
        <v/>
      </c>
      <c r="DJ32" s="34">
        <f>($B32/12)*(1+INDEX($C32:$E32,1,Control!$B$10))^DJ5*INDEX($B$13:$M$13,1,MOD(109-1,12)+1)</f>
        <v/>
      </c>
      <c r="DK32" s="34">
        <f>($B32/12)*(1+INDEX($C32:$E32,1,Control!$B$10))^DK5*INDEX($B$13:$M$13,1,MOD(110-1,12)+1)</f>
        <v/>
      </c>
      <c r="DL32" s="34">
        <f>($B32/12)*(1+INDEX($C32:$E32,1,Control!$B$10))^DL5*INDEX($B$13:$M$13,1,MOD(111-1,12)+1)</f>
        <v/>
      </c>
      <c r="DM32" s="34">
        <f>($B32/12)*(1+INDEX($C32:$E32,1,Control!$B$10))^DM5*INDEX($B$13:$M$13,1,MOD(112-1,12)+1)</f>
        <v/>
      </c>
      <c r="DN32" s="34">
        <f>($B32/12)*(1+INDEX($C32:$E32,1,Control!$B$10))^DN5*INDEX($B$13:$M$13,1,MOD(113-1,12)+1)</f>
        <v/>
      </c>
      <c r="DO32" s="34">
        <f>($B32/12)*(1+INDEX($C32:$E32,1,Control!$B$10))^DO5*INDEX($B$13:$M$13,1,MOD(114-1,12)+1)</f>
        <v/>
      </c>
      <c r="DP32" s="34">
        <f>($B32/12)*(1+INDEX($C32:$E32,1,Control!$B$10))^DP5*INDEX($B$13:$M$13,1,MOD(115-1,12)+1)</f>
        <v/>
      </c>
      <c r="DQ32" s="34">
        <f>($B32/12)*(1+INDEX($C32:$E32,1,Control!$B$10))^DQ5*INDEX($B$13:$M$13,1,MOD(116-1,12)+1)</f>
        <v/>
      </c>
      <c r="DR32" s="34">
        <f>($B32/12)*(1+INDEX($C32:$E32,1,Control!$B$10))^DR5*INDEX($B$13:$M$13,1,MOD(117-1,12)+1)</f>
        <v/>
      </c>
      <c r="DS32" s="34">
        <f>($B32/12)*(1+INDEX($C32:$E32,1,Control!$B$10))^DS5*INDEX($B$13:$M$13,1,MOD(118-1,12)+1)</f>
        <v/>
      </c>
      <c r="DT32" s="34">
        <f>($B32/12)*(1+INDEX($C32:$E32,1,Control!$B$10))^DT5*INDEX($B$13:$M$13,1,MOD(119-1,12)+1)</f>
        <v/>
      </c>
      <c r="DU32" s="34">
        <f>($B32/12)*(1+INDEX($C32:$E32,1,Control!$B$10))^DU5*INDEX($B$13:$M$13,1,MOD(120-1,12)+1)</f>
        <v/>
      </c>
    </row>
    <row r="33">
      <c r="A33" t="inlineStr">
        <is>
          <t>GoldCoast-Cans-OnTrade</t>
        </is>
      </c>
      <c r="B33" s="33" t="n">
        <v>12000</v>
      </c>
      <c r="C33" s="22" t="n">
        <v>0.04</v>
      </c>
      <c r="D33" s="22" t="n">
        <v>0.06</v>
      </c>
      <c r="E33" s="22" t="n">
        <v>0.02</v>
      </c>
      <c r="F33" s="34">
        <f>($B33/12)*(1+INDEX($C33:$E33,1,Control!$B$10))^F5*INDEX($B$13:$M$13,1,MOD(1-1,12)+1)</f>
        <v/>
      </c>
      <c r="G33" s="34">
        <f>($B33/12)*(1+INDEX($C33:$E33,1,Control!$B$10))^G5*INDEX($B$13:$M$13,1,MOD(2-1,12)+1)</f>
        <v/>
      </c>
      <c r="H33" s="34">
        <f>($B33/12)*(1+INDEX($C33:$E33,1,Control!$B$10))^H5*INDEX($B$13:$M$13,1,MOD(3-1,12)+1)</f>
        <v/>
      </c>
      <c r="I33" s="34">
        <f>($B33/12)*(1+INDEX($C33:$E33,1,Control!$B$10))^I5*INDEX($B$13:$M$13,1,MOD(4-1,12)+1)</f>
        <v/>
      </c>
      <c r="J33" s="34">
        <f>($B33/12)*(1+INDEX($C33:$E33,1,Control!$B$10))^J5*INDEX($B$13:$M$13,1,MOD(5-1,12)+1)</f>
        <v/>
      </c>
      <c r="K33" s="34">
        <f>($B33/12)*(1+INDEX($C33:$E33,1,Control!$B$10))^K5*INDEX($B$13:$M$13,1,MOD(6-1,12)+1)</f>
        <v/>
      </c>
      <c r="L33" s="34">
        <f>($B33/12)*(1+INDEX($C33:$E33,1,Control!$B$10))^L5*INDEX($B$13:$M$13,1,MOD(7-1,12)+1)</f>
        <v/>
      </c>
      <c r="M33" s="34">
        <f>($B33/12)*(1+INDEX($C33:$E33,1,Control!$B$10))^M5*INDEX($B$13:$M$13,1,MOD(8-1,12)+1)</f>
        <v/>
      </c>
      <c r="N33" s="34">
        <f>($B33/12)*(1+INDEX($C33:$E33,1,Control!$B$10))^N5*INDEX($B$13:$M$13,1,MOD(9-1,12)+1)</f>
        <v/>
      </c>
      <c r="O33" s="34">
        <f>($B33/12)*(1+INDEX($C33:$E33,1,Control!$B$10))^O5*INDEX($B$13:$M$13,1,MOD(10-1,12)+1)</f>
        <v/>
      </c>
      <c r="P33" s="34">
        <f>($B33/12)*(1+INDEX($C33:$E33,1,Control!$B$10))^P5*INDEX($B$13:$M$13,1,MOD(11-1,12)+1)</f>
        <v/>
      </c>
      <c r="Q33" s="34">
        <f>($B33/12)*(1+INDEX($C33:$E33,1,Control!$B$10))^Q5*INDEX($B$13:$M$13,1,MOD(12-1,12)+1)</f>
        <v/>
      </c>
      <c r="R33" s="34">
        <f>($B33/12)*(1+INDEX($C33:$E33,1,Control!$B$10))^R5*INDEX($B$13:$M$13,1,MOD(13-1,12)+1)</f>
        <v/>
      </c>
      <c r="S33" s="34">
        <f>($B33/12)*(1+INDEX($C33:$E33,1,Control!$B$10))^S5*INDEX($B$13:$M$13,1,MOD(14-1,12)+1)</f>
        <v/>
      </c>
      <c r="T33" s="34">
        <f>($B33/12)*(1+INDEX($C33:$E33,1,Control!$B$10))^T5*INDEX($B$13:$M$13,1,MOD(15-1,12)+1)</f>
        <v/>
      </c>
      <c r="U33" s="34">
        <f>($B33/12)*(1+INDEX($C33:$E33,1,Control!$B$10))^U5*INDEX($B$13:$M$13,1,MOD(16-1,12)+1)</f>
        <v/>
      </c>
      <c r="V33" s="34">
        <f>($B33/12)*(1+INDEX($C33:$E33,1,Control!$B$10))^V5*INDEX($B$13:$M$13,1,MOD(17-1,12)+1)</f>
        <v/>
      </c>
      <c r="W33" s="34">
        <f>($B33/12)*(1+INDEX($C33:$E33,1,Control!$B$10))^W5*INDEX($B$13:$M$13,1,MOD(18-1,12)+1)</f>
        <v/>
      </c>
      <c r="X33" s="34">
        <f>($B33/12)*(1+INDEX($C33:$E33,1,Control!$B$10))^X5*INDEX($B$13:$M$13,1,MOD(19-1,12)+1)</f>
        <v/>
      </c>
      <c r="Y33" s="34">
        <f>($B33/12)*(1+INDEX($C33:$E33,1,Control!$B$10))^Y5*INDEX($B$13:$M$13,1,MOD(20-1,12)+1)</f>
        <v/>
      </c>
      <c r="Z33" s="34">
        <f>($B33/12)*(1+INDEX($C33:$E33,1,Control!$B$10))^Z5*INDEX($B$13:$M$13,1,MOD(21-1,12)+1)</f>
        <v/>
      </c>
      <c r="AA33" s="34">
        <f>($B33/12)*(1+INDEX($C33:$E33,1,Control!$B$10))^AA5*INDEX($B$13:$M$13,1,MOD(22-1,12)+1)</f>
        <v/>
      </c>
      <c r="AB33" s="34">
        <f>($B33/12)*(1+INDEX($C33:$E33,1,Control!$B$10))^AB5*INDEX($B$13:$M$13,1,MOD(23-1,12)+1)</f>
        <v/>
      </c>
      <c r="AC33" s="34">
        <f>($B33/12)*(1+INDEX($C33:$E33,1,Control!$B$10))^AC5*INDEX($B$13:$M$13,1,MOD(24-1,12)+1)</f>
        <v/>
      </c>
      <c r="AD33" s="34">
        <f>($B33/12)*(1+INDEX($C33:$E33,1,Control!$B$10))^AD5*INDEX($B$13:$M$13,1,MOD(25-1,12)+1)</f>
        <v/>
      </c>
      <c r="AE33" s="34">
        <f>($B33/12)*(1+INDEX($C33:$E33,1,Control!$B$10))^AE5*INDEX($B$13:$M$13,1,MOD(26-1,12)+1)</f>
        <v/>
      </c>
      <c r="AF33" s="34">
        <f>($B33/12)*(1+INDEX($C33:$E33,1,Control!$B$10))^AF5*INDEX($B$13:$M$13,1,MOD(27-1,12)+1)</f>
        <v/>
      </c>
      <c r="AG33" s="34">
        <f>($B33/12)*(1+INDEX($C33:$E33,1,Control!$B$10))^AG5*INDEX($B$13:$M$13,1,MOD(28-1,12)+1)</f>
        <v/>
      </c>
      <c r="AH33" s="34">
        <f>($B33/12)*(1+INDEX($C33:$E33,1,Control!$B$10))^AH5*INDEX($B$13:$M$13,1,MOD(29-1,12)+1)</f>
        <v/>
      </c>
      <c r="AI33" s="34">
        <f>($B33/12)*(1+INDEX($C33:$E33,1,Control!$B$10))^AI5*INDEX($B$13:$M$13,1,MOD(30-1,12)+1)</f>
        <v/>
      </c>
      <c r="AJ33" s="34">
        <f>($B33/12)*(1+INDEX($C33:$E33,1,Control!$B$10))^AJ5*INDEX($B$13:$M$13,1,MOD(31-1,12)+1)</f>
        <v/>
      </c>
      <c r="AK33" s="34">
        <f>($B33/12)*(1+INDEX($C33:$E33,1,Control!$B$10))^AK5*INDEX($B$13:$M$13,1,MOD(32-1,12)+1)</f>
        <v/>
      </c>
      <c r="AL33" s="34">
        <f>($B33/12)*(1+INDEX($C33:$E33,1,Control!$B$10))^AL5*INDEX($B$13:$M$13,1,MOD(33-1,12)+1)</f>
        <v/>
      </c>
      <c r="AM33" s="34">
        <f>($B33/12)*(1+INDEX($C33:$E33,1,Control!$B$10))^AM5*INDEX($B$13:$M$13,1,MOD(34-1,12)+1)</f>
        <v/>
      </c>
      <c r="AN33" s="34">
        <f>($B33/12)*(1+INDEX($C33:$E33,1,Control!$B$10))^AN5*INDEX($B$13:$M$13,1,MOD(35-1,12)+1)</f>
        <v/>
      </c>
      <c r="AO33" s="34">
        <f>($B33/12)*(1+INDEX($C33:$E33,1,Control!$B$10))^AO5*INDEX($B$13:$M$13,1,MOD(36-1,12)+1)</f>
        <v/>
      </c>
      <c r="AP33" s="34">
        <f>($B33/12)*(1+INDEX($C33:$E33,1,Control!$B$10))^AP5*INDEX($B$13:$M$13,1,MOD(37-1,12)+1)</f>
        <v/>
      </c>
      <c r="AQ33" s="34">
        <f>($B33/12)*(1+INDEX($C33:$E33,1,Control!$B$10))^AQ5*INDEX($B$13:$M$13,1,MOD(38-1,12)+1)</f>
        <v/>
      </c>
      <c r="AR33" s="34">
        <f>($B33/12)*(1+INDEX($C33:$E33,1,Control!$B$10))^AR5*INDEX($B$13:$M$13,1,MOD(39-1,12)+1)</f>
        <v/>
      </c>
      <c r="AS33" s="34">
        <f>($B33/12)*(1+INDEX($C33:$E33,1,Control!$B$10))^AS5*INDEX($B$13:$M$13,1,MOD(40-1,12)+1)</f>
        <v/>
      </c>
      <c r="AT33" s="34">
        <f>($B33/12)*(1+INDEX($C33:$E33,1,Control!$B$10))^AT5*INDEX($B$13:$M$13,1,MOD(41-1,12)+1)</f>
        <v/>
      </c>
      <c r="AU33" s="34">
        <f>($B33/12)*(1+INDEX($C33:$E33,1,Control!$B$10))^AU5*INDEX($B$13:$M$13,1,MOD(42-1,12)+1)</f>
        <v/>
      </c>
      <c r="AV33" s="34">
        <f>($B33/12)*(1+INDEX($C33:$E33,1,Control!$B$10))^AV5*INDEX($B$13:$M$13,1,MOD(43-1,12)+1)</f>
        <v/>
      </c>
      <c r="AW33" s="34">
        <f>($B33/12)*(1+INDEX($C33:$E33,1,Control!$B$10))^AW5*INDEX($B$13:$M$13,1,MOD(44-1,12)+1)</f>
        <v/>
      </c>
      <c r="AX33" s="34">
        <f>($B33/12)*(1+INDEX($C33:$E33,1,Control!$B$10))^AX5*INDEX($B$13:$M$13,1,MOD(45-1,12)+1)</f>
        <v/>
      </c>
      <c r="AY33" s="34">
        <f>($B33/12)*(1+INDEX($C33:$E33,1,Control!$B$10))^AY5*INDEX($B$13:$M$13,1,MOD(46-1,12)+1)</f>
        <v/>
      </c>
      <c r="AZ33" s="34">
        <f>($B33/12)*(1+INDEX($C33:$E33,1,Control!$B$10))^AZ5*INDEX($B$13:$M$13,1,MOD(47-1,12)+1)</f>
        <v/>
      </c>
      <c r="BA33" s="34">
        <f>($B33/12)*(1+INDEX($C33:$E33,1,Control!$B$10))^BA5*INDEX($B$13:$M$13,1,MOD(48-1,12)+1)</f>
        <v/>
      </c>
      <c r="BB33" s="34">
        <f>($B33/12)*(1+INDEX($C33:$E33,1,Control!$B$10))^BB5*INDEX($B$13:$M$13,1,MOD(49-1,12)+1)</f>
        <v/>
      </c>
      <c r="BC33" s="34">
        <f>($B33/12)*(1+INDEX($C33:$E33,1,Control!$B$10))^BC5*INDEX($B$13:$M$13,1,MOD(50-1,12)+1)</f>
        <v/>
      </c>
      <c r="BD33" s="34">
        <f>($B33/12)*(1+INDEX($C33:$E33,1,Control!$B$10))^BD5*INDEX($B$13:$M$13,1,MOD(51-1,12)+1)</f>
        <v/>
      </c>
      <c r="BE33" s="34">
        <f>($B33/12)*(1+INDEX($C33:$E33,1,Control!$B$10))^BE5*INDEX($B$13:$M$13,1,MOD(52-1,12)+1)</f>
        <v/>
      </c>
      <c r="BF33" s="34">
        <f>($B33/12)*(1+INDEX($C33:$E33,1,Control!$B$10))^BF5*INDEX($B$13:$M$13,1,MOD(53-1,12)+1)</f>
        <v/>
      </c>
      <c r="BG33" s="34">
        <f>($B33/12)*(1+INDEX($C33:$E33,1,Control!$B$10))^BG5*INDEX($B$13:$M$13,1,MOD(54-1,12)+1)</f>
        <v/>
      </c>
      <c r="BH33" s="34">
        <f>($B33/12)*(1+INDEX($C33:$E33,1,Control!$B$10))^BH5*INDEX($B$13:$M$13,1,MOD(55-1,12)+1)</f>
        <v/>
      </c>
      <c r="BI33" s="34">
        <f>($B33/12)*(1+INDEX($C33:$E33,1,Control!$B$10))^BI5*INDEX($B$13:$M$13,1,MOD(56-1,12)+1)</f>
        <v/>
      </c>
      <c r="BJ33" s="34">
        <f>($B33/12)*(1+INDEX($C33:$E33,1,Control!$B$10))^BJ5*INDEX($B$13:$M$13,1,MOD(57-1,12)+1)</f>
        <v/>
      </c>
      <c r="BK33" s="34">
        <f>($B33/12)*(1+INDEX($C33:$E33,1,Control!$B$10))^BK5*INDEX($B$13:$M$13,1,MOD(58-1,12)+1)</f>
        <v/>
      </c>
      <c r="BL33" s="34">
        <f>($B33/12)*(1+INDEX($C33:$E33,1,Control!$B$10))^BL5*INDEX($B$13:$M$13,1,MOD(59-1,12)+1)</f>
        <v/>
      </c>
      <c r="BM33" s="34">
        <f>($B33/12)*(1+INDEX($C33:$E33,1,Control!$B$10))^BM5*INDEX($B$13:$M$13,1,MOD(60-1,12)+1)</f>
        <v/>
      </c>
      <c r="BN33" s="34">
        <f>($B33/12)*(1+INDEX($C33:$E33,1,Control!$B$10))^BN5*INDEX($B$13:$M$13,1,MOD(61-1,12)+1)</f>
        <v/>
      </c>
      <c r="BO33" s="34">
        <f>($B33/12)*(1+INDEX($C33:$E33,1,Control!$B$10))^BO5*INDEX($B$13:$M$13,1,MOD(62-1,12)+1)</f>
        <v/>
      </c>
      <c r="BP33" s="34">
        <f>($B33/12)*(1+INDEX($C33:$E33,1,Control!$B$10))^BP5*INDEX($B$13:$M$13,1,MOD(63-1,12)+1)</f>
        <v/>
      </c>
      <c r="BQ33" s="34">
        <f>($B33/12)*(1+INDEX($C33:$E33,1,Control!$B$10))^BQ5*INDEX($B$13:$M$13,1,MOD(64-1,12)+1)</f>
        <v/>
      </c>
      <c r="BR33" s="34">
        <f>($B33/12)*(1+INDEX($C33:$E33,1,Control!$B$10))^BR5*INDEX($B$13:$M$13,1,MOD(65-1,12)+1)</f>
        <v/>
      </c>
      <c r="BS33" s="34">
        <f>($B33/12)*(1+INDEX($C33:$E33,1,Control!$B$10))^BS5*INDEX($B$13:$M$13,1,MOD(66-1,12)+1)</f>
        <v/>
      </c>
      <c r="BT33" s="34">
        <f>($B33/12)*(1+INDEX($C33:$E33,1,Control!$B$10))^BT5*INDEX($B$13:$M$13,1,MOD(67-1,12)+1)</f>
        <v/>
      </c>
      <c r="BU33" s="34">
        <f>($B33/12)*(1+INDEX($C33:$E33,1,Control!$B$10))^BU5*INDEX($B$13:$M$13,1,MOD(68-1,12)+1)</f>
        <v/>
      </c>
      <c r="BV33" s="34">
        <f>($B33/12)*(1+INDEX($C33:$E33,1,Control!$B$10))^BV5*INDEX($B$13:$M$13,1,MOD(69-1,12)+1)</f>
        <v/>
      </c>
      <c r="BW33" s="34">
        <f>($B33/12)*(1+INDEX($C33:$E33,1,Control!$B$10))^BW5*INDEX($B$13:$M$13,1,MOD(70-1,12)+1)</f>
        <v/>
      </c>
      <c r="BX33" s="34">
        <f>($B33/12)*(1+INDEX($C33:$E33,1,Control!$B$10))^BX5*INDEX($B$13:$M$13,1,MOD(71-1,12)+1)</f>
        <v/>
      </c>
      <c r="BY33" s="34">
        <f>($B33/12)*(1+INDEX($C33:$E33,1,Control!$B$10))^BY5*INDEX($B$13:$M$13,1,MOD(72-1,12)+1)</f>
        <v/>
      </c>
      <c r="BZ33" s="34">
        <f>($B33/12)*(1+INDEX($C33:$E33,1,Control!$B$10))^BZ5*INDEX($B$13:$M$13,1,MOD(73-1,12)+1)</f>
        <v/>
      </c>
      <c r="CA33" s="34">
        <f>($B33/12)*(1+INDEX($C33:$E33,1,Control!$B$10))^CA5*INDEX($B$13:$M$13,1,MOD(74-1,12)+1)</f>
        <v/>
      </c>
      <c r="CB33" s="34">
        <f>($B33/12)*(1+INDEX($C33:$E33,1,Control!$B$10))^CB5*INDEX($B$13:$M$13,1,MOD(75-1,12)+1)</f>
        <v/>
      </c>
      <c r="CC33" s="34">
        <f>($B33/12)*(1+INDEX($C33:$E33,1,Control!$B$10))^CC5*INDEX($B$13:$M$13,1,MOD(76-1,12)+1)</f>
        <v/>
      </c>
      <c r="CD33" s="34">
        <f>($B33/12)*(1+INDEX($C33:$E33,1,Control!$B$10))^CD5*INDEX($B$13:$M$13,1,MOD(77-1,12)+1)</f>
        <v/>
      </c>
      <c r="CE33" s="34">
        <f>($B33/12)*(1+INDEX($C33:$E33,1,Control!$B$10))^CE5*INDEX($B$13:$M$13,1,MOD(78-1,12)+1)</f>
        <v/>
      </c>
      <c r="CF33" s="34">
        <f>($B33/12)*(1+INDEX($C33:$E33,1,Control!$B$10))^CF5*INDEX($B$13:$M$13,1,MOD(79-1,12)+1)</f>
        <v/>
      </c>
      <c r="CG33" s="34">
        <f>($B33/12)*(1+INDEX($C33:$E33,1,Control!$B$10))^CG5*INDEX($B$13:$M$13,1,MOD(80-1,12)+1)</f>
        <v/>
      </c>
      <c r="CH33" s="34">
        <f>($B33/12)*(1+INDEX($C33:$E33,1,Control!$B$10))^CH5*INDEX($B$13:$M$13,1,MOD(81-1,12)+1)</f>
        <v/>
      </c>
      <c r="CI33" s="34">
        <f>($B33/12)*(1+INDEX($C33:$E33,1,Control!$B$10))^CI5*INDEX($B$13:$M$13,1,MOD(82-1,12)+1)</f>
        <v/>
      </c>
      <c r="CJ33" s="34">
        <f>($B33/12)*(1+INDEX($C33:$E33,1,Control!$B$10))^CJ5*INDEX($B$13:$M$13,1,MOD(83-1,12)+1)</f>
        <v/>
      </c>
      <c r="CK33" s="34">
        <f>($B33/12)*(1+INDEX($C33:$E33,1,Control!$B$10))^CK5*INDEX($B$13:$M$13,1,MOD(84-1,12)+1)</f>
        <v/>
      </c>
      <c r="CL33" s="34">
        <f>($B33/12)*(1+INDEX($C33:$E33,1,Control!$B$10))^CL5*INDEX($B$13:$M$13,1,MOD(85-1,12)+1)</f>
        <v/>
      </c>
      <c r="CM33" s="34">
        <f>($B33/12)*(1+INDEX($C33:$E33,1,Control!$B$10))^CM5*INDEX($B$13:$M$13,1,MOD(86-1,12)+1)</f>
        <v/>
      </c>
      <c r="CN33" s="34">
        <f>($B33/12)*(1+INDEX($C33:$E33,1,Control!$B$10))^CN5*INDEX($B$13:$M$13,1,MOD(87-1,12)+1)</f>
        <v/>
      </c>
      <c r="CO33" s="34">
        <f>($B33/12)*(1+INDEX($C33:$E33,1,Control!$B$10))^CO5*INDEX($B$13:$M$13,1,MOD(88-1,12)+1)</f>
        <v/>
      </c>
      <c r="CP33" s="34">
        <f>($B33/12)*(1+INDEX($C33:$E33,1,Control!$B$10))^CP5*INDEX($B$13:$M$13,1,MOD(89-1,12)+1)</f>
        <v/>
      </c>
      <c r="CQ33" s="34">
        <f>($B33/12)*(1+INDEX($C33:$E33,1,Control!$B$10))^CQ5*INDEX($B$13:$M$13,1,MOD(90-1,12)+1)</f>
        <v/>
      </c>
      <c r="CR33" s="34">
        <f>($B33/12)*(1+INDEX($C33:$E33,1,Control!$B$10))^CR5*INDEX($B$13:$M$13,1,MOD(91-1,12)+1)</f>
        <v/>
      </c>
      <c r="CS33" s="34">
        <f>($B33/12)*(1+INDEX($C33:$E33,1,Control!$B$10))^CS5*INDEX($B$13:$M$13,1,MOD(92-1,12)+1)</f>
        <v/>
      </c>
      <c r="CT33" s="34">
        <f>($B33/12)*(1+INDEX($C33:$E33,1,Control!$B$10))^CT5*INDEX($B$13:$M$13,1,MOD(93-1,12)+1)</f>
        <v/>
      </c>
      <c r="CU33" s="34">
        <f>($B33/12)*(1+INDEX($C33:$E33,1,Control!$B$10))^CU5*INDEX($B$13:$M$13,1,MOD(94-1,12)+1)</f>
        <v/>
      </c>
      <c r="CV33" s="34">
        <f>($B33/12)*(1+INDEX($C33:$E33,1,Control!$B$10))^CV5*INDEX($B$13:$M$13,1,MOD(95-1,12)+1)</f>
        <v/>
      </c>
      <c r="CW33" s="34">
        <f>($B33/12)*(1+INDEX($C33:$E33,1,Control!$B$10))^CW5*INDEX($B$13:$M$13,1,MOD(96-1,12)+1)</f>
        <v/>
      </c>
      <c r="CX33" s="34">
        <f>($B33/12)*(1+INDEX($C33:$E33,1,Control!$B$10))^CX5*INDEX($B$13:$M$13,1,MOD(97-1,12)+1)</f>
        <v/>
      </c>
      <c r="CY33" s="34">
        <f>($B33/12)*(1+INDEX($C33:$E33,1,Control!$B$10))^CY5*INDEX($B$13:$M$13,1,MOD(98-1,12)+1)</f>
        <v/>
      </c>
      <c r="CZ33" s="34">
        <f>($B33/12)*(1+INDEX($C33:$E33,1,Control!$B$10))^CZ5*INDEX($B$13:$M$13,1,MOD(99-1,12)+1)</f>
        <v/>
      </c>
      <c r="DA33" s="34">
        <f>($B33/12)*(1+INDEX($C33:$E33,1,Control!$B$10))^DA5*INDEX($B$13:$M$13,1,MOD(100-1,12)+1)</f>
        <v/>
      </c>
      <c r="DB33" s="34">
        <f>($B33/12)*(1+INDEX($C33:$E33,1,Control!$B$10))^DB5*INDEX($B$13:$M$13,1,MOD(101-1,12)+1)</f>
        <v/>
      </c>
      <c r="DC33" s="34">
        <f>($B33/12)*(1+INDEX($C33:$E33,1,Control!$B$10))^DC5*INDEX($B$13:$M$13,1,MOD(102-1,12)+1)</f>
        <v/>
      </c>
      <c r="DD33" s="34">
        <f>($B33/12)*(1+INDEX($C33:$E33,1,Control!$B$10))^DD5*INDEX($B$13:$M$13,1,MOD(103-1,12)+1)</f>
        <v/>
      </c>
      <c r="DE33" s="34">
        <f>($B33/12)*(1+INDEX($C33:$E33,1,Control!$B$10))^DE5*INDEX($B$13:$M$13,1,MOD(104-1,12)+1)</f>
        <v/>
      </c>
      <c r="DF33" s="34">
        <f>($B33/12)*(1+INDEX($C33:$E33,1,Control!$B$10))^DF5*INDEX($B$13:$M$13,1,MOD(105-1,12)+1)</f>
        <v/>
      </c>
      <c r="DG33" s="34">
        <f>($B33/12)*(1+INDEX($C33:$E33,1,Control!$B$10))^DG5*INDEX($B$13:$M$13,1,MOD(106-1,12)+1)</f>
        <v/>
      </c>
      <c r="DH33" s="34">
        <f>($B33/12)*(1+INDEX($C33:$E33,1,Control!$B$10))^DH5*INDEX($B$13:$M$13,1,MOD(107-1,12)+1)</f>
        <v/>
      </c>
      <c r="DI33" s="34">
        <f>($B33/12)*(1+INDEX($C33:$E33,1,Control!$B$10))^DI5*INDEX($B$13:$M$13,1,MOD(108-1,12)+1)</f>
        <v/>
      </c>
      <c r="DJ33" s="34">
        <f>($B33/12)*(1+INDEX($C33:$E33,1,Control!$B$10))^DJ5*INDEX($B$13:$M$13,1,MOD(109-1,12)+1)</f>
        <v/>
      </c>
      <c r="DK33" s="34">
        <f>($B33/12)*(1+INDEX($C33:$E33,1,Control!$B$10))^DK5*INDEX($B$13:$M$13,1,MOD(110-1,12)+1)</f>
        <v/>
      </c>
      <c r="DL33" s="34">
        <f>($B33/12)*(1+INDEX($C33:$E33,1,Control!$B$10))^DL5*INDEX($B$13:$M$13,1,MOD(111-1,12)+1)</f>
        <v/>
      </c>
      <c r="DM33" s="34">
        <f>($B33/12)*(1+INDEX($C33:$E33,1,Control!$B$10))^DM5*INDEX($B$13:$M$13,1,MOD(112-1,12)+1)</f>
        <v/>
      </c>
      <c r="DN33" s="34">
        <f>($B33/12)*(1+INDEX($C33:$E33,1,Control!$B$10))^DN5*INDEX($B$13:$M$13,1,MOD(113-1,12)+1)</f>
        <v/>
      </c>
      <c r="DO33" s="34">
        <f>($B33/12)*(1+INDEX($C33:$E33,1,Control!$B$10))^DO5*INDEX($B$13:$M$13,1,MOD(114-1,12)+1)</f>
        <v/>
      </c>
      <c r="DP33" s="34">
        <f>($B33/12)*(1+INDEX($C33:$E33,1,Control!$B$10))^DP5*INDEX($B$13:$M$13,1,MOD(115-1,12)+1)</f>
        <v/>
      </c>
      <c r="DQ33" s="34">
        <f>($B33/12)*(1+INDEX($C33:$E33,1,Control!$B$10))^DQ5*INDEX($B$13:$M$13,1,MOD(116-1,12)+1)</f>
        <v/>
      </c>
      <c r="DR33" s="34">
        <f>($B33/12)*(1+INDEX($C33:$E33,1,Control!$B$10))^DR5*INDEX($B$13:$M$13,1,MOD(117-1,12)+1)</f>
        <v/>
      </c>
      <c r="DS33" s="34">
        <f>($B33/12)*(1+INDEX($C33:$E33,1,Control!$B$10))^DS5*INDEX($B$13:$M$13,1,MOD(118-1,12)+1)</f>
        <v/>
      </c>
      <c r="DT33" s="34">
        <f>($B33/12)*(1+INDEX($C33:$E33,1,Control!$B$10))^DT5*INDEX($B$13:$M$13,1,MOD(119-1,12)+1)</f>
        <v/>
      </c>
      <c r="DU33" s="34">
        <f>($B33/12)*(1+INDEX($C33:$E33,1,Control!$B$10))^DU5*INDEX($B$13:$M$13,1,MOD(120-1,12)+1)</f>
        <v/>
      </c>
    </row>
    <row r="34">
      <c r="A34" t="inlineStr">
        <is>
          <t>GoldCoast-Cans-OffTrade</t>
        </is>
      </c>
      <c r="B34" s="33" t="n">
        <v>45000</v>
      </c>
      <c r="C34" s="22" t="n">
        <v>0.04</v>
      </c>
      <c r="D34" s="22" t="n">
        <v>0.06</v>
      </c>
      <c r="E34" s="22" t="n">
        <v>0.02</v>
      </c>
      <c r="F34" s="34">
        <f>($B34/12)*(1+INDEX($C34:$E34,1,Control!$B$10))^F5*INDEX($B$13:$M$13,1,MOD(1-1,12)+1)</f>
        <v/>
      </c>
      <c r="G34" s="34">
        <f>($B34/12)*(1+INDEX($C34:$E34,1,Control!$B$10))^G5*INDEX($B$13:$M$13,1,MOD(2-1,12)+1)</f>
        <v/>
      </c>
      <c r="H34" s="34">
        <f>($B34/12)*(1+INDEX($C34:$E34,1,Control!$B$10))^H5*INDEX($B$13:$M$13,1,MOD(3-1,12)+1)</f>
        <v/>
      </c>
      <c r="I34" s="34">
        <f>($B34/12)*(1+INDEX($C34:$E34,1,Control!$B$10))^I5*INDEX($B$13:$M$13,1,MOD(4-1,12)+1)</f>
        <v/>
      </c>
      <c r="J34" s="34">
        <f>($B34/12)*(1+INDEX($C34:$E34,1,Control!$B$10))^J5*INDEX($B$13:$M$13,1,MOD(5-1,12)+1)</f>
        <v/>
      </c>
      <c r="K34" s="34">
        <f>($B34/12)*(1+INDEX($C34:$E34,1,Control!$B$10))^K5*INDEX($B$13:$M$13,1,MOD(6-1,12)+1)</f>
        <v/>
      </c>
      <c r="L34" s="34">
        <f>($B34/12)*(1+INDEX($C34:$E34,1,Control!$B$10))^L5*INDEX($B$13:$M$13,1,MOD(7-1,12)+1)</f>
        <v/>
      </c>
      <c r="M34" s="34">
        <f>($B34/12)*(1+INDEX($C34:$E34,1,Control!$B$10))^M5*INDEX($B$13:$M$13,1,MOD(8-1,12)+1)</f>
        <v/>
      </c>
      <c r="N34" s="34">
        <f>($B34/12)*(1+INDEX($C34:$E34,1,Control!$B$10))^N5*INDEX($B$13:$M$13,1,MOD(9-1,12)+1)</f>
        <v/>
      </c>
      <c r="O34" s="34">
        <f>($B34/12)*(1+INDEX($C34:$E34,1,Control!$B$10))^O5*INDEX($B$13:$M$13,1,MOD(10-1,12)+1)</f>
        <v/>
      </c>
      <c r="P34" s="34">
        <f>($B34/12)*(1+INDEX($C34:$E34,1,Control!$B$10))^P5*INDEX($B$13:$M$13,1,MOD(11-1,12)+1)</f>
        <v/>
      </c>
      <c r="Q34" s="34">
        <f>($B34/12)*(1+INDEX($C34:$E34,1,Control!$B$10))^Q5*INDEX($B$13:$M$13,1,MOD(12-1,12)+1)</f>
        <v/>
      </c>
      <c r="R34" s="34">
        <f>($B34/12)*(1+INDEX($C34:$E34,1,Control!$B$10))^R5*INDEX($B$13:$M$13,1,MOD(13-1,12)+1)</f>
        <v/>
      </c>
      <c r="S34" s="34">
        <f>($B34/12)*(1+INDEX($C34:$E34,1,Control!$B$10))^S5*INDEX($B$13:$M$13,1,MOD(14-1,12)+1)</f>
        <v/>
      </c>
      <c r="T34" s="34">
        <f>($B34/12)*(1+INDEX($C34:$E34,1,Control!$B$10))^T5*INDEX($B$13:$M$13,1,MOD(15-1,12)+1)</f>
        <v/>
      </c>
      <c r="U34" s="34">
        <f>($B34/12)*(1+INDEX($C34:$E34,1,Control!$B$10))^U5*INDEX($B$13:$M$13,1,MOD(16-1,12)+1)</f>
        <v/>
      </c>
      <c r="V34" s="34">
        <f>($B34/12)*(1+INDEX($C34:$E34,1,Control!$B$10))^V5*INDEX($B$13:$M$13,1,MOD(17-1,12)+1)</f>
        <v/>
      </c>
      <c r="W34" s="34">
        <f>($B34/12)*(1+INDEX($C34:$E34,1,Control!$B$10))^W5*INDEX($B$13:$M$13,1,MOD(18-1,12)+1)</f>
        <v/>
      </c>
      <c r="X34" s="34">
        <f>($B34/12)*(1+INDEX($C34:$E34,1,Control!$B$10))^X5*INDEX($B$13:$M$13,1,MOD(19-1,12)+1)</f>
        <v/>
      </c>
      <c r="Y34" s="34">
        <f>($B34/12)*(1+INDEX($C34:$E34,1,Control!$B$10))^Y5*INDEX($B$13:$M$13,1,MOD(20-1,12)+1)</f>
        <v/>
      </c>
      <c r="Z34" s="34">
        <f>($B34/12)*(1+INDEX($C34:$E34,1,Control!$B$10))^Z5*INDEX($B$13:$M$13,1,MOD(21-1,12)+1)</f>
        <v/>
      </c>
      <c r="AA34" s="34">
        <f>($B34/12)*(1+INDEX($C34:$E34,1,Control!$B$10))^AA5*INDEX($B$13:$M$13,1,MOD(22-1,12)+1)</f>
        <v/>
      </c>
      <c r="AB34" s="34">
        <f>($B34/12)*(1+INDEX($C34:$E34,1,Control!$B$10))^AB5*INDEX($B$13:$M$13,1,MOD(23-1,12)+1)</f>
        <v/>
      </c>
      <c r="AC34" s="34">
        <f>($B34/12)*(1+INDEX($C34:$E34,1,Control!$B$10))^AC5*INDEX($B$13:$M$13,1,MOD(24-1,12)+1)</f>
        <v/>
      </c>
      <c r="AD34" s="34">
        <f>($B34/12)*(1+INDEX($C34:$E34,1,Control!$B$10))^AD5*INDEX($B$13:$M$13,1,MOD(25-1,12)+1)</f>
        <v/>
      </c>
      <c r="AE34" s="34">
        <f>($B34/12)*(1+INDEX($C34:$E34,1,Control!$B$10))^AE5*INDEX($B$13:$M$13,1,MOD(26-1,12)+1)</f>
        <v/>
      </c>
      <c r="AF34" s="34">
        <f>($B34/12)*(1+INDEX($C34:$E34,1,Control!$B$10))^AF5*INDEX($B$13:$M$13,1,MOD(27-1,12)+1)</f>
        <v/>
      </c>
      <c r="AG34" s="34">
        <f>($B34/12)*(1+INDEX($C34:$E34,1,Control!$B$10))^AG5*INDEX($B$13:$M$13,1,MOD(28-1,12)+1)</f>
        <v/>
      </c>
      <c r="AH34" s="34">
        <f>($B34/12)*(1+INDEX($C34:$E34,1,Control!$B$10))^AH5*INDEX($B$13:$M$13,1,MOD(29-1,12)+1)</f>
        <v/>
      </c>
      <c r="AI34" s="34">
        <f>($B34/12)*(1+INDEX($C34:$E34,1,Control!$B$10))^AI5*INDEX($B$13:$M$13,1,MOD(30-1,12)+1)</f>
        <v/>
      </c>
      <c r="AJ34" s="34">
        <f>($B34/12)*(1+INDEX($C34:$E34,1,Control!$B$10))^AJ5*INDEX($B$13:$M$13,1,MOD(31-1,12)+1)</f>
        <v/>
      </c>
      <c r="AK34" s="34">
        <f>($B34/12)*(1+INDEX($C34:$E34,1,Control!$B$10))^AK5*INDEX($B$13:$M$13,1,MOD(32-1,12)+1)</f>
        <v/>
      </c>
      <c r="AL34" s="34">
        <f>($B34/12)*(1+INDEX($C34:$E34,1,Control!$B$10))^AL5*INDEX($B$13:$M$13,1,MOD(33-1,12)+1)</f>
        <v/>
      </c>
      <c r="AM34" s="34">
        <f>($B34/12)*(1+INDEX($C34:$E34,1,Control!$B$10))^AM5*INDEX($B$13:$M$13,1,MOD(34-1,12)+1)</f>
        <v/>
      </c>
      <c r="AN34" s="34">
        <f>($B34/12)*(1+INDEX($C34:$E34,1,Control!$B$10))^AN5*INDEX($B$13:$M$13,1,MOD(35-1,12)+1)</f>
        <v/>
      </c>
      <c r="AO34" s="34">
        <f>($B34/12)*(1+INDEX($C34:$E34,1,Control!$B$10))^AO5*INDEX($B$13:$M$13,1,MOD(36-1,12)+1)</f>
        <v/>
      </c>
      <c r="AP34" s="34">
        <f>($B34/12)*(1+INDEX($C34:$E34,1,Control!$B$10))^AP5*INDEX($B$13:$M$13,1,MOD(37-1,12)+1)</f>
        <v/>
      </c>
      <c r="AQ34" s="34">
        <f>($B34/12)*(1+INDEX($C34:$E34,1,Control!$B$10))^AQ5*INDEX($B$13:$M$13,1,MOD(38-1,12)+1)</f>
        <v/>
      </c>
      <c r="AR34" s="34">
        <f>($B34/12)*(1+INDEX($C34:$E34,1,Control!$B$10))^AR5*INDEX($B$13:$M$13,1,MOD(39-1,12)+1)</f>
        <v/>
      </c>
      <c r="AS34" s="34">
        <f>($B34/12)*(1+INDEX($C34:$E34,1,Control!$B$10))^AS5*INDEX($B$13:$M$13,1,MOD(40-1,12)+1)</f>
        <v/>
      </c>
      <c r="AT34" s="34">
        <f>($B34/12)*(1+INDEX($C34:$E34,1,Control!$B$10))^AT5*INDEX($B$13:$M$13,1,MOD(41-1,12)+1)</f>
        <v/>
      </c>
      <c r="AU34" s="34">
        <f>($B34/12)*(1+INDEX($C34:$E34,1,Control!$B$10))^AU5*INDEX($B$13:$M$13,1,MOD(42-1,12)+1)</f>
        <v/>
      </c>
      <c r="AV34" s="34">
        <f>($B34/12)*(1+INDEX($C34:$E34,1,Control!$B$10))^AV5*INDEX($B$13:$M$13,1,MOD(43-1,12)+1)</f>
        <v/>
      </c>
      <c r="AW34" s="34">
        <f>($B34/12)*(1+INDEX($C34:$E34,1,Control!$B$10))^AW5*INDEX($B$13:$M$13,1,MOD(44-1,12)+1)</f>
        <v/>
      </c>
      <c r="AX34" s="34">
        <f>($B34/12)*(1+INDEX($C34:$E34,1,Control!$B$10))^AX5*INDEX($B$13:$M$13,1,MOD(45-1,12)+1)</f>
        <v/>
      </c>
      <c r="AY34" s="34">
        <f>($B34/12)*(1+INDEX($C34:$E34,1,Control!$B$10))^AY5*INDEX($B$13:$M$13,1,MOD(46-1,12)+1)</f>
        <v/>
      </c>
      <c r="AZ34" s="34">
        <f>($B34/12)*(1+INDEX($C34:$E34,1,Control!$B$10))^AZ5*INDEX($B$13:$M$13,1,MOD(47-1,12)+1)</f>
        <v/>
      </c>
      <c r="BA34" s="34">
        <f>($B34/12)*(1+INDEX($C34:$E34,1,Control!$B$10))^BA5*INDEX($B$13:$M$13,1,MOD(48-1,12)+1)</f>
        <v/>
      </c>
      <c r="BB34" s="34">
        <f>($B34/12)*(1+INDEX($C34:$E34,1,Control!$B$10))^BB5*INDEX($B$13:$M$13,1,MOD(49-1,12)+1)</f>
        <v/>
      </c>
      <c r="BC34" s="34">
        <f>($B34/12)*(1+INDEX($C34:$E34,1,Control!$B$10))^BC5*INDEX($B$13:$M$13,1,MOD(50-1,12)+1)</f>
        <v/>
      </c>
      <c r="BD34" s="34">
        <f>($B34/12)*(1+INDEX($C34:$E34,1,Control!$B$10))^BD5*INDEX($B$13:$M$13,1,MOD(51-1,12)+1)</f>
        <v/>
      </c>
      <c r="BE34" s="34">
        <f>($B34/12)*(1+INDEX($C34:$E34,1,Control!$B$10))^BE5*INDEX($B$13:$M$13,1,MOD(52-1,12)+1)</f>
        <v/>
      </c>
      <c r="BF34" s="34">
        <f>($B34/12)*(1+INDEX($C34:$E34,1,Control!$B$10))^BF5*INDEX($B$13:$M$13,1,MOD(53-1,12)+1)</f>
        <v/>
      </c>
      <c r="BG34" s="34">
        <f>($B34/12)*(1+INDEX($C34:$E34,1,Control!$B$10))^BG5*INDEX($B$13:$M$13,1,MOD(54-1,12)+1)</f>
        <v/>
      </c>
      <c r="BH34" s="34">
        <f>($B34/12)*(1+INDEX($C34:$E34,1,Control!$B$10))^BH5*INDEX($B$13:$M$13,1,MOD(55-1,12)+1)</f>
        <v/>
      </c>
      <c r="BI34" s="34">
        <f>($B34/12)*(1+INDEX($C34:$E34,1,Control!$B$10))^BI5*INDEX($B$13:$M$13,1,MOD(56-1,12)+1)</f>
        <v/>
      </c>
      <c r="BJ34" s="34">
        <f>($B34/12)*(1+INDEX($C34:$E34,1,Control!$B$10))^BJ5*INDEX($B$13:$M$13,1,MOD(57-1,12)+1)</f>
        <v/>
      </c>
      <c r="BK34" s="34">
        <f>($B34/12)*(1+INDEX($C34:$E34,1,Control!$B$10))^BK5*INDEX($B$13:$M$13,1,MOD(58-1,12)+1)</f>
        <v/>
      </c>
      <c r="BL34" s="34">
        <f>($B34/12)*(1+INDEX($C34:$E34,1,Control!$B$10))^BL5*INDEX($B$13:$M$13,1,MOD(59-1,12)+1)</f>
        <v/>
      </c>
      <c r="BM34" s="34">
        <f>($B34/12)*(1+INDEX($C34:$E34,1,Control!$B$10))^BM5*INDEX($B$13:$M$13,1,MOD(60-1,12)+1)</f>
        <v/>
      </c>
      <c r="BN34" s="34">
        <f>($B34/12)*(1+INDEX($C34:$E34,1,Control!$B$10))^BN5*INDEX($B$13:$M$13,1,MOD(61-1,12)+1)</f>
        <v/>
      </c>
      <c r="BO34" s="34">
        <f>($B34/12)*(1+INDEX($C34:$E34,1,Control!$B$10))^BO5*INDEX($B$13:$M$13,1,MOD(62-1,12)+1)</f>
        <v/>
      </c>
      <c r="BP34" s="34">
        <f>($B34/12)*(1+INDEX($C34:$E34,1,Control!$B$10))^BP5*INDEX($B$13:$M$13,1,MOD(63-1,12)+1)</f>
        <v/>
      </c>
      <c r="BQ34" s="34">
        <f>($B34/12)*(1+INDEX($C34:$E34,1,Control!$B$10))^BQ5*INDEX($B$13:$M$13,1,MOD(64-1,12)+1)</f>
        <v/>
      </c>
      <c r="BR34" s="34">
        <f>($B34/12)*(1+INDEX($C34:$E34,1,Control!$B$10))^BR5*INDEX($B$13:$M$13,1,MOD(65-1,12)+1)</f>
        <v/>
      </c>
      <c r="BS34" s="34">
        <f>($B34/12)*(1+INDEX($C34:$E34,1,Control!$B$10))^BS5*INDEX($B$13:$M$13,1,MOD(66-1,12)+1)</f>
        <v/>
      </c>
      <c r="BT34" s="34">
        <f>($B34/12)*(1+INDEX($C34:$E34,1,Control!$B$10))^BT5*INDEX($B$13:$M$13,1,MOD(67-1,12)+1)</f>
        <v/>
      </c>
      <c r="BU34" s="34">
        <f>($B34/12)*(1+INDEX($C34:$E34,1,Control!$B$10))^BU5*INDEX($B$13:$M$13,1,MOD(68-1,12)+1)</f>
        <v/>
      </c>
      <c r="BV34" s="34">
        <f>($B34/12)*(1+INDEX($C34:$E34,1,Control!$B$10))^BV5*INDEX($B$13:$M$13,1,MOD(69-1,12)+1)</f>
        <v/>
      </c>
      <c r="BW34" s="34">
        <f>($B34/12)*(1+INDEX($C34:$E34,1,Control!$B$10))^BW5*INDEX($B$13:$M$13,1,MOD(70-1,12)+1)</f>
        <v/>
      </c>
      <c r="BX34" s="34">
        <f>($B34/12)*(1+INDEX($C34:$E34,1,Control!$B$10))^BX5*INDEX($B$13:$M$13,1,MOD(71-1,12)+1)</f>
        <v/>
      </c>
      <c r="BY34" s="34">
        <f>($B34/12)*(1+INDEX($C34:$E34,1,Control!$B$10))^BY5*INDEX($B$13:$M$13,1,MOD(72-1,12)+1)</f>
        <v/>
      </c>
      <c r="BZ34" s="34">
        <f>($B34/12)*(1+INDEX($C34:$E34,1,Control!$B$10))^BZ5*INDEX($B$13:$M$13,1,MOD(73-1,12)+1)</f>
        <v/>
      </c>
      <c r="CA34" s="34">
        <f>($B34/12)*(1+INDEX($C34:$E34,1,Control!$B$10))^CA5*INDEX($B$13:$M$13,1,MOD(74-1,12)+1)</f>
        <v/>
      </c>
      <c r="CB34" s="34">
        <f>($B34/12)*(1+INDEX($C34:$E34,1,Control!$B$10))^CB5*INDEX($B$13:$M$13,1,MOD(75-1,12)+1)</f>
        <v/>
      </c>
      <c r="CC34" s="34">
        <f>($B34/12)*(1+INDEX($C34:$E34,1,Control!$B$10))^CC5*INDEX($B$13:$M$13,1,MOD(76-1,12)+1)</f>
        <v/>
      </c>
      <c r="CD34" s="34">
        <f>($B34/12)*(1+INDEX($C34:$E34,1,Control!$B$10))^CD5*INDEX($B$13:$M$13,1,MOD(77-1,12)+1)</f>
        <v/>
      </c>
      <c r="CE34" s="34">
        <f>($B34/12)*(1+INDEX($C34:$E34,1,Control!$B$10))^CE5*INDEX($B$13:$M$13,1,MOD(78-1,12)+1)</f>
        <v/>
      </c>
      <c r="CF34" s="34">
        <f>($B34/12)*(1+INDEX($C34:$E34,1,Control!$B$10))^CF5*INDEX($B$13:$M$13,1,MOD(79-1,12)+1)</f>
        <v/>
      </c>
      <c r="CG34" s="34">
        <f>($B34/12)*(1+INDEX($C34:$E34,1,Control!$B$10))^CG5*INDEX($B$13:$M$13,1,MOD(80-1,12)+1)</f>
        <v/>
      </c>
      <c r="CH34" s="34">
        <f>($B34/12)*(1+INDEX($C34:$E34,1,Control!$B$10))^CH5*INDEX($B$13:$M$13,1,MOD(81-1,12)+1)</f>
        <v/>
      </c>
      <c r="CI34" s="34">
        <f>($B34/12)*(1+INDEX($C34:$E34,1,Control!$B$10))^CI5*INDEX($B$13:$M$13,1,MOD(82-1,12)+1)</f>
        <v/>
      </c>
      <c r="CJ34" s="34">
        <f>($B34/12)*(1+INDEX($C34:$E34,1,Control!$B$10))^CJ5*INDEX($B$13:$M$13,1,MOD(83-1,12)+1)</f>
        <v/>
      </c>
      <c r="CK34" s="34">
        <f>($B34/12)*(1+INDEX($C34:$E34,1,Control!$B$10))^CK5*INDEX($B$13:$M$13,1,MOD(84-1,12)+1)</f>
        <v/>
      </c>
      <c r="CL34" s="34">
        <f>($B34/12)*(1+INDEX($C34:$E34,1,Control!$B$10))^CL5*INDEX($B$13:$M$13,1,MOD(85-1,12)+1)</f>
        <v/>
      </c>
      <c r="CM34" s="34">
        <f>($B34/12)*(1+INDEX($C34:$E34,1,Control!$B$10))^CM5*INDEX($B$13:$M$13,1,MOD(86-1,12)+1)</f>
        <v/>
      </c>
      <c r="CN34" s="34">
        <f>($B34/12)*(1+INDEX($C34:$E34,1,Control!$B$10))^CN5*INDEX($B$13:$M$13,1,MOD(87-1,12)+1)</f>
        <v/>
      </c>
      <c r="CO34" s="34">
        <f>($B34/12)*(1+INDEX($C34:$E34,1,Control!$B$10))^CO5*INDEX($B$13:$M$13,1,MOD(88-1,12)+1)</f>
        <v/>
      </c>
      <c r="CP34" s="34">
        <f>($B34/12)*(1+INDEX($C34:$E34,1,Control!$B$10))^CP5*INDEX($B$13:$M$13,1,MOD(89-1,12)+1)</f>
        <v/>
      </c>
      <c r="CQ34" s="34">
        <f>($B34/12)*(1+INDEX($C34:$E34,1,Control!$B$10))^CQ5*INDEX($B$13:$M$13,1,MOD(90-1,12)+1)</f>
        <v/>
      </c>
      <c r="CR34" s="34">
        <f>($B34/12)*(1+INDEX($C34:$E34,1,Control!$B$10))^CR5*INDEX($B$13:$M$13,1,MOD(91-1,12)+1)</f>
        <v/>
      </c>
      <c r="CS34" s="34">
        <f>($B34/12)*(1+INDEX($C34:$E34,1,Control!$B$10))^CS5*INDEX($B$13:$M$13,1,MOD(92-1,12)+1)</f>
        <v/>
      </c>
      <c r="CT34" s="34">
        <f>($B34/12)*(1+INDEX($C34:$E34,1,Control!$B$10))^CT5*INDEX($B$13:$M$13,1,MOD(93-1,12)+1)</f>
        <v/>
      </c>
      <c r="CU34" s="34">
        <f>($B34/12)*(1+INDEX($C34:$E34,1,Control!$B$10))^CU5*INDEX($B$13:$M$13,1,MOD(94-1,12)+1)</f>
        <v/>
      </c>
      <c r="CV34" s="34">
        <f>($B34/12)*(1+INDEX($C34:$E34,1,Control!$B$10))^CV5*INDEX($B$13:$M$13,1,MOD(95-1,12)+1)</f>
        <v/>
      </c>
      <c r="CW34" s="34">
        <f>($B34/12)*(1+INDEX($C34:$E34,1,Control!$B$10))^CW5*INDEX($B$13:$M$13,1,MOD(96-1,12)+1)</f>
        <v/>
      </c>
      <c r="CX34" s="34">
        <f>($B34/12)*(1+INDEX($C34:$E34,1,Control!$B$10))^CX5*INDEX($B$13:$M$13,1,MOD(97-1,12)+1)</f>
        <v/>
      </c>
      <c r="CY34" s="34">
        <f>($B34/12)*(1+INDEX($C34:$E34,1,Control!$B$10))^CY5*INDEX($B$13:$M$13,1,MOD(98-1,12)+1)</f>
        <v/>
      </c>
      <c r="CZ34" s="34">
        <f>($B34/12)*(1+INDEX($C34:$E34,1,Control!$B$10))^CZ5*INDEX($B$13:$M$13,1,MOD(99-1,12)+1)</f>
        <v/>
      </c>
      <c r="DA34" s="34">
        <f>($B34/12)*(1+INDEX($C34:$E34,1,Control!$B$10))^DA5*INDEX($B$13:$M$13,1,MOD(100-1,12)+1)</f>
        <v/>
      </c>
      <c r="DB34" s="34">
        <f>($B34/12)*(1+INDEX($C34:$E34,1,Control!$B$10))^DB5*INDEX($B$13:$M$13,1,MOD(101-1,12)+1)</f>
        <v/>
      </c>
      <c r="DC34" s="34">
        <f>($B34/12)*(1+INDEX($C34:$E34,1,Control!$B$10))^DC5*INDEX($B$13:$M$13,1,MOD(102-1,12)+1)</f>
        <v/>
      </c>
      <c r="DD34" s="34">
        <f>($B34/12)*(1+INDEX($C34:$E34,1,Control!$B$10))^DD5*INDEX($B$13:$M$13,1,MOD(103-1,12)+1)</f>
        <v/>
      </c>
      <c r="DE34" s="34">
        <f>($B34/12)*(1+INDEX($C34:$E34,1,Control!$B$10))^DE5*INDEX($B$13:$M$13,1,MOD(104-1,12)+1)</f>
        <v/>
      </c>
      <c r="DF34" s="34">
        <f>($B34/12)*(1+INDEX($C34:$E34,1,Control!$B$10))^DF5*INDEX($B$13:$M$13,1,MOD(105-1,12)+1)</f>
        <v/>
      </c>
      <c r="DG34" s="34">
        <f>($B34/12)*(1+INDEX($C34:$E34,1,Control!$B$10))^DG5*INDEX($B$13:$M$13,1,MOD(106-1,12)+1)</f>
        <v/>
      </c>
      <c r="DH34" s="34">
        <f>($B34/12)*(1+INDEX($C34:$E34,1,Control!$B$10))^DH5*INDEX($B$13:$M$13,1,MOD(107-1,12)+1)</f>
        <v/>
      </c>
      <c r="DI34" s="34">
        <f>($B34/12)*(1+INDEX($C34:$E34,1,Control!$B$10))^DI5*INDEX($B$13:$M$13,1,MOD(108-1,12)+1)</f>
        <v/>
      </c>
      <c r="DJ34" s="34">
        <f>($B34/12)*(1+INDEX($C34:$E34,1,Control!$B$10))^DJ5*INDEX($B$13:$M$13,1,MOD(109-1,12)+1)</f>
        <v/>
      </c>
      <c r="DK34" s="34">
        <f>($B34/12)*(1+INDEX($C34:$E34,1,Control!$B$10))^DK5*INDEX($B$13:$M$13,1,MOD(110-1,12)+1)</f>
        <v/>
      </c>
      <c r="DL34" s="34">
        <f>($B34/12)*(1+INDEX($C34:$E34,1,Control!$B$10))^DL5*INDEX($B$13:$M$13,1,MOD(111-1,12)+1)</f>
        <v/>
      </c>
      <c r="DM34" s="34">
        <f>($B34/12)*(1+INDEX($C34:$E34,1,Control!$B$10))^DM5*INDEX($B$13:$M$13,1,MOD(112-1,12)+1)</f>
        <v/>
      </c>
      <c r="DN34" s="34">
        <f>($B34/12)*(1+INDEX($C34:$E34,1,Control!$B$10))^DN5*INDEX($B$13:$M$13,1,MOD(113-1,12)+1)</f>
        <v/>
      </c>
      <c r="DO34" s="34">
        <f>($B34/12)*(1+INDEX($C34:$E34,1,Control!$B$10))^DO5*INDEX($B$13:$M$13,1,MOD(114-1,12)+1)</f>
        <v/>
      </c>
      <c r="DP34" s="34">
        <f>($B34/12)*(1+INDEX($C34:$E34,1,Control!$B$10))^DP5*INDEX($B$13:$M$13,1,MOD(115-1,12)+1)</f>
        <v/>
      </c>
      <c r="DQ34" s="34">
        <f>($B34/12)*(1+INDEX($C34:$E34,1,Control!$B$10))^DQ5*INDEX($B$13:$M$13,1,MOD(116-1,12)+1)</f>
        <v/>
      </c>
      <c r="DR34" s="34">
        <f>($B34/12)*(1+INDEX($C34:$E34,1,Control!$B$10))^DR5*INDEX($B$13:$M$13,1,MOD(117-1,12)+1)</f>
        <v/>
      </c>
      <c r="DS34" s="34">
        <f>($B34/12)*(1+INDEX($C34:$E34,1,Control!$B$10))^DS5*INDEX($B$13:$M$13,1,MOD(118-1,12)+1)</f>
        <v/>
      </c>
      <c r="DT34" s="34">
        <f>($B34/12)*(1+INDEX($C34:$E34,1,Control!$B$10))^DT5*INDEX($B$13:$M$13,1,MOD(119-1,12)+1)</f>
        <v/>
      </c>
      <c r="DU34" s="34">
        <f>($B34/12)*(1+INDEX($C34:$E34,1,Control!$B$10))^DU5*INDEX($B$13:$M$13,1,MOD(120-1,12)+1)</f>
        <v/>
      </c>
    </row>
    <row r="35">
      <c r="A35" t="inlineStr">
        <is>
          <t>GoldCoast-Kegs-OnTrade</t>
        </is>
      </c>
      <c r="B35" s="33" t="n">
        <v>25000</v>
      </c>
      <c r="C35" s="22" t="n">
        <v>0.04</v>
      </c>
      <c r="D35" s="22" t="n">
        <v>0.06</v>
      </c>
      <c r="E35" s="22" t="n">
        <v>0.02</v>
      </c>
      <c r="F35" s="34">
        <f>($B35/12)*(1+INDEX($C35:$E35,1,Control!$B$10))^F5*INDEX($B$13:$M$13,1,MOD(1-1,12)+1)</f>
        <v/>
      </c>
      <c r="G35" s="34">
        <f>($B35/12)*(1+INDEX($C35:$E35,1,Control!$B$10))^G5*INDEX($B$13:$M$13,1,MOD(2-1,12)+1)</f>
        <v/>
      </c>
      <c r="H35" s="34">
        <f>($B35/12)*(1+INDEX($C35:$E35,1,Control!$B$10))^H5*INDEX($B$13:$M$13,1,MOD(3-1,12)+1)</f>
        <v/>
      </c>
      <c r="I35" s="34">
        <f>($B35/12)*(1+INDEX($C35:$E35,1,Control!$B$10))^I5*INDEX($B$13:$M$13,1,MOD(4-1,12)+1)</f>
        <v/>
      </c>
      <c r="J35" s="34">
        <f>($B35/12)*(1+INDEX($C35:$E35,1,Control!$B$10))^J5*INDEX($B$13:$M$13,1,MOD(5-1,12)+1)</f>
        <v/>
      </c>
      <c r="K35" s="34">
        <f>($B35/12)*(1+INDEX($C35:$E35,1,Control!$B$10))^K5*INDEX($B$13:$M$13,1,MOD(6-1,12)+1)</f>
        <v/>
      </c>
      <c r="L35" s="34">
        <f>($B35/12)*(1+INDEX($C35:$E35,1,Control!$B$10))^L5*INDEX($B$13:$M$13,1,MOD(7-1,12)+1)</f>
        <v/>
      </c>
      <c r="M35" s="34">
        <f>($B35/12)*(1+INDEX($C35:$E35,1,Control!$B$10))^M5*INDEX($B$13:$M$13,1,MOD(8-1,12)+1)</f>
        <v/>
      </c>
      <c r="N35" s="34">
        <f>($B35/12)*(1+INDEX($C35:$E35,1,Control!$B$10))^N5*INDEX($B$13:$M$13,1,MOD(9-1,12)+1)</f>
        <v/>
      </c>
      <c r="O35" s="34">
        <f>($B35/12)*(1+INDEX($C35:$E35,1,Control!$B$10))^O5*INDEX($B$13:$M$13,1,MOD(10-1,12)+1)</f>
        <v/>
      </c>
      <c r="P35" s="34">
        <f>($B35/12)*(1+INDEX($C35:$E35,1,Control!$B$10))^P5*INDEX($B$13:$M$13,1,MOD(11-1,12)+1)</f>
        <v/>
      </c>
      <c r="Q35" s="34">
        <f>($B35/12)*(1+INDEX($C35:$E35,1,Control!$B$10))^Q5*INDEX($B$13:$M$13,1,MOD(12-1,12)+1)</f>
        <v/>
      </c>
      <c r="R35" s="34">
        <f>($B35/12)*(1+INDEX($C35:$E35,1,Control!$B$10))^R5*INDEX($B$13:$M$13,1,MOD(13-1,12)+1)</f>
        <v/>
      </c>
      <c r="S35" s="34">
        <f>($B35/12)*(1+INDEX($C35:$E35,1,Control!$B$10))^S5*INDEX($B$13:$M$13,1,MOD(14-1,12)+1)</f>
        <v/>
      </c>
      <c r="T35" s="34">
        <f>($B35/12)*(1+INDEX($C35:$E35,1,Control!$B$10))^T5*INDEX($B$13:$M$13,1,MOD(15-1,12)+1)</f>
        <v/>
      </c>
      <c r="U35" s="34">
        <f>($B35/12)*(1+INDEX($C35:$E35,1,Control!$B$10))^U5*INDEX($B$13:$M$13,1,MOD(16-1,12)+1)</f>
        <v/>
      </c>
      <c r="V35" s="34">
        <f>($B35/12)*(1+INDEX($C35:$E35,1,Control!$B$10))^V5*INDEX($B$13:$M$13,1,MOD(17-1,12)+1)</f>
        <v/>
      </c>
      <c r="W35" s="34">
        <f>($B35/12)*(1+INDEX($C35:$E35,1,Control!$B$10))^W5*INDEX($B$13:$M$13,1,MOD(18-1,12)+1)</f>
        <v/>
      </c>
      <c r="X35" s="34">
        <f>($B35/12)*(1+INDEX($C35:$E35,1,Control!$B$10))^X5*INDEX($B$13:$M$13,1,MOD(19-1,12)+1)</f>
        <v/>
      </c>
      <c r="Y35" s="34">
        <f>($B35/12)*(1+INDEX($C35:$E35,1,Control!$B$10))^Y5*INDEX($B$13:$M$13,1,MOD(20-1,12)+1)</f>
        <v/>
      </c>
      <c r="Z35" s="34">
        <f>($B35/12)*(1+INDEX($C35:$E35,1,Control!$B$10))^Z5*INDEX($B$13:$M$13,1,MOD(21-1,12)+1)</f>
        <v/>
      </c>
      <c r="AA35" s="34">
        <f>($B35/12)*(1+INDEX($C35:$E35,1,Control!$B$10))^AA5*INDEX($B$13:$M$13,1,MOD(22-1,12)+1)</f>
        <v/>
      </c>
      <c r="AB35" s="34">
        <f>($B35/12)*(1+INDEX($C35:$E35,1,Control!$B$10))^AB5*INDEX($B$13:$M$13,1,MOD(23-1,12)+1)</f>
        <v/>
      </c>
      <c r="AC35" s="34">
        <f>($B35/12)*(1+INDEX($C35:$E35,1,Control!$B$10))^AC5*INDEX($B$13:$M$13,1,MOD(24-1,12)+1)</f>
        <v/>
      </c>
      <c r="AD35" s="34">
        <f>($B35/12)*(1+INDEX($C35:$E35,1,Control!$B$10))^AD5*INDEX($B$13:$M$13,1,MOD(25-1,12)+1)</f>
        <v/>
      </c>
      <c r="AE35" s="34">
        <f>($B35/12)*(1+INDEX($C35:$E35,1,Control!$B$10))^AE5*INDEX($B$13:$M$13,1,MOD(26-1,12)+1)</f>
        <v/>
      </c>
      <c r="AF35" s="34">
        <f>($B35/12)*(1+INDEX($C35:$E35,1,Control!$B$10))^AF5*INDEX($B$13:$M$13,1,MOD(27-1,12)+1)</f>
        <v/>
      </c>
      <c r="AG35" s="34">
        <f>($B35/12)*(1+INDEX($C35:$E35,1,Control!$B$10))^AG5*INDEX($B$13:$M$13,1,MOD(28-1,12)+1)</f>
        <v/>
      </c>
      <c r="AH35" s="34">
        <f>($B35/12)*(1+INDEX($C35:$E35,1,Control!$B$10))^AH5*INDEX($B$13:$M$13,1,MOD(29-1,12)+1)</f>
        <v/>
      </c>
      <c r="AI35" s="34">
        <f>($B35/12)*(1+INDEX($C35:$E35,1,Control!$B$10))^AI5*INDEX($B$13:$M$13,1,MOD(30-1,12)+1)</f>
        <v/>
      </c>
      <c r="AJ35" s="34">
        <f>($B35/12)*(1+INDEX($C35:$E35,1,Control!$B$10))^AJ5*INDEX($B$13:$M$13,1,MOD(31-1,12)+1)</f>
        <v/>
      </c>
      <c r="AK35" s="34">
        <f>($B35/12)*(1+INDEX($C35:$E35,1,Control!$B$10))^AK5*INDEX($B$13:$M$13,1,MOD(32-1,12)+1)</f>
        <v/>
      </c>
      <c r="AL35" s="34">
        <f>($B35/12)*(1+INDEX($C35:$E35,1,Control!$B$10))^AL5*INDEX($B$13:$M$13,1,MOD(33-1,12)+1)</f>
        <v/>
      </c>
      <c r="AM35" s="34">
        <f>($B35/12)*(1+INDEX($C35:$E35,1,Control!$B$10))^AM5*INDEX($B$13:$M$13,1,MOD(34-1,12)+1)</f>
        <v/>
      </c>
      <c r="AN35" s="34">
        <f>($B35/12)*(1+INDEX($C35:$E35,1,Control!$B$10))^AN5*INDEX($B$13:$M$13,1,MOD(35-1,12)+1)</f>
        <v/>
      </c>
      <c r="AO35" s="34">
        <f>($B35/12)*(1+INDEX($C35:$E35,1,Control!$B$10))^AO5*INDEX($B$13:$M$13,1,MOD(36-1,12)+1)</f>
        <v/>
      </c>
      <c r="AP35" s="34">
        <f>($B35/12)*(1+INDEX($C35:$E35,1,Control!$B$10))^AP5*INDEX($B$13:$M$13,1,MOD(37-1,12)+1)</f>
        <v/>
      </c>
      <c r="AQ35" s="34">
        <f>($B35/12)*(1+INDEX($C35:$E35,1,Control!$B$10))^AQ5*INDEX($B$13:$M$13,1,MOD(38-1,12)+1)</f>
        <v/>
      </c>
      <c r="AR35" s="34">
        <f>($B35/12)*(1+INDEX($C35:$E35,1,Control!$B$10))^AR5*INDEX($B$13:$M$13,1,MOD(39-1,12)+1)</f>
        <v/>
      </c>
      <c r="AS35" s="34">
        <f>($B35/12)*(1+INDEX($C35:$E35,1,Control!$B$10))^AS5*INDEX($B$13:$M$13,1,MOD(40-1,12)+1)</f>
        <v/>
      </c>
      <c r="AT35" s="34">
        <f>($B35/12)*(1+INDEX($C35:$E35,1,Control!$B$10))^AT5*INDEX($B$13:$M$13,1,MOD(41-1,12)+1)</f>
        <v/>
      </c>
      <c r="AU35" s="34">
        <f>($B35/12)*(1+INDEX($C35:$E35,1,Control!$B$10))^AU5*INDEX($B$13:$M$13,1,MOD(42-1,12)+1)</f>
        <v/>
      </c>
      <c r="AV35" s="34">
        <f>($B35/12)*(1+INDEX($C35:$E35,1,Control!$B$10))^AV5*INDEX($B$13:$M$13,1,MOD(43-1,12)+1)</f>
        <v/>
      </c>
      <c r="AW35" s="34">
        <f>($B35/12)*(1+INDEX($C35:$E35,1,Control!$B$10))^AW5*INDEX($B$13:$M$13,1,MOD(44-1,12)+1)</f>
        <v/>
      </c>
      <c r="AX35" s="34">
        <f>($B35/12)*(1+INDEX($C35:$E35,1,Control!$B$10))^AX5*INDEX($B$13:$M$13,1,MOD(45-1,12)+1)</f>
        <v/>
      </c>
      <c r="AY35" s="34">
        <f>($B35/12)*(1+INDEX($C35:$E35,1,Control!$B$10))^AY5*INDEX($B$13:$M$13,1,MOD(46-1,12)+1)</f>
        <v/>
      </c>
      <c r="AZ35" s="34">
        <f>($B35/12)*(1+INDEX($C35:$E35,1,Control!$B$10))^AZ5*INDEX($B$13:$M$13,1,MOD(47-1,12)+1)</f>
        <v/>
      </c>
      <c r="BA35" s="34">
        <f>($B35/12)*(1+INDEX($C35:$E35,1,Control!$B$10))^BA5*INDEX($B$13:$M$13,1,MOD(48-1,12)+1)</f>
        <v/>
      </c>
      <c r="BB35" s="34">
        <f>($B35/12)*(1+INDEX($C35:$E35,1,Control!$B$10))^BB5*INDEX($B$13:$M$13,1,MOD(49-1,12)+1)</f>
        <v/>
      </c>
      <c r="BC35" s="34">
        <f>($B35/12)*(1+INDEX($C35:$E35,1,Control!$B$10))^BC5*INDEX($B$13:$M$13,1,MOD(50-1,12)+1)</f>
        <v/>
      </c>
      <c r="BD35" s="34">
        <f>($B35/12)*(1+INDEX($C35:$E35,1,Control!$B$10))^BD5*INDEX($B$13:$M$13,1,MOD(51-1,12)+1)</f>
        <v/>
      </c>
      <c r="BE35" s="34">
        <f>($B35/12)*(1+INDEX($C35:$E35,1,Control!$B$10))^BE5*INDEX($B$13:$M$13,1,MOD(52-1,12)+1)</f>
        <v/>
      </c>
      <c r="BF35" s="34">
        <f>($B35/12)*(1+INDEX($C35:$E35,1,Control!$B$10))^BF5*INDEX($B$13:$M$13,1,MOD(53-1,12)+1)</f>
        <v/>
      </c>
      <c r="BG35" s="34">
        <f>($B35/12)*(1+INDEX($C35:$E35,1,Control!$B$10))^BG5*INDEX($B$13:$M$13,1,MOD(54-1,12)+1)</f>
        <v/>
      </c>
      <c r="BH35" s="34">
        <f>($B35/12)*(1+INDEX($C35:$E35,1,Control!$B$10))^BH5*INDEX($B$13:$M$13,1,MOD(55-1,12)+1)</f>
        <v/>
      </c>
      <c r="BI35" s="34">
        <f>($B35/12)*(1+INDEX($C35:$E35,1,Control!$B$10))^BI5*INDEX($B$13:$M$13,1,MOD(56-1,12)+1)</f>
        <v/>
      </c>
      <c r="BJ35" s="34">
        <f>($B35/12)*(1+INDEX($C35:$E35,1,Control!$B$10))^BJ5*INDEX($B$13:$M$13,1,MOD(57-1,12)+1)</f>
        <v/>
      </c>
      <c r="BK35" s="34">
        <f>($B35/12)*(1+INDEX($C35:$E35,1,Control!$B$10))^BK5*INDEX($B$13:$M$13,1,MOD(58-1,12)+1)</f>
        <v/>
      </c>
      <c r="BL35" s="34">
        <f>($B35/12)*(1+INDEX($C35:$E35,1,Control!$B$10))^BL5*INDEX($B$13:$M$13,1,MOD(59-1,12)+1)</f>
        <v/>
      </c>
      <c r="BM35" s="34">
        <f>($B35/12)*(1+INDEX($C35:$E35,1,Control!$B$10))^BM5*INDEX($B$13:$M$13,1,MOD(60-1,12)+1)</f>
        <v/>
      </c>
      <c r="BN35" s="34">
        <f>($B35/12)*(1+INDEX($C35:$E35,1,Control!$B$10))^BN5*INDEX($B$13:$M$13,1,MOD(61-1,12)+1)</f>
        <v/>
      </c>
      <c r="BO35" s="34">
        <f>($B35/12)*(1+INDEX($C35:$E35,1,Control!$B$10))^BO5*INDEX($B$13:$M$13,1,MOD(62-1,12)+1)</f>
        <v/>
      </c>
      <c r="BP35" s="34">
        <f>($B35/12)*(1+INDEX($C35:$E35,1,Control!$B$10))^BP5*INDEX($B$13:$M$13,1,MOD(63-1,12)+1)</f>
        <v/>
      </c>
      <c r="BQ35" s="34">
        <f>($B35/12)*(1+INDEX($C35:$E35,1,Control!$B$10))^BQ5*INDEX($B$13:$M$13,1,MOD(64-1,12)+1)</f>
        <v/>
      </c>
      <c r="BR35" s="34">
        <f>($B35/12)*(1+INDEX($C35:$E35,1,Control!$B$10))^BR5*INDEX($B$13:$M$13,1,MOD(65-1,12)+1)</f>
        <v/>
      </c>
      <c r="BS35" s="34">
        <f>($B35/12)*(1+INDEX($C35:$E35,1,Control!$B$10))^BS5*INDEX($B$13:$M$13,1,MOD(66-1,12)+1)</f>
        <v/>
      </c>
      <c r="BT35" s="34">
        <f>($B35/12)*(1+INDEX($C35:$E35,1,Control!$B$10))^BT5*INDEX($B$13:$M$13,1,MOD(67-1,12)+1)</f>
        <v/>
      </c>
      <c r="BU35" s="34">
        <f>($B35/12)*(1+INDEX($C35:$E35,1,Control!$B$10))^BU5*INDEX($B$13:$M$13,1,MOD(68-1,12)+1)</f>
        <v/>
      </c>
      <c r="BV35" s="34">
        <f>($B35/12)*(1+INDEX($C35:$E35,1,Control!$B$10))^BV5*INDEX($B$13:$M$13,1,MOD(69-1,12)+1)</f>
        <v/>
      </c>
      <c r="BW35" s="34">
        <f>($B35/12)*(1+INDEX($C35:$E35,1,Control!$B$10))^BW5*INDEX($B$13:$M$13,1,MOD(70-1,12)+1)</f>
        <v/>
      </c>
      <c r="BX35" s="34">
        <f>($B35/12)*(1+INDEX($C35:$E35,1,Control!$B$10))^BX5*INDEX($B$13:$M$13,1,MOD(71-1,12)+1)</f>
        <v/>
      </c>
      <c r="BY35" s="34">
        <f>($B35/12)*(1+INDEX($C35:$E35,1,Control!$B$10))^BY5*INDEX($B$13:$M$13,1,MOD(72-1,12)+1)</f>
        <v/>
      </c>
      <c r="BZ35" s="34">
        <f>($B35/12)*(1+INDEX($C35:$E35,1,Control!$B$10))^BZ5*INDEX($B$13:$M$13,1,MOD(73-1,12)+1)</f>
        <v/>
      </c>
      <c r="CA35" s="34">
        <f>($B35/12)*(1+INDEX($C35:$E35,1,Control!$B$10))^CA5*INDEX($B$13:$M$13,1,MOD(74-1,12)+1)</f>
        <v/>
      </c>
      <c r="CB35" s="34">
        <f>($B35/12)*(1+INDEX($C35:$E35,1,Control!$B$10))^CB5*INDEX($B$13:$M$13,1,MOD(75-1,12)+1)</f>
        <v/>
      </c>
      <c r="CC35" s="34">
        <f>($B35/12)*(1+INDEX($C35:$E35,1,Control!$B$10))^CC5*INDEX($B$13:$M$13,1,MOD(76-1,12)+1)</f>
        <v/>
      </c>
      <c r="CD35" s="34">
        <f>($B35/12)*(1+INDEX($C35:$E35,1,Control!$B$10))^CD5*INDEX($B$13:$M$13,1,MOD(77-1,12)+1)</f>
        <v/>
      </c>
      <c r="CE35" s="34">
        <f>($B35/12)*(1+INDEX($C35:$E35,1,Control!$B$10))^CE5*INDEX($B$13:$M$13,1,MOD(78-1,12)+1)</f>
        <v/>
      </c>
      <c r="CF35" s="34">
        <f>($B35/12)*(1+INDEX($C35:$E35,1,Control!$B$10))^CF5*INDEX($B$13:$M$13,1,MOD(79-1,12)+1)</f>
        <v/>
      </c>
      <c r="CG35" s="34">
        <f>($B35/12)*(1+INDEX($C35:$E35,1,Control!$B$10))^CG5*INDEX($B$13:$M$13,1,MOD(80-1,12)+1)</f>
        <v/>
      </c>
      <c r="CH35" s="34">
        <f>($B35/12)*(1+INDEX($C35:$E35,1,Control!$B$10))^CH5*INDEX($B$13:$M$13,1,MOD(81-1,12)+1)</f>
        <v/>
      </c>
      <c r="CI35" s="34">
        <f>($B35/12)*(1+INDEX($C35:$E35,1,Control!$B$10))^CI5*INDEX($B$13:$M$13,1,MOD(82-1,12)+1)</f>
        <v/>
      </c>
      <c r="CJ35" s="34">
        <f>($B35/12)*(1+INDEX($C35:$E35,1,Control!$B$10))^CJ5*INDEX($B$13:$M$13,1,MOD(83-1,12)+1)</f>
        <v/>
      </c>
      <c r="CK35" s="34">
        <f>($B35/12)*(1+INDEX($C35:$E35,1,Control!$B$10))^CK5*INDEX($B$13:$M$13,1,MOD(84-1,12)+1)</f>
        <v/>
      </c>
      <c r="CL35" s="34">
        <f>($B35/12)*(1+INDEX($C35:$E35,1,Control!$B$10))^CL5*INDEX($B$13:$M$13,1,MOD(85-1,12)+1)</f>
        <v/>
      </c>
      <c r="CM35" s="34">
        <f>($B35/12)*(1+INDEX($C35:$E35,1,Control!$B$10))^CM5*INDEX($B$13:$M$13,1,MOD(86-1,12)+1)</f>
        <v/>
      </c>
      <c r="CN35" s="34">
        <f>($B35/12)*(1+INDEX($C35:$E35,1,Control!$B$10))^CN5*INDEX($B$13:$M$13,1,MOD(87-1,12)+1)</f>
        <v/>
      </c>
      <c r="CO35" s="34">
        <f>($B35/12)*(1+INDEX($C35:$E35,1,Control!$B$10))^CO5*INDEX($B$13:$M$13,1,MOD(88-1,12)+1)</f>
        <v/>
      </c>
      <c r="CP35" s="34">
        <f>($B35/12)*(1+INDEX($C35:$E35,1,Control!$B$10))^CP5*INDEX($B$13:$M$13,1,MOD(89-1,12)+1)</f>
        <v/>
      </c>
      <c r="CQ35" s="34">
        <f>($B35/12)*(1+INDEX($C35:$E35,1,Control!$B$10))^CQ5*INDEX($B$13:$M$13,1,MOD(90-1,12)+1)</f>
        <v/>
      </c>
      <c r="CR35" s="34">
        <f>($B35/12)*(1+INDEX($C35:$E35,1,Control!$B$10))^CR5*INDEX($B$13:$M$13,1,MOD(91-1,12)+1)</f>
        <v/>
      </c>
      <c r="CS35" s="34">
        <f>($B35/12)*(1+INDEX($C35:$E35,1,Control!$B$10))^CS5*INDEX($B$13:$M$13,1,MOD(92-1,12)+1)</f>
        <v/>
      </c>
      <c r="CT35" s="34">
        <f>($B35/12)*(1+INDEX($C35:$E35,1,Control!$B$10))^CT5*INDEX($B$13:$M$13,1,MOD(93-1,12)+1)</f>
        <v/>
      </c>
      <c r="CU35" s="34">
        <f>($B35/12)*(1+INDEX($C35:$E35,1,Control!$B$10))^CU5*INDEX($B$13:$M$13,1,MOD(94-1,12)+1)</f>
        <v/>
      </c>
      <c r="CV35" s="34">
        <f>($B35/12)*(1+INDEX($C35:$E35,1,Control!$B$10))^CV5*INDEX($B$13:$M$13,1,MOD(95-1,12)+1)</f>
        <v/>
      </c>
      <c r="CW35" s="34">
        <f>($B35/12)*(1+INDEX($C35:$E35,1,Control!$B$10))^CW5*INDEX($B$13:$M$13,1,MOD(96-1,12)+1)</f>
        <v/>
      </c>
      <c r="CX35" s="34">
        <f>($B35/12)*(1+INDEX($C35:$E35,1,Control!$B$10))^CX5*INDEX($B$13:$M$13,1,MOD(97-1,12)+1)</f>
        <v/>
      </c>
      <c r="CY35" s="34">
        <f>($B35/12)*(1+INDEX($C35:$E35,1,Control!$B$10))^CY5*INDEX($B$13:$M$13,1,MOD(98-1,12)+1)</f>
        <v/>
      </c>
      <c r="CZ35" s="34">
        <f>($B35/12)*(1+INDEX($C35:$E35,1,Control!$B$10))^CZ5*INDEX($B$13:$M$13,1,MOD(99-1,12)+1)</f>
        <v/>
      </c>
      <c r="DA35" s="34">
        <f>($B35/12)*(1+INDEX($C35:$E35,1,Control!$B$10))^DA5*INDEX($B$13:$M$13,1,MOD(100-1,12)+1)</f>
        <v/>
      </c>
      <c r="DB35" s="34">
        <f>($B35/12)*(1+INDEX($C35:$E35,1,Control!$B$10))^DB5*INDEX($B$13:$M$13,1,MOD(101-1,12)+1)</f>
        <v/>
      </c>
      <c r="DC35" s="34">
        <f>($B35/12)*(1+INDEX($C35:$E35,1,Control!$B$10))^DC5*INDEX($B$13:$M$13,1,MOD(102-1,12)+1)</f>
        <v/>
      </c>
      <c r="DD35" s="34">
        <f>($B35/12)*(1+INDEX($C35:$E35,1,Control!$B$10))^DD5*INDEX($B$13:$M$13,1,MOD(103-1,12)+1)</f>
        <v/>
      </c>
      <c r="DE35" s="34">
        <f>($B35/12)*(1+INDEX($C35:$E35,1,Control!$B$10))^DE5*INDEX($B$13:$M$13,1,MOD(104-1,12)+1)</f>
        <v/>
      </c>
      <c r="DF35" s="34">
        <f>($B35/12)*(1+INDEX($C35:$E35,1,Control!$B$10))^DF5*INDEX($B$13:$M$13,1,MOD(105-1,12)+1)</f>
        <v/>
      </c>
      <c r="DG35" s="34">
        <f>($B35/12)*(1+INDEX($C35:$E35,1,Control!$B$10))^DG5*INDEX($B$13:$M$13,1,MOD(106-1,12)+1)</f>
        <v/>
      </c>
      <c r="DH35" s="34">
        <f>($B35/12)*(1+INDEX($C35:$E35,1,Control!$B$10))^DH5*INDEX($B$13:$M$13,1,MOD(107-1,12)+1)</f>
        <v/>
      </c>
      <c r="DI35" s="34">
        <f>($B35/12)*(1+INDEX($C35:$E35,1,Control!$B$10))^DI5*INDEX($B$13:$M$13,1,MOD(108-1,12)+1)</f>
        <v/>
      </c>
      <c r="DJ35" s="34">
        <f>($B35/12)*(1+INDEX($C35:$E35,1,Control!$B$10))^DJ5*INDEX($B$13:$M$13,1,MOD(109-1,12)+1)</f>
        <v/>
      </c>
      <c r="DK35" s="34">
        <f>($B35/12)*(1+INDEX($C35:$E35,1,Control!$B$10))^DK5*INDEX($B$13:$M$13,1,MOD(110-1,12)+1)</f>
        <v/>
      </c>
      <c r="DL35" s="34">
        <f>($B35/12)*(1+INDEX($C35:$E35,1,Control!$B$10))^DL5*INDEX($B$13:$M$13,1,MOD(111-1,12)+1)</f>
        <v/>
      </c>
      <c r="DM35" s="34">
        <f>($B35/12)*(1+INDEX($C35:$E35,1,Control!$B$10))^DM5*INDEX($B$13:$M$13,1,MOD(112-1,12)+1)</f>
        <v/>
      </c>
      <c r="DN35" s="34">
        <f>($B35/12)*(1+INDEX($C35:$E35,1,Control!$B$10))^DN5*INDEX($B$13:$M$13,1,MOD(113-1,12)+1)</f>
        <v/>
      </c>
      <c r="DO35" s="34">
        <f>($B35/12)*(1+INDEX($C35:$E35,1,Control!$B$10))^DO5*INDEX($B$13:$M$13,1,MOD(114-1,12)+1)</f>
        <v/>
      </c>
      <c r="DP35" s="34">
        <f>($B35/12)*(1+INDEX($C35:$E35,1,Control!$B$10))^DP5*INDEX($B$13:$M$13,1,MOD(115-1,12)+1)</f>
        <v/>
      </c>
      <c r="DQ35" s="34">
        <f>($B35/12)*(1+INDEX($C35:$E35,1,Control!$B$10))^DQ5*INDEX($B$13:$M$13,1,MOD(116-1,12)+1)</f>
        <v/>
      </c>
      <c r="DR35" s="34">
        <f>($B35/12)*(1+INDEX($C35:$E35,1,Control!$B$10))^DR5*INDEX($B$13:$M$13,1,MOD(117-1,12)+1)</f>
        <v/>
      </c>
      <c r="DS35" s="34">
        <f>($B35/12)*(1+INDEX($C35:$E35,1,Control!$B$10))^DS5*INDEX($B$13:$M$13,1,MOD(118-1,12)+1)</f>
        <v/>
      </c>
      <c r="DT35" s="34">
        <f>($B35/12)*(1+INDEX($C35:$E35,1,Control!$B$10))^DT5*INDEX($B$13:$M$13,1,MOD(119-1,12)+1)</f>
        <v/>
      </c>
      <c r="DU35" s="34">
        <f>($B35/12)*(1+INDEX($C35:$E35,1,Control!$B$10))^DU5*INDEX($B$13:$M$13,1,MOD(120-1,12)+1)</f>
        <v/>
      </c>
    </row>
    <row r="36">
      <c r="A36" t="inlineStr">
        <is>
          <t>GoldCoast-Kegs-OffTrade</t>
        </is>
      </c>
      <c r="B36" s="33" t="n">
        <v>0</v>
      </c>
      <c r="C36" s="22" t="n">
        <v>0.04</v>
      </c>
      <c r="D36" s="22" t="n">
        <v>0.06</v>
      </c>
      <c r="E36" s="22" t="n">
        <v>0.02</v>
      </c>
      <c r="F36" s="34">
        <f>($B36/12)*(1+INDEX($C36:$E36,1,Control!$B$10))^F5*INDEX($B$13:$M$13,1,MOD(1-1,12)+1)</f>
        <v/>
      </c>
      <c r="G36" s="34">
        <f>($B36/12)*(1+INDEX($C36:$E36,1,Control!$B$10))^G5*INDEX($B$13:$M$13,1,MOD(2-1,12)+1)</f>
        <v/>
      </c>
      <c r="H36" s="34">
        <f>($B36/12)*(1+INDEX($C36:$E36,1,Control!$B$10))^H5*INDEX($B$13:$M$13,1,MOD(3-1,12)+1)</f>
        <v/>
      </c>
      <c r="I36" s="34">
        <f>($B36/12)*(1+INDEX($C36:$E36,1,Control!$B$10))^I5*INDEX($B$13:$M$13,1,MOD(4-1,12)+1)</f>
        <v/>
      </c>
      <c r="J36" s="34">
        <f>($B36/12)*(1+INDEX($C36:$E36,1,Control!$B$10))^J5*INDEX($B$13:$M$13,1,MOD(5-1,12)+1)</f>
        <v/>
      </c>
      <c r="K36" s="34">
        <f>($B36/12)*(1+INDEX($C36:$E36,1,Control!$B$10))^K5*INDEX($B$13:$M$13,1,MOD(6-1,12)+1)</f>
        <v/>
      </c>
      <c r="L36" s="34">
        <f>($B36/12)*(1+INDEX($C36:$E36,1,Control!$B$10))^L5*INDEX($B$13:$M$13,1,MOD(7-1,12)+1)</f>
        <v/>
      </c>
      <c r="M36" s="34">
        <f>($B36/12)*(1+INDEX($C36:$E36,1,Control!$B$10))^M5*INDEX($B$13:$M$13,1,MOD(8-1,12)+1)</f>
        <v/>
      </c>
      <c r="N36" s="34">
        <f>($B36/12)*(1+INDEX($C36:$E36,1,Control!$B$10))^N5*INDEX($B$13:$M$13,1,MOD(9-1,12)+1)</f>
        <v/>
      </c>
      <c r="O36" s="34">
        <f>($B36/12)*(1+INDEX($C36:$E36,1,Control!$B$10))^O5*INDEX($B$13:$M$13,1,MOD(10-1,12)+1)</f>
        <v/>
      </c>
      <c r="P36" s="34">
        <f>($B36/12)*(1+INDEX($C36:$E36,1,Control!$B$10))^P5*INDEX($B$13:$M$13,1,MOD(11-1,12)+1)</f>
        <v/>
      </c>
      <c r="Q36" s="34">
        <f>($B36/12)*(1+INDEX($C36:$E36,1,Control!$B$10))^Q5*INDEX($B$13:$M$13,1,MOD(12-1,12)+1)</f>
        <v/>
      </c>
      <c r="R36" s="34">
        <f>($B36/12)*(1+INDEX($C36:$E36,1,Control!$B$10))^R5*INDEX($B$13:$M$13,1,MOD(13-1,12)+1)</f>
        <v/>
      </c>
      <c r="S36" s="34">
        <f>($B36/12)*(1+INDEX($C36:$E36,1,Control!$B$10))^S5*INDEX($B$13:$M$13,1,MOD(14-1,12)+1)</f>
        <v/>
      </c>
      <c r="T36" s="34">
        <f>($B36/12)*(1+INDEX($C36:$E36,1,Control!$B$10))^T5*INDEX($B$13:$M$13,1,MOD(15-1,12)+1)</f>
        <v/>
      </c>
      <c r="U36" s="34">
        <f>($B36/12)*(1+INDEX($C36:$E36,1,Control!$B$10))^U5*INDEX($B$13:$M$13,1,MOD(16-1,12)+1)</f>
        <v/>
      </c>
      <c r="V36" s="34">
        <f>($B36/12)*(1+INDEX($C36:$E36,1,Control!$B$10))^V5*INDEX($B$13:$M$13,1,MOD(17-1,12)+1)</f>
        <v/>
      </c>
      <c r="W36" s="34">
        <f>($B36/12)*(1+INDEX($C36:$E36,1,Control!$B$10))^W5*INDEX($B$13:$M$13,1,MOD(18-1,12)+1)</f>
        <v/>
      </c>
      <c r="X36" s="34">
        <f>($B36/12)*(1+INDEX($C36:$E36,1,Control!$B$10))^X5*INDEX($B$13:$M$13,1,MOD(19-1,12)+1)</f>
        <v/>
      </c>
      <c r="Y36" s="34">
        <f>($B36/12)*(1+INDEX($C36:$E36,1,Control!$B$10))^Y5*INDEX($B$13:$M$13,1,MOD(20-1,12)+1)</f>
        <v/>
      </c>
      <c r="Z36" s="34">
        <f>($B36/12)*(1+INDEX($C36:$E36,1,Control!$B$10))^Z5*INDEX($B$13:$M$13,1,MOD(21-1,12)+1)</f>
        <v/>
      </c>
      <c r="AA36" s="34">
        <f>($B36/12)*(1+INDEX($C36:$E36,1,Control!$B$10))^AA5*INDEX($B$13:$M$13,1,MOD(22-1,12)+1)</f>
        <v/>
      </c>
      <c r="AB36" s="34">
        <f>($B36/12)*(1+INDEX($C36:$E36,1,Control!$B$10))^AB5*INDEX($B$13:$M$13,1,MOD(23-1,12)+1)</f>
        <v/>
      </c>
      <c r="AC36" s="34">
        <f>($B36/12)*(1+INDEX($C36:$E36,1,Control!$B$10))^AC5*INDEX($B$13:$M$13,1,MOD(24-1,12)+1)</f>
        <v/>
      </c>
      <c r="AD36" s="34">
        <f>($B36/12)*(1+INDEX($C36:$E36,1,Control!$B$10))^AD5*INDEX($B$13:$M$13,1,MOD(25-1,12)+1)</f>
        <v/>
      </c>
      <c r="AE36" s="34">
        <f>($B36/12)*(1+INDEX($C36:$E36,1,Control!$B$10))^AE5*INDEX($B$13:$M$13,1,MOD(26-1,12)+1)</f>
        <v/>
      </c>
      <c r="AF36" s="34">
        <f>($B36/12)*(1+INDEX($C36:$E36,1,Control!$B$10))^AF5*INDEX($B$13:$M$13,1,MOD(27-1,12)+1)</f>
        <v/>
      </c>
      <c r="AG36" s="34">
        <f>($B36/12)*(1+INDEX($C36:$E36,1,Control!$B$10))^AG5*INDEX($B$13:$M$13,1,MOD(28-1,12)+1)</f>
        <v/>
      </c>
      <c r="AH36" s="34">
        <f>($B36/12)*(1+INDEX($C36:$E36,1,Control!$B$10))^AH5*INDEX($B$13:$M$13,1,MOD(29-1,12)+1)</f>
        <v/>
      </c>
      <c r="AI36" s="34">
        <f>($B36/12)*(1+INDEX($C36:$E36,1,Control!$B$10))^AI5*INDEX($B$13:$M$13,1,MOD(30-1,12)+1)</f>
        <v/>
      </c>
      <c r="AJ36" s="34">
        <f>($B36/12)*(1+INDEX($C36:$E36,1,Control!$B$10))^AJ5*INDEX($B$13:$M$13,1,MOD(31-1,12)+1)</f>
        <v/>
      </c>
      <c r="AK36" s="34">
        <f>($B36/12)*(1+INDEX($C36:$E36,1,Control!$B$10))^AK5*INDEX($B$13:$M$13,1,MOD(32-1,12)+1)</f>
        <v/>
      </c>
      <c r="AL36" s="34">
        <f>($B36/12)*(1+INDEX($C36:$E36,1,Control!$B$10))^AL5*INDEX($B$13:$M$13,1,MOD(33-1,12)+1)</f>
        <v/>
      </c>
      <c r="AM36" s="34">
        <f>($B36/12)*(1+INDEX($C36:$E36,1,Control!$B$10))^AM5*INDEX($B$13:$M$13,1,MOD(34-1,12)+1)</f>
        <v/>
      </c>
      <c r="AN36" s="34">
        <f>($B36/12)*(1+INDEX($C36:$E36,1,Control!$B$10))^AN5*INDEX($B$13:$M$13,1,MOD(35-1,12)+1)</f>
        <v/>
      </c>
      <c r="AO36" s="34">
        <f>($B36/12)*(1+INDEX($C36:$E36,1,Control!$B$10))^AO5*INDEX($B$13:$M$13,1,MOD(36-1,12)+1)</f>
        <v/>
      </c>
      <c r="AP36" s="34">
        <f>($B36/12)*(1+INDEX($C36:$E36,1,Control!$B$10))^AP5*INDEX($B$13:$M$13,1,MOD(37-1,12)+1)</f>
        <v/>
      </c>
      <c r="AQ36" s="34">
        <f>($B36/12)*(1+INDEX($C36:$E36,1,Control!$B$10))^AQ5*INDEX($B$13:$M$13,1,MOD(38-1,12)+1)</f>
        <v/>
      </c>
      <c r="AR36" s="34">
        <f>($B36/12)*(1+INDEX($C36:$E36,1,Control!$B$10))^AR5*INDEX($B$13:$M$13,1,MOD(39-1,12)+1)</f>
        <v/>
      </c>
      <c r="AS36" s="34">
        <f>($B36/12)*(1+INDEX($C36:$E36,1,Control!$B$10))^AS5*INDEX($B$13:$M$13,1,MOD(40-1,12)+1)</f>
        <v/>
      </c>
      <c r="AT36" s="34">
        <f>($B36/12)*(1+INDEX($C36:$E36,1,Control!$B$10))^AT5*INDEX($B$13:$M$13,1,MOD(41-1,12)+1)</f>
        <v/>
      </c>
      <c r="AU36" s="34">
        <f>($B36/12)*(1+INDEX($C36:$E36,1,Control!$B$10))^AU5*INDEX($B$13:$M$13,1,MOD(42-1,12)+1)</f>
        <v/>
      </c>
      <c r="AV36" s="34">
        <f>($B36/12)*(1+INDEX($C36:$E36,1,Control!$B$10))^AV5*INDEX($B$13:$M$13,1,MOD(43-1,12)+1)</f>
        <v/>
      </c>
      <c r="AW36" s="34">
        <f>($B36/12)*(1+INDEX($C36:$E36,1,Control!$B$10))^AW5*INDEX($B$13:$M$13,1,MOD(44-1,12)+1)</f>
        <v/>
      </c>
      <c r="AX36" s="34">
        <f>($B36/12)*(1+INDEX($C36:$E36,1,Control!$B$10))^AX5*INDEX($B$13:$M$13,1,MOD(45-1,12)+1)</f>
        <v/>
      </c>
      <c r="AY36" s="34">
        <f>($B36/12)*(1+INDEX($C36:$E36,1,Control!$B$10))^AY5*INDEX($B$13:$M$13,1,MOD(46-1,12)+1)</f>
        <v/>
      </c>
      <c r="AZ36" s="34">
        <f>($B36/12)*(1+INDEX($C36:$E36,1,Control!$B$10))^AZ5*INDEX($B$13:$M$13,1,MOD(47-1,12)+1)</f>
        <v/>
      </c>
      <c r="BA36" s="34">
        <f>($B36/12)*(1+INDEX($C36:$E36,1,Control!$B$10))^BA5*INDEX($B$13:$M$13,1,MOD(48-1,12)+1)</f>
        <v/>
      </c>
      <c r="BB36" s="34">
        <f>($B36/12)*(1+INDEX($C36:$E36,1,Control!$B$10))^BB5*INDEX($B$13:$M$13,1,MOD(49-1,12)+1)</f>
        <v/>
      </c>
      <c r="BC36" s="34">
        <f>($B36/12)*(1+INDEX($C36:$E36,1,Control!$B$10))^BC5*INDEX($B$13:$M$13,1,MOD(50-1,12)+1)</f>
        <v/>
      </c>
      <c r="BD36" s="34">
        <f>($B36/12)*(1+INDEX($C36:$E36,1,Control!$B$10))^BD5*INDEX($B$13:$M$13,1,MOD(51-1,12)+1)</f>
        <v/>
      </c>
      <c r="BE36" s="34">
        <f>($B36/12)*(1+INDEX($C36:$E36,1,Control!$B$10))^BE5*INDEX($B$13:$M$13,1,MOD(52-1,12)+1)</f>
        <v/>
      </c>
      <c r="BF36" s="34">
        <f>($B36/12)*(1+INDEX($C36:$E36,1,Control!$B$10))^BF5*INDEX($B$13:$M$13,1,MOD(53-1,12)+1)</f>
        <v/>
      </c>
      <c r="BG36" s="34">
        <f>($B36/12)*(1+INDEX($C36:$E36,1,Control!$B$10))^BG5*INDEX($B$13:$M$13,1,MOD(54-1,12)+1)</f>
        <v/>
      </c>
      <c r="BH36" s="34">
        <f>($B36/12)*(1+INDEX($C36:$E36,1,Control!$B$10))^BH5*INDEX($B$13:$M$13,1,MOD(55-1,12)+1)</f>
        <v/>
      </c>
      <c r="BI36" s="34">
        <f>($B36/12)*(1+INDEX($C36:$E36,1,Control!$B$10))^BI5*INDEX($B$13:$M$13,1,MOD(56-1,12)+1)</f>
        <v/>
      </c>
      <c r="BJ36" s="34">
        <f>($B36/12)*(1+INDEX($C36:$E36,1,Control!$B$10))^BJ5*INDEX($B$13:$M$13,1,MOD(57-1,12)+1)</f>
        <v/>
      </c>
      <c r="BK36" s="34">
        <f>($B36/12)*(1+INDEX($C36:$E36,1,Control!$B$10))^BK5*INDEX($B$13:$M$13,1,MOD(58-1,12)+1)</f>
        <v/>
      </c>
      <c r="BL36" s="34">
        <f>($B36/12)*(1+INDEX($C36:$E36,1,Control!$B$10))^BL5*INDEX($B$13:$M$13,1,MOD(59-1,12)+1)</f>
        <v/>
      </c>
      <c r="BM36" s="34">
        <f>($B36/12)*(1+INDEX($C36:$E36,1,Control!$B$10))^BM5*INDEX($B$13:$M$13,1,MOD(60-1,12)+1)</f>
        <v/>
      </c>
      <c r="BN36" s="34">
        <f>($B36/12)*(1+INDEX($C36:$E36,1,Control!$B$10))^BN5*INDEX($B$13:$M$13,1,MOD(61-1,12)+1)</f>
        <v/>
      </c>
      <c r="BO36" s="34">
        <f>($B36/12)*(1+INDEX($C36:$E36,1,Control!$B$10))^BO5*INDEX($B$13:$M$13,1,MOD(62-1,12)+1)</f>
        <v/>
      </c>
      <c r="BP36" s="34">
        <f>($B36/12)*(1+INDEX($C36:$E36,1,Control!$B$10))^BP5*INDEX($B$13:$M$13,1,MOD(63-1,12)+1)</f>
        <v/>
      </c>
      <c r="BQ36" s="34">
        <f>($B36/12)*(1+INDEX($C36:$E36,1,Control!$B$10))^BQ5*INDEX($B$13:$M$13,1,MOD(64-1,12)+1)</f>
        <v/>
      </c>
      <c r="BR36" s="34">
        <f>($B36/12)*(1+INDEX($C36:$E36,1,Control!$B$10))^BR5*INDEX($B$13:$M$13,1,MOD(65-1,12)+1)</f>
        <v/>
      </c>
      <c r="BS36" s="34">
        <f>($B36/12)*(1+INDEX($C36:$E36,1,Control!$B$10))^BS5*INDEX($B$13:$M$13,1,MOD(66-1,12)+1)</f>
        <v/>
      </c>
      <c r="BT36" s="34">
        <f>($B36/12)*(1+INDEX($C36:$E36,1,Control!$B$10))^BT5*INDEX($B$13:$M$13,1,MOD(67-1,12)+1)</f>
        <v/>
      </c>
      <c r="BU36" s="34">
        <f>($B36/12)*(1+INDEX($C36:$E36,1,Control!$B$10))^BU5*INDEX($B$13:$M$13,1,MOD(68-1,12)+1)</f>
        <v/>
      </c>
      <c r="BV36" s="34">
        <f>($B36/12)*(1+INDEX($C36:$E36,1,Control!$B$10))^BV5*INDEX($B$13:$M$13,1,MOD(69-1,12)+1)</f>
        <v/>
      </c>
      <c r="BW36" s="34">
        <f>($B36/12)*(1+INDEX($C36:$E36,1,Control!$B$10))^BW5*INDEX($B$13:$M$13,1,MOD(70-1,12)+1)</f>
        <v/>
      </c>
      <c r="BX36" s="34">
        <f>($B36/12)*(1+INDEX($C36:$E36,1,Control!$B$10))^BX5*INDEX($B$13:$M$13,1,MOD(71-1,12)+1)</f>
        <v/>
      </c>
      <c r="BY36" s="34">
        <f>($B36/12)*(1+INDEX($C36:$E36,1,Control!$B$10))^BY5*INDEX($B$13:$M$13,1,MOD(72-1,12)+1)</f>
        <v/>
      </c>
      <c r="BZ36" s="34">
        <f>($B36/12)*(1+INDEX($C36:$E36,1,Control!$B$10))^BZ5*INDEX($B$13:$M$13,1,MOD(73-1,12)+1)</f>
        <v/>
      </c>
      <c r="CA36" s="34">
        <f>($B36/12)*(1+INDEX($C36:$E36,1,Control!$B$10))^CA5*INDEX($B$13:$M$13,1,MOD(74-1,12)+1)</f>
        <v/>
      </c>
      <c r="CB36" s="34">
        <f>($B36/12)*(1+INDEX($C36:$E36,1,Control!$B$10))^CB5*INDEX($B$13:$M$13,1,MOD(75-1,12)+1)</f>
        <v/>
      </c>
      <c r="CC36" s="34">
        <f>($B36/12)*(1+INDEX($C36:$E36,1,Control!$B$10))^CC5*INDEX($B$13:$M$13,1,MOD(76-1,12)+1)</f>
        <v/>
      </c>
      <c r="CD36" s="34">
        <f>($B36/12)*(1+INDEX($C36:$E36,1,Control!$B$10))^CD5*INDEX($B$13:$M$13,1,MOD(77-1,12)+1)</f>
        <v/>
      </c>
      <c r="CE36" s="34">
        <f>($B36/12)*(1+INDEX($C36:$E36,1,Control!$B$10))^CE5*INDEX($B$13:$M$13,1,MOD(78-1,12)+1)</f>
        <v/>
      </c>
      <c r="CF36" s="34">
        <f>($B36/12)*(1+INDEX($C36:$E36,1,Control!$B$10))^CF5*INDEX($B$13:$M$13,1,MOD(79-1,12)+1)</f>
        <v/>
      </c>
      <c r="CG36" s="34">
        <f>($B36/12)*(1+INDEX($C36:$E36,1,Control!$B$10))^CG5*INDEX($B$13:$M$13,1,MOD(80-1,12)+1)</f>
        <v/>
      </c>
      <c r="CH36" s="34">
        <f>($B36/12)*(1+INDEX($C36:$E36,1,Control!$B$10))^CH5*INDEX($B$13:$M$13,1,MOD(81-1,12)+1)</f>
        <v/>
      </c>
      <c r="CI36" s="34">
        <f>($B36/12)*(1+INDEX($C36:$E36,1,Control!$B$10))^CI5*INDEX($B$13:$M$13,1,MOD(82-1,12)+1)</f>
        <v/>
      </c>
      <c r="CJ36" s="34">
        <f>($B36/12)*(1+INDEX($C36:$E36,1,Control!$B$10))^CJ5*INDEX($B$13:$M$13,1,MOD(83-1,12)+1)</f>
        <v/>
      </c>
      <c r="CK36" s="34">
        <f>($B36/12)*(1+INDEX($C36:$E36,1,Control!$B$10))^CK5*INDEX($B$13:$M$13,1,MOD(84-1,12)+1)</f>
        <v/>
      </c>
      <c r="CL36" s="34">
        <f>($B36/12)*(1+INDEX($C36:$E36,1,Control!$B$10))^CL5*INDEX($B$13:$M$13,1,MOD(85-1,12)+1)</f>
        <v/>
      </c>
      <c r="CM36" s="34">
        <f>($B36/12)*(1+INDEX($C36:$E36,1,Control!$B$10))^CM5*INDEX($B$13:$M$13,1,MOD(86-1,12)+1)</f>
        <v/>
      </c>
      <c r="CN36" s="34">
        <f>($B36/12)*(1+INDEX($C36:$E36,1,Control!$B$10))^CN5*INDEX($B$13:$M$13,1,MOD(87-1,12)+1)</f>
        <v/>
      </c>
      <c r="CO36" s="34">
        <f>($B36/12)*(1+INDEX($C36:$E36,1,Control!$B$10))^CO5*INDEX($B$13:$M$13,1,MOD(88-1,12)+1)</f>
        <v/>
      </c>
      <c r="CP36" s="34">
        <f>($B36/12)*(1+INDEX($C36:$E36,1,Control!$B$10))^CP5*INDEX($B$13:$M$13,1,MOD(89-1,12)+1)</f>
        <v/>
      </c>
      <c r="CQ36" s="34">
        <f>($B36/12)*(1+INDEX($C36:$E36,1,Control!$B$10))^CQ5*INDEX($B$13:$M$13,1,MOD(90-1,12)+1)</f>
        <v/>
      </c>
      <c r="CR36" s="34">
        <f>($B36/12)*(1+INDEX($C36:$E36,1,Control!$B$10))^CR5*INDEX($B$13:$M$13,1,MOD(91-1,12)+1)</f>
        <v/>
      </c>
      <c r="CS36" s="34">
        <f>($B36/12)*(1+INDEX($C36:$E36,1,Control!$B$10))^CS5*INDEX($B$13:$M$13,1,MOD(92-1,12)+1)</f>
        <v/>
      </c>
      <c r="CT36" s="34">
        <f>($B36/12)*(1+INDEX($C36:$E36,1,Control!$B$10))^CT5*INDEX($B$13:$M$13,1,MOD(93-1,12)+1)</f>
        <v/>
      </c>
      <c r="CU36" s="34">
        <f>($B36/12)*(1+INDEX($C36:$E36,1,Control!$B$10))^CU5*INDEX($B$13:$M$13,1,MOD(94-1,12)+1)</f>
        <v/>
      </c>
      <c r="CV36" s="34">
        <f>($B36/12)*(1+INDEX($C36:$E36,1,Control!$B$10))^CV5*INDEX($B$13:$M$13,1,MOD(95-1,12)+1)</f>
        <v/>
      </c>
      <c r="CW36" s="34">
        <f>($B36/12)*(1+INDEX($C36:$E36,1,Control!$B$10))^CW5*INDEX($B$13:$M$13,1,MOD(96-1,12)+1)</f>
        <v/>
      </c>
      <c r="CX36" s="34">
        <f>($B36/12)*(1+INDEX($C36:$E36,1,Control!$B$10))^CX5*INDEX($B$13:$M$13,1,MOD(97-1,12)+1)</f>
        <v/>
      </c>
      <c r="CY36" s="34">
        <f>($B36/12)*(1+INDEX($C36:$E36,1,Control!$B$10))^CY5*INDEX($B$13:$M$13,1,MOD(98-1,12)+1)</f>
        <v/>
      </c>
      <c r="CZ36" s="34">
        <f>($B36/12)*(1+INDEX($C36:$E36,1,Control!$B$10))^CZ5*INDEX($B$13:$M$13,1,MOD(99-1,12)+1)</f>
        <v/>
      </c>
      <c r="DA36" s="34">
        <f>($B36/12)*(1+INDEX($C36:$E36,1,Control!$B$10))^DA5*INDEX($B$13:$M$13,1,MOD(100-1,12)+1)</f>
        <v/>
      </c>
      <c r="DB36" s="34">
        <f>($B36/12)*(1+INDEX($C36:$E36,1,Control!$B$10))^DB5*INDEX($B$13:$M$13,1,MOD(101-1,12)+1)</f>
        <v/>
      </c>
      <c r="DC36" s="34">
        <f>($B36/12)*(1+INDEX($C36:$E36,1,Control!$B$10))^DC5*INDEX($B$13:$M$13,1,MOD(102-1,12)+1)</f>
        <v/>
      </c>
      <c r="DD36" s="34">
        <f>($B36/12)*(1+INDEX($C36:$E36,1,Control!$B$10))^DD5*INDEX($B$13:$M$13,1,MOD(103-1,12)+1)</f>
        <v/>
      </c>
      <c r="DE36" s="34">
        <f>($B36/12)*(1+INDEX($C36:$E36,1,Control!$B$10))^DE5*INDEX($B$13:$M$13,1,MOD(104-1,12)+1)</f>
        <v/>
      </c>
      <c r="DF36" s="34">
        <f>($B36/12)*(1+INDEX($C36:$E36,1,Control!$B$10))^DF5*INDEX($B$13:$M$13,1,MOD(105-1,12)+1)</f>
        <v/>
      </c>
      <c r="DG36" s="34">
        <f>($B36/12)*(1+INDEX($C36:$E36,1,Control!$B$10))^DG5*INDEX($B$13:$M$13,1,MOD(106-1,12)+1)</f>
        <v/>
      </c>
      <c r="DH36" s="34">
        <f>($B36/12)*(1+INDEX($C36:$E36,1,Control!$B$10))^DH5*INDEX($B$13:$M$13,1,MOD(107-1,12)+1)</f>
        <v/>
      </c>
      <c r="DI36" s="34">
        <f>($B36/12)*(1+INDEX($C36:$E36,1,Control!$B$10))^DI5*INDEX($B$13:$M$13,1,MOD(108-1,12)+1)</f>
        <v/>
      </c>
      <c r="DJ36" s="34">
        <f>($B36/12)*(1+INDEX($C36:$E36,1,Control!$B$10))^DJ5*INDEX($B$13:$M$13,1,MOD(109-1,12)+1)</f>
        <v/>
      </c>
      <c r="DK36" s="34">
        <f>($B36/12)*(1+INDEX($C36:$E36,1,Control!$B$10))^DK5*INDEX($B$13:$M$13,1,MOD(110-1,12)+1)</f>
        <v/>
      </c>
      <c r="DL36" s="34">
        <f>($B36/12)*(1+INDEX($C36:$E36,1,Control!$B$10))^DL5*INDEX($B$13:$M$13,1,MOD(111-1,12)+1)</f>
        <v/>
      </c>
      <c r="DM36" s="34">
        <f>($B36/12)*(1+INDEX($C36:$E36,1,Control!$B$10))^DM5*INDEX($B$13:$M$13,1,MOD(112-1,12)+1)</f>
        <v/>
      </c>
      <c r="DN36" s="34">
        <f>($B36/12)*(1+INDEX($C36:$E36,1,Control!$B$10))^DN5*INDEX($B$13:$M$13,1,MOD(113-1,12)+1)</f>
        <v/>
      </c>
      <c r="DO36" s="34">
        <f>($B36/12)*(1+INDEX($C36:$E36,1,Control!$B$10))^DO5*INDEX($B$13:$M$13,1,MOD(114-1,12)+1)</f>
        <v/>
      </c>
      <c r="DP36" s="34">
        <f>($B36/12)*(1+INDEX($C36:$E36,1,Control!$B$10))^DP5*INDEX($B$13:$M$13,1,MOD(115-1,12)+1)</f>
        <v/>
      </c>
      <c r="DQ36" s="34">
        <f>($B36/12)*(1+INDEX($C36:$E36,1,Control!$B$10))^DQ5*INDEX($B$13:$M$13,1,MOD(116-1,12)+1)</f>
        <v/>
      </c>
      <c r="DR36" s="34">
        <f>($B36/12)*(1+INDEX($C36:$E36,1,Control!$B$10))^DR5*INDEX($B$13:$M$13,1,MOD(117-1,12)+1)</f>
        <v/>
      </c>
      <c r="DS36" s="34">
        <f>($B36/12)*(1+INDEX($C36:$E36,1,Control!$B$10))^DS5*INDEX($B$13:$M$13,1,MOD(118-1,12)+1)</f>
        <v/>
      </c>
      <c r="DT36" s="34">
        <f>($B36/12)*(1+INDEX($C36:$E36,1,Control!$B$10))^DT5*INDEX($B$13:$M$13,1,MOD(119-1,12)+1)</f>
        <v/>
      </c>
      <c r="DU36" s="34">
        <f>($B36/12)*(1+INDEX($C36:$E36,1,Control!$B$10))^DU5*INDEX($B$13:$M$13,1,MOD(120-1,12)+1)</f>
        <v/>
      </c>
    </row>
    <row r="37">
      <c r="A37" t="inlineStr">
        <is>
          <t>CityLight-Bottles-OnTrade</t>
        </is>
      </c>
      <c r="B37" s="33" t="n">
        <v>25000</v>
      </c>
      <c r="C37" s="22" t="n">
        <v>0.025</v>
      </c>
      <c r="D37" s="22" t="n">
        <v>0.04</v>
      </c>
      <c r="E37" s="22" t="n">
        <v>0.01</v>
      </c>
      <c r="F37" s="34">
        <f>($B37/12)*(1+INDEX($C37:$E37,1,Control!$B$10))^F5*INDEX($B$13:$M$13,1,MOD(1-1,12)+1)</f>
        <v/>
      </c>
      <c r="G37" s="34">
        <f>($B37/12)*(1+INDEX($C37:$E37,1,Control!$B$10))^G5*INDEX($B$13:$M$13,1,MOD(2-1,12)+1)</f>
        <v/>
      </c>
      <c r="H37" s="34">
        <f>($B37/12)*(1+INDEX($C37:$E37,1,Control!$B$10))^H5*INDEX($B$13:$M$13,1,MOD(3-1,12)+1)</f>
        <v/>
      </c>
      <c r="I37" s="34">
        <f>($B37/12)*(1+INDEX($C37:$E37,1,Control!$B$10))^I5*INDEX($B$13:$M$13,1,MOD(4-1,12)+1)</f>
        <v/>
      </c>
      <c r="J37" s="34">
        <f>($B37/12)*(1+INDEX($C37:$E37,1,Control!$B$10))^J5*INDEX($B$13:$M$13,1,MOD(5-1,12)+1)</f>
        <v/>
      </c>
      <c r="K37" s="34">
        <f>($B37/12)*(1+INDEX($C37:$E37,1,Control!$B$10))^K5*INDEX($B$13:$M$13,1,MOD(6-1,12)+1)</f>
        <v/>
      </c>
      <c r="L37" s="34">
        <f>($B37/12)*(1+INDEX($C37:$E37,1,Control!$B$10))^L5*INDEX($B$13:$M$13,1,MOD(7-1,12)+1)</f>
        <v/>
      </c>
      <c r="M37" s="34">
        <f>($B37/12)*(1+INDEX($C37:$E37,1,Control!$B$10))^M5*INDEX($B$13:$M$13,1,MOD(8-1,12)+1)</f>
        <v/>
      </c>
      <c r="N37" s="34">
        <f>($B37/12)*(1+INDEX($C37:$E37,1,Control!$B$10))^N5*INDEX($B$13:$M$13,1,MOD(9-1,12)+1)</f>
        <v/>
      </c>
      <c r="O37" s="34">
        <f>($B37/12)*(1+INDEX($C37:$E37,1,Control!$B$10))^O5*INDEX($B$13:$M$13,1,MOD(10-1,12)+1)</f>
        <v/>
      </c>
      <c r="P37" s="34">
        <f>($B37/12)*(1+INDEX($C37:$E37,1,Control!$B$10))^P5*INDEX($B$13:$M$13,1,MOD(11-1,12)+1)</f>
        <v/>
      </c>
      <c r="Q37" s="34">
        <f>($B37/12)*(1+INDEX($C37:$E37,1,Control!$B$10))^Q5*INDEX($B$13:$M$13,1,MOD(12-1,12)+1)</f>
        <v/>
      </c>
      <c r="R37" s="34">
        <f>($B37/12)*(1+INDEX($C37:$E37,1,Control!$B$10))^R5*INDEX($B$13:$M$13,1,MOD(13-1,12)+1)</f>
        <v/>
      </c>
      <c r="S37" s="34">
        <f>($B37/12)*(1+INDEX($C37:$E37,1,Control!$B$10))^S5*INDEX($B$13:$M$13,1,MOD(14-1,12)+1)</f>
        <v/>
      </c>
      <c r="T37" s="34">
        <f>($B37/12)*(1+INDEX($C37:$E37,1,Control!$B$10))^T5*INDEX($B$13:$M$13,1,MOD(15-1,12)+1)</f>
        <v/>
      </c>
      <c r="U37" s="34">
        <f>($B37/12)*(1+INDEX($C37:$E37,1,Control!$B$10))^U5*INDEX($B$13:$M$13,1,MOD(16-1,12)+1)</f>
        <v/>
      </c>
      <c r="V37" s="34">
        <f>($B37/12)*(1+INDEX($C37:$E37,1,Control!$B$10))^V5*INDEX($B$13:$M$13,1,MOD(17-1,12)+1)</f>
        <v/>
      </c>
      <c r="W37" s="34">
        <f>($B37/12)*(1+INDEX($C37:$E37,1,Control!$B$10))^W5*INDEX($B$13:$M$13,1,MOD(18-1,12)+1)</f>
        <v/>
      </c>
      <c r="X37" s="34">
        <f>($B37/12)*(1+INDEX($C37:$E37,1,Control!$B$10))^X5*INDEX($B$13:$M$13,1,MOD(19-1,12)+1)</f>
        <v/>
      </c>
      <c r="Y37" s="34">
        <f>($B37/12)*(1+INDEX($C37:$E37,1,Control!$B$10))^Y5*INDEX($B$13:$M$13,1,MOD(20-1,12)+1)</f>
        <v/>
      </c>
      <c r="Z37" s="34">
        <f>($B37/12)*(1+INDEX($C37:$E37,1,Control!$B$10))^Z5*INDEX($B$13:$M$13,1,MOD(21-1,12)+1)</f>
        <v/>
      </c>
      <c r="AA37" s="34">
        <f>($B37/12)*(1+INDEX($C37:$E37,1,Control!$B$10))^AA5*INDEX($B$13:$M$13,1,MOD(22-1,12)+1)</f>
        <v/>
      </c>
      <c r="AB37" s="34">
        <f>($B37/12)*(1+INDEX($C37:$E37,1,Control!$B$10))^AB5*INDEX($B$13:$M$13,1,MOD(23-1,12)+1)</f>
        <v/>
      </c>
      <c r="AC37" s="34">
        <f>($B37/12)*(1+INDEX($C37:$E37,1,Control!$B$10))^AC5*INDEX($B$13:$M$13,1,MOD(24-1,12)+1)</f>
        <v/>
      </c>
      <c r="AD37" s="34">
        <f>($B37/12)*(1+INDEX($C37:$E37,1,Control!$B$10))^AD5*INDEX($B$13:$M$13,1,MOD(25-1,12)+1)</f>
        <v/>
      </c>
      <c r="AE37" s="34">
        <f>($B37/12)*(1+INDEX($C37:$E37,1,Control!$B$10))^AE5*INDEX($B$13:$M$13,1,MOD(26-1,12)+1)</f>
        <v/>
      </c>
      <c r="AF37" s="34">
        <f>($B37/12)*(1+INDEX($C37:$E37,1,Control!$B$10))^AF5*INDEX($B$13:$M$13,1,MOD(27-1,12)+1)</f>
        <v/>
      </c>
      <c r="AG37" s="34">
        <f>($B37/12)*(1+INDEX($C37:$E37,1,Control!$B$10))^AG5*INDEX($B$13:$M$13,1,MOD(28-1,12)+1)</f>
        <v/>
      </c>
      <c r="AH37" s="34">
        <f>($B37/12)*(1+INDEX($C37:$E37,1,Control!$B$10))^AH5*INDEX($B$13:$M$13,1,MOD(29-1,12)+1)</f>
        <v/>
      </c>
      <c r="AI37" s="34">
        <f>($B37/12)*(1+INDEX($C37:$E37,1,Control!$B$10))^AI5*INDEX($B$13:$M$13,1,MOD(30-1,12)+1)</f>
        <v/>
      </c>
      <c r="AJ37" s="34">
        <f>($B37/12)*(1+INDEX($C37:$E37,1,Control!$B$10))^AJ5*INDEX($B$13:$M$13,1,MOD(31-1,12)+1)</f>
        <v/>
      </c>
      <c r="AK37" s="34">
        <f>($B37/12)*(1+INDEX($C37:$E37,1,Control!$B$10))^AK5*INDEX($B$13:$M$13,1,MOD(32-1,12)+1)</f>
        <v/>
      </c>
      <c r="AL37" s="34">
        <f>($B37/12)*(1+INDEX($C37:$E37,1,Control!$B$10))^AL5*INDEX($B$13:$M$13,1,MOD(33-1,12)+1)</f>
        <v/>
      </c>
      <c r="AM37" s="34">
        <f>($B37/12)*(1+INDEX($C37:$E37,1,Control!$B$10))^AM5*INDEX($B$13:$M$13,1,MOD(34-1,12)+1)</f>
        <v/>
      </c>
      <c r="AN37" s="34">
        <f>($B37/12)*(1+INDEX($C37:$E37,1,Control!$B$10))^AN5*INDEX($B$13:$M$13,1,MOD(35-1,12)+1)</f>
        <v/>
      </c>
      <c r="AO37" s="34">
        <f>($B37/12)*(1+INDEX($C37:$E37,1,Control!$B$10))^AO5*INDEX($B$13:$M$13,1,MOD(36-1,12)+1)</f>
        <v/>
      </c>
      <c r="AP37" s="34">
        <f>($B37/12)*(1+INDEX($C37:$E37,1,Control!$B$10))^AP5*INDEX($B$13:$M$13,1,MOD(37-1,12)+1)</f>
        <v/>
      </c>
      <c r="AQ37" s="34">
        <f>($B37/12)*(1+INDEX($C37:$E37,1,Control!$B$10))^AQ5*INDEX($B$13:$M$13,1,MOD(38-1,12)+1)</f>
        <v/>
      </c>
      <c r="AR37" s="34">
        <f>($B37/12)*(1+INDEX($C37:$E37,1,Control!$B$10))^AR5*INDEX($B$13:$M$13,1,MOD(39-1,12)+1)</f>
        <v/>
      </c>
      <c r="AS37" s="34">
        <f>($B37/12)*(1+INDEX($C37:$E37,1,Control!$B$10))^AS5*INDEX($B$13:$M$13,1,MOD(40-1,12)+1)</f>
        <v/>
      </c>
      <c r="AT37" s="34">
        <f>($B37/12)*(1+INDEX($C37:$E37,1,Control!$B$10))^AT5*INDEX($B$13:$M$13,1,MOD(41-1,12)+1)</f>
        <v/>
      </c>
      <c r="AU37" s="34">
        <f>($B37/12)*(1+INDEX($C37:$E37,1,Control!$B$10))^AU5*INDEX($B$13:$M$13,1,MOD(42-1,12)+1)</f>
        <v/>
      </c>
      <c r="AV37" s="34">
        <f>($B37/12)*(1+INDEX($C37:$E37,1,Control!$B$10))^AV5*INDEX($B$13:$M$13,1,MOD(43-1,12)+1)</f>
        <v/>
      </c>
      <c r="AW37" s="34">
        <f>($B37/12)*(1+INDEX($C37:$E37,1,Control!$B$10))^AW5*INDEX($B$13:$M$13,1,MOD(44-1,12)+1)</f>
        <v/>
      </c>
      <c r="AX37" s="34">
        <f>($B37/12)*(1+INDEX($C37:$E37,1,Control!$B$10))^AX5*INDEX($B$13:$M$13,1,MOD(45-1,12)+1)</f>
        <v/>
      </c>
      <c r="AY37" s="34">
        <f>($B37/12)*(1+INDEX($C37:$E37,1,Control!$B$10))^AY5*INDEX($B$13:$M$13,1,MOD(46-1,12)+1)</f>
        <v/>
      </c>
      <c r="AZ37" s="34">
        <f>($B37/12)*(1+INDEX($C37:$E37,1,Control!$B$10))^AZ5*INDEX($B$13:$M$13,1,MOD(47-1,12)+1)</f>
        <v/>
      </c>
      <c r="BA37" s="34">
        <f>($B37/12)*(1+INDEX($C37:$E37,1,Control!$B$10))^BA5*INDEX($B$13:$M$13,1,MOD(48-1,12)+1)</f>
        <v/>
      </c>
      <c r="BB37" s="34">
        <f>($B37/12)*(1+INDEX($C37:$E37,1,Control!$B$10))^BB5*INDEX($B$13:$M$13,1,MOD(49-1,12)+1)</f>
        <v/>
      </c>
      <c r="BC37" s="34">
        <f>($B37/12)*(1+INDEX($C37:$E37,1,Control!$B$10))^BC5*INDEX($B$13:$M$13,1,MOD(50-1,12)+1)</f>
        <v/>
      </c>
      <c r="BD37" s="34">
        <f>($B37/12)*(1+INDEX($C37:$E37,1,Control!$B$10))^BD5*INDEX($B$13:$M$13,1,MOD(51-1,12)+1)</f>
        <v/>
      </c>
      <c r="BE37" s="34">
        <f>($B37/12)*(1+INDEX($C37:$E37,1,Control!$B$10))^BE5*INDEX($B$13:$M$13,1,MOD(52-1,12)+1)</f>
        <v/>
      </c>
      <c r="BF37" s="34">
        <f>($B37/12)*(1+INDEX($C37:$E37,1,Control!$B$10))^BF5*INDEX($B$13:$M$13,1,MOD(53-1,12)+1)</f>
        <v/>
      </c>
      <c r="BG37" s="34">
        <f>($B37/12)*(1+INDEX($C37:$E37,1,Control!$B$10))^BG5*INDEX($B$13:$M$13,1,MOD(54-1,12)+1)</f>
        <v/>
      </c>
      <c r="BH37" s="34">
        <f>($B37/12)*(1+INDEX($C37:$E37,1,Control!$B$10))^BH5*INDEX($B$13:$M$13,1,MOD(55-1,12)+1)</f>
        <v/>
      </c>
      <c r="BI37" s="34">
        <f>($B37/12)*(1+INDEX($C37:$E37,1,Control!$B$10))^BI5*INDEX($B$13:$M$13,1,MOD(56-1,12)+1)</f>
        <v/>
      </c>
      <c r="BJ37" s="34">
        <f>($B37/12)*(1+INDEX($C37:$E37,1,Control!$B$10))^BJ5*INDEX($B$13:$M$13,1,MOD(57-1,12)+1)</f>
        <v/>
      </c>
      <c r="BK37" s="34">
        <f>($B37/12)*(1+INDEX($C37:$E37,1,Control!$B$10))^BK5*INDEX($B$13:$M$13,1,MOD(58-1,12)+1)</f>
        <v/>
      </c>
      <c r="BL37" s="34">
        <f>($B37/12)*(1+INDEX($C37:$E37,1,Control!$B$10))^BL5*INDEX($B$13:$M$13,1,MOD(59-1,12)+1)</f>
        <v/>
      </c>
      <c r="BM37" s="34">
        <f>($B37/12)*(1+INDEX($C37:$E37,1,Control!$B$10))^BM5*INDEX($B$13:$M$13,1,MOD(60-1,12)+1)</f>
        <v/>
      </c>
      <c r="BN37" s="34">
        <f>($B37/12)*(1+INDEX($C37:$E37,1,Control!$B$10))^BN5*INDEX($B$13:$M$13,1,MOD(61-1,12)+1)</f>
        <v/>
      </c>
      <c r="BO37" s="34">
        <f>($B37/12)*(1+INDEX($C37:$E37,1,Control!$B$10))^BO5*INDEX($B$13:$M$13,1,MOD(62-1,12)+1)</f>
        <v/>
      </c>
      <c r="BP37" s="34">
        <f>($B37/12)*(1+INDEX($C37:$E37,1,Control!$B$10))^BP5*INDEX($B$13:$M$13,1,MOD(63-1,12)+1)</f>
        <v/>
      </c>
      <c r="BQ37" s="34">
        <f>($B37/12)*(1+INDEX($C37:$E37,1,Control!$B$10))^BQ5*INDEX($B$13:$M$13,1,MOD(64-1,12)+1)</f>
        <v/>
      </c>
      <c r="BR37" s="34">
        <f>($B37/12)*(1+INDEX($C37:$E37,1,Control!$B$10))^BR5*INDEX($B$13:$M$13,1,MOD(65-1,12)+1)</f>
        <v/>
      </c>
      <c r="BS37" s="34">
        <f>($B37/12)*(1+INDEX($C37:$E37,1,Control!$B$10))^BS5*INDEX($B$13:$M$13,1,MOD(66-1,12)+1)</f>
        <v/>
      </c>
      <c r="BT37" s="34">
        <f>($B37/12)*(1+INDEX($C37:$E37,1,Control!$B$10))^BT5*INDEX($B$13:$M$13,1,MOD(67-1,12)+1)</f>
        <v/>
      </c>
      <c r="BU37" s="34">
        <f>($B37/12)*(1+INDEX($C37:$E37,1,Control!$B$10))^BU5*INDEX($B$13:$M$13,1,MOD(68-1,12)+1)</f>
        <v/>
      </c>
      <c r="BV37" s="34">
        <f>($B37/12)*(1+INDEX($C37:$E37,1,Control!$B$10))^BV5*INDEX($B$13:$M$13,1,MOD(69-1,12)+1)</f>
        <v/>
      </c>
      <c r="BW37" s="34">
        <f>($B37/12)*(1+INDEX($C37:$E37,1,Control!$B$10))^BW5*INDEX($B$13:$M$13,1,MOD(70-1,12)+1)</f>
        <v/>
      </c>
      <c r="BX37" s="34">
        <f>($B37/12)*(1+INDEX($C37:$E37,1,Control!$B$10))^BX5*INDEX($B$13:$M$13,1,MOD(71-1,12)+1)</f>
        <v/>
      </c>
      <c r="BY37" s="34">
        <f>($B37/12)*(1+INDEX($C37:$E37,1,Control!$B$10))^BY5*INDEX($B$13:$M$13,1,MOD(72-1,12)+1)</f>
        <v/>
      </c>
      <c r="BZ37" s="34">
        <f>($B37/12)*(1+INDEX($C37:$E37,1,Control!$B$10))^BZ5*INDEX($B$13:$M$13,1,MOD(73-1,12)+1)</f>
        <v/>
      </c>
      <c r="CA37" s="34">
        <f>($B37/12)*(1+INDEX($C37:$E37,1,Control!$B$10))^CA5*INDEX($B$13:$M$13,1,MOD(74-1,12)+1)</f>
        <v/>
      </c>
      <c r="CB37" s="34">
        <f>($B37/12)*(1+INDEX($C37:$E37,1,Control!$B$10))^CB5*INDEX($B$13:$M$13,1,MOD(75-1,12)+1)</f>
        <v/>
      </c>
      <c r="CC37" s="34">
        <f>($B37/12)*(1+INDEX($C37:$E37,1,Control!$B$10))^CC5*INDEX($B$13:$M$13,1,MOD(76-1,12)+1)</f>
        <v/>
      </c>
      <c r="CD37" s="34">
        <f>($B37/12)*(1+INDEX($C37:$E37,1,Control!$B$10))^CD5*INDEX($B$13:$M$13,1,MOD(77-1,12)+1)</f>
        <v/>
      </c>
      <c r="CE37" s="34">
        <f>($B37/12)*(1+INDEX($C37:$E37,1,Control!$B$10))^CE5*INDEX($B$13:$M$13,1,MOD(78-1,12)+1)</f>
        <v/>
      </c>
      <c r="CF37" s="34">
        <f>($B37/12)*(1+INDEX($C37:$E37,1,Control!$B$10))^CF5*INDEX($B$13:$M$13,1,MOD(79-1,12)+1)</f>
        <v/>
      </c>
      <c r="CG37" s="34">
        <f>($B37/12)*(1+INDEX($C37:$E37,1,Control!$B$10))^CG5*INDEX($B$13:$M$13,1,MOD(80-1,12)+1)</f>
        <v/>
      </c>
      <c r="CH37" s="34">
        <f>($B37/12)*(1+INDEX($C37:$E37,1,Control!$B$10))^CH5*INDEX($B$13:$M$13,1,MOD(81-1,12)+1)</f>
        <v/>
      </c>
      <c r="CI37" s="34">
        <f>($B37/12)*(1+INDEX($C37:$E37,1,Control!$B$10))^CI5*INDEX($B$13:$M$13,1,MOD(82-1,12)+1)</f>
        <v/>
      </c>
      <c r="CJ37" s="34">
        <f>($B37/12)*(1+INDEX($C37:$E37,1,Control!$B$10))^CJ5*INDEX($B$13:$M$13,1,MOD(83-1,12)+1)</f>
        <v/>
      </c>
      <c r="CK37" s="34">
        <f>($B37/12)*(1+INDEX($C37:$E37,1,Control!$B$10))^CK5*INDEX($B$13:$M$13,1,MOD(84-1,12)+1)</f>
        <v/>
      </c>
      <c r="CL37" s="34">
        <f>($B37/12)*(1+INDEX($C37:$E37,1,Control!$B$10))^CL5*INDEX($B$13:$M$13,1,MOD(85-1,12)+1)</f>
        <v/>
      </c>
      <c r="CM37" s="34">
        <f>($B37/12)*(1+INDEX($C37:$E37,1,Control!$B$10))^CM5*INDEX($B$13:$M$13,1,MOD(86-1,12)+1)</f>
        <v/>
      </c>
      <c r="CN37" s="34">
        <f>($B37/12)*(1+INDEX($C37:$E37,1,Control!$B$10))^CN5*INDEX($B$13:$M$13,1,MOD(87-1,12)+1)</f>
        <v/>
      </c>
      <c r="CO37" s="34">
        <f>($B37/12)*(1+INDEX($C37:$E37,1,Control!$B$10))^CO5*INDEX($B$13:$M$13,1,MOD(88-1,12)+1)</f>
        <v/>
      </c>
      <c r="CP37" s="34">
        <f>($B37/12)*(1+INDEX($C37:$E37,1,Control!$B$10))^CP5*INDEX($B$13:$M$13,1,MOD(89-1,12)+1)</f>
        <v/>
      </c>
      <c r="CQ37" s="34">
        <f>($B37/12)*(1+INDEX($C37:$E37,1,Control!$B$10))^CQ5*INDEX($B$13:$M$13,1,MOD(90-1,12)+1)</f>
        <v/>
      </c>
      <c r="CR37" s="34">
        <f>($B37/12)*(1+INDEX($C37:$E37,1,Control!$B$10))^CR5*INDEX($B$13:$M$13,1,MOD(91-1,12)+1)</f>
        <v/>
      </c>
      <c r="CS37" s="34">
        <f>($B37/12)*(1+INDEX($C37:$E37,1,Control!$B$10))^CS5*INDEX($B$13:$M$13,1,MOD(92-1,12)+1)</f>
        <v/>
      </c>
      <c r="CT37" s="34">
        <f>($B37/12)*(1+INDEX($C37:$E37,1,Control!$B$10))^CT5*INDEX($B$13:$M$13,1,MOD(93-1,12)+1)</f>
        <v/>
      </c>
      <c r="CU37" s="34">
        <f>($B37/12)*(1+INDEX($C37:$E37,1,Control!$B$10))^CU5*INDEX($B$13:$M$13,1,MOD(94-1,12)+1)</f>
        <v/>
      </c>
      <c r="CV37" s="34">
        <f>($B37/12)*(1+INDEX($C37:$E37,1,Control!$B$10))^CV5*INDEX($B$13:$M$13,1,MOD(95-1,12)+1)</f>
        <v/>
      </c>
      <c r="CW37" s="34">
        <f>($B37/12)*(1+INDEX($C37:$E37,1,Control!$B$10))^CW5*INDEX($B$13:$M$13,1,MOD(96-1,12)+1)</f>
        <v/>
      </c>
      <c r="CX37" s="34">
        <f>($B37/12)*(1+INDEX($C37:$E37,1,Control!$B$10))^CX5*INDEX($B$13:$M$13,1,MOD(97-1,12)+1)</f>
        <v/>
      </c>
      <c r="CY37" s="34">
        <f>($B37/12)*(1+INDEX($C37:$E37,1,Control!$B$10))^CY5*INDEX($B$13:$M$13,1,MOD(98-1,12)+1)</f>
        <v/>
      </c>
      <c r="CZ37" s="34">
        <f>($B37/12)*(1+INDEX($C37:$E37,1,Control!$B$10))^CZ5*INDEX($B$13:$M$13,1,MOD(99-1,12)+1)</f>
        <v/>
      </c>
      <c r="DA37" s="34">
        <f>($B37/12)*(1+INDEX($C37:$E37,1,Control!$B$10))^DA5*INDEX($B$13:$M$13,1,MOD(100-1,12)+1)</f>
        <v/>
      </c>
      <c r="DB37" s="34">
        <f>($B37/12)*(1+INDEX($C37:$E37,1,Control!$B$10))^DB5*INDEX($B$13:$M$13,1,MOD(101-1,12)+1)</f>
        <v/>
      </c>
      <c r="DC37" s="34">
        <f>($B37/12)*(1+INDEX($C37:$E37,1,Control!$B$10))^DC5*INDEX($B$13:$M$13,1,MOD(102-1,12)+1)</f>
        <v/>
      </c>
      <c r="DD37" s="34">
        <f>($B37/12)*(1+INDEX($C37:$E37,1,Control!$B$10))^DD5*INDEX($B$13:$M$13,1,MOD(103-1,12)+1)</f>
        <v/>
      </c>
      <c r="DE37" s="34">
        <f>($B37/12)*(1+INDEX($C37:$E37,1,Control!$B$10))^DE5*INDEX($B$13:$M$13,1,MOD(104-1,12)+1)</f>
        <v/>
      </c>
      <c r="DF37" s="34">
        <f>($B37/12)*(1+INDEX($C37:$E37,1,Control!$B$10))^DF5*INDEX($B$13:$M$13,1,MOD(105-1,12)+1)</f>
        <v/>
      </c>
      <c r="DG37" s="34">
        <f>($B37/12)*(1+INDEX($C37:$E37,1,Control!$B$10))^DG5*INDEX($B$13:$M$13,1,MOD(106-1,12)+1)</f>
        <v/>
      </c>
      <c r="DH37" s="34">
        <f>($B37/12)*(1+INDEX($C37:$E37,1,Control!$B$10))^DH5*INDEX($B$13:$M$13,1,MOD(107-1,12)+1)</f>
        <v/>
      </c>
      <c r="DI37" s="34">
        <f>($B37/12)*(1+INDEX($C37:$E37,1,Control!$B$10))^DI5*INDEX($B$13:$M$13,1,MOD(108-1,12)+1)</f>
        <v/>
      </c>
      <c r="DJ37" s="34">
        <f>($B37/12)*(1+INDEX($C37:$E37,1,Control!$B$10))^DJ5*INDEX($B$13:$M$13,1,MOD(109-1,12)+1)</f>
        <v/>
      </c>
      <c r="DK37" s="34">
        <f>($B37/12)*(1+INDEX($C37:$E37,1,Control!$B$10))^DK5*INDEX($B$13:$M$13,1,MOD(110-1,12)+1)</f>
        <v/>
      </c>
      <c r="DL37" s="34">
        <f>($B37/12)*(1+INDEX($C37:$E37,1,Control!$B$10))^DL5*INDEX($B$13:$M$13,1,MOD(111-1,12)+1)</f>
        <v/>
      </c>
      <c r="DM37" s="34">
        <f>($B37/12)*(1+INDEX($C37:$E37,1,Control!$B$10))^DM5*INDEX($B$13:$M$13,1,MOD(112-1,12)+1)</f>
        <v/>
      </c>
      <c r="DN37" s="34">
        <f>($B37/12)*(1+INDEX($C37:$E37,1,Control!$B$10))^DN5*INDEX($B$13:$M$13,1,MOD(113-1,12)+1)</f>
        <v/>
      </c>
      <c r="DO37" s="34">
        <f>($B37/12)*(1+INDEX($C37:$E37,1,Control!$B$10))^DO5*INDEX($B$13:$M$13,1,MOD(114-1,12)+1)</f>
        <v/>
      </c>
      <c r="DP37" s="34">
        <f>($B37/12)*(1+INDEX($C37:$E37,1,Control!$B$10))^DP5*INDEX($B$13:$M$13,1,MOD(115-1,12)+1)</f>
        <v/>
      </c>
      <c r="DQ37" s="34">
        <f>($B37/12)*(1+INDEX($C37:$E37,1,Control!$B$10))^DQ5*INDEX($B$13:$M$13,1,MOD(116-1,12)+1)</f>
        <v/>
      </c>
      <c r="DR37" s="34">
        <f>($B37/12)*(1+INDEX($C37:$E37,1,Control!$B$10))^DR5*INDEX($B$13:$M$13,1,MOD(117-1,12)+1)</f>
        <v/>
      </c>
      <c r="DS37" s="34">
        <f>($B37/12)*(1+INDEX($C37:$E37,1,Control!$B$10))^DS5*INDEX($B$13:$M$13,1,MOD(118-1,12)+1)</f>
        <v/>
      </c>
      <c r="DT37" s="34">
        <f>($B37/12)*(1+INDEX($C37:$E37,1,Control!$B$10))^DT5*INDEX($B$13:$M$13,1,MOD(119-1,12)+1)</f>
        <v/>
      </c>
      <c r="DU37" s="34">
        <f>($B37/12)*(1+INDEX($C37:$E37,1,Control!$B$10))^DU5*INDEX($B$13:$M$13,1,MOD(120-1,12)+1)</f>
        <v/>
      </c>
    </row>
    <row r="38">
      <c r="A38" t="inlineStr">
        <is>
          <t>CityLight-Bottles-OffTrade</t>
        </is>
      </c>
      <c r="B38" s="33" t="n">
        <v>60000</v>
      </c>
      <c r="C38" s="22" t="n">
        <v>0.025</v>
      </c>
      <c r="D38" s="22" t="n">
        <v>0.04</v>
      </c>
      <c r="E38" s="22" t="n">
        <v>0.01</v>
      </c>
      <c r="F38" s="34">
        <f>($B38/12)*(1+INDEX($C38:$E38,1,Control!$B$10))^F5*INDEX($B$13:$M$13,1,MOD(1-1,12)+1)</f>
        <v/>
      </c>
      <c r="G38" s="34">
        <f>($B38/12)*(1+INDEX($C38:$E38,1,Control!$B$10))^G5*INDEX($B$13:$M$13,1,MOD(2-1,12)+1)</f>
        <v/>
      </c>
      <c r="H38" s="34">
        <f>($B38/12)*(1+INDEX($C38:$E38,1,Control!$B$10))^H5*INDEX($B$13:$M$13,1,MOD(3-1,12)+1)</f>
        <v/>
      </c>
      <c r="I38" s="34">
        <f>($B38/12)*(1+INDEX($C38:$E38,1,Control!$B$10))^I5*INDEX($B$13:$M$13,1,MOD(4-1,12)+1)</f>
        <v/>
      </c>
      <c r="J38" s="34">
        <f>($B38/12)*(1+INDEX($C38:$E38,1,Control!$B$10))^J5*INDEX($B$13:$M$13,1,MOD(5-1,12)+1)</f>
        <v/>
      </c>
      <c r="K38" s="34">
        <f>($B38/12)*(1+INDEX($C38:$E38,1,Control!$B$10))^K5*INDEX($B$13:$M$13,1,MOD(6-1,12)+1)</f>
        <v/>
      </c>
      <c r="L38" s="34">
        <f>($B38/12)*(1+INDEX($C38:$E38,1,Control!$B$10))^L5*INDEX($B$13:$M$13,1,MOD(7-1,12)+1)</f>
        <v/>
      </c>
      <c r="M38" s="34">
        <f>($B38/12)*(1+INDEX($C38:$E38,1,Control!$B$10))^M5*INDEX($B$13:$M$13,1,MOD(8-1,12)+1)</f>
        <v/>
      </c>
      <c r="N38" s="34">
        <f>($B38/12)*(1+INDEX($C38:$E38,1,Control!$B$10))^N5*INDEX($B$13:$M$13,1,MOD(9-1,12)+1)</f>
        <v/>
      </c>
      <c r="O38" s="34">
        <f>($B38/12)*(1+INDEX($C38:$E38,1,Control!$B$10))^O5*INDEX($B$13:$M$13,1,MOD(10-1,12)+1)</f>
        <v/>
      </c>
      <c r="P38" s="34">
        <f>($B38/12)*(1+INDEX($C38:$E38,1,Control!$B$10))^P5*INDEX($B$13:$M$13,1,MOD(11-1,12)+1)</f>
        <v/>
      </c>
      <c r="Q38" s="34">
        <f>($B38/12)*(1+INDEX($C38:$E38,1,Control!$B$10))^Q5*INDEX($B$13:$M$13,1,MOD(12-1,12)+1)</f>
        <v/>
      </c>
      <c r="R38" s="34">
        <f>($B38/12)*(1+INDEX($C38:$E38,1,Control!$B$10))^R5*INDEX($B$13:$M$13,1,MOD(13-1,12)+1)</f>
        <v/>
      </c>
      <c r="S38" s="34">
        <f>($B38/12)*(1+INDEX($C38:$E38,1,Control!$B$10))^S5*INDEX($B$13:$M$13,1,MOD(14-1,12)+1)</f>
        <v/>
      </c>
      <c r="T38" s="34">
        <f>($B38/12)*(1+INDEX($C38:$E38,1,Control!$B$10))^T5*INDEX($B$13:$M$13,1,MOD(15-1,12)+1)</f>
        <v/>
      </c>
      <c r="U38" s="34">
        <f>($B38/12)*(1+INDEX($C38:$E38,1,Control!$B$10))^U5*INDEX($B$13:$M$13,1,MOD(16-1,12)+1)</f>
        <v/>
      </c>
      <c r="V38" s="34">
        <f>($B38/12)*(1+INDEX($C38:$E38,1,Control!$B$10))^V5*INDEX($B$13:$M$13,1,MOD(17-1,12)+1)</f>
        <v/>
      </c>
      <c r="W38" s="34">
        <f>($B38/12)*(1+INDEX($C38:$E38,1,Control!$B$10))^W5*INDEX($B$13:$M$13,1,MOD(18-1,12)+1)</f>
        <v/>
      </c>
      <c r="X38" s="34">
        <f>($B38/12)*(1+INDEX($C38:$E38,1,Control!$B$10))^X5*INDEX($B$13:$M$13,1,MOD(19-1,12)+1)</f>
        <v/>
      </c>
      <c r="Y38" s="34">
        <f>($B38/12)*(1+INDEX($C38:$E38,1,Control!$B$10))^Y5*INDEX($B$13:$M$13,1,MOD(20-1,12)+1)</f>
        <v/>
      </c>
      <c r="Z38" s="34">
        <f>($B38/12)*(1+INDEX($C38:$E38,1,Control!$B$10))^Z5*INDEX($B$13:$M$13,1,MOD(21-1,12)+1)</f>
        <v/>
      </c>
      <c r="AA38" s="34">
        <f>($B38/12)*(1+INDEX($C38:$E38,1,Control!$B$10))^AA5*INDEX($B$13:$M$13,1,MOD(22-1,12)+1)</f>
        <v/>
      </c>
      <c r="AB38" s="34">
        <f>($B38/12)*(1+INDEX($C38:$E38,1,Control!$B$10))^AB5*INDEX($B$13:$M$13,1,MOD(23-1,12)+1)</f>
        <v/>
      </c>
      <c r="AC38" s="34">
        <f>($B38/12)*(1+INDEX($C38:$E38,1,Control!$B$10))^AC5*INDEX($B$13:$M$13,1,MOD(24-1,12)+1)</f>
        <v/>
      </c>
      <c r="AD38" s="34">
        <f>($B38/12)*(1+INDEX($C38:$E38,1,Control!$B$10))^AD5*INDEX($B$13:$M$13,1,MOD(25-1,12)+1)</f>
        <v/>
      </c>
      <c r="AE38" s="34">
        <f>($B38/12)*(1+INDEX($C38:$E38,1,Control!$B$10))^AE5*INDEX($B$13:$M$13,1,MOD(26-1,12)+1)</f>
        <v/>
      </c>
      <c r="AF38" s="34">
        <f>($B38/12)*(1+INDEX($C38:$E38,1,Control!$B$10))^AF5*INDEX($B$13:$M$13,1,MOD(27-1,12)+1)</f>
        <v/>
      </c>
      <c r="AG38" s="34">
        <f>($B38/12)*(1+INDEX($C38:$E38,1,Control!$B$10))^AG5*INDEX($B$13:$M$13,1,MOD(28-1,12)+1)</f>
        <v/>
      </c>
      <c r="AH38" s="34">
        <f>($B38/12)*(1+INDEX($C38:$E38,1,Control!$B$10))^AH5*INDEX($B$13:$M$13,1,MOD(29-1,12)+1)</f>
        <v/>
      </c>
      <c r="AI38" s="34">
        <f>($B38/12)*(1+INDEX($C38:$E38,1,Control!$B$10))^AI5*INDEX($B$13:$M$13,1,MOD(30-1,12)+1)</f>
        <v/>
      </c>
      <c r="AJ38" s="34">
        <f>($B38/12)*(1+INDEX($C38:$E38,1,Control!$B$10))^AJ5*INDEX($B$13:$M$13,1,MOD(31-1,12)+1)</f>
        <v/>
      </c>
      <c r="AK38" s="34">
        <f>($B38/12)*(1+INDEX($C38:$E38,1,Control!$B$10))^AK5*INDEX($B$13:$M$13,1,MOD(32-1,12)+1)</f>
        <v/>
      </c>
      <c r="AL38" s="34">
        <f>($B38/12)*(1+INDEX($C38:$E38,1,Control!$B$10))^AL5*INDEX($B$13:$M$13,1,MOD(33-1,12)+1)</f>
        <v/>
      </c>
      <c r="AM38" s="34">
        <f>($B38/12)*(1+INDEX($C38:$E38,1,Control!$B$10))^AM5*INDEX($B$13:$M$13,1,MOD(34-1,12)+1)</f>
        <v/>
      </c>
      <c r="AN38" s="34">
        <f>($B38/12)*(1+INDEX($C38:$E38,1,Control!$B$10))^AN5*INDEX($B$13:$M$13,1,MOD(35-1,12)+1)</f>
        <v/>
      </c>
      <c r="AO38" s="34">
        <f>($B38/12)*(1+INDEX($C38:$E38,1,Control!$B$10))^AO5*INDEX($B$13:$M$13,1,MOD(36-1,12)+1)</f>
        <v/>
      </c>
      <c r="AP38" s="34">
        <f>($B38/12)*(1+INDEX($C38:$E38,1,Control!$B$10))^AP5*INDEX($B$13:$M$13,1,MOD(37-1,12)+1)</f>
        <v/>
      </c>
      <c r="AQ38" s="34">
        <f>($B38/12)*(1+INDEX($C38:$E38,1,Control!$B$10))^AQ5*INDEX($B$13:$M$13,1,MOD(38-1,12)+1)</f>
        <v/>
      </c>
      <c r="AR38" s="34">
        <f>($B38/12)*(1+INDEX($C38:$E38,1,Control!$B$10))^AR5*INDEX($B$13:$M$13,1,MOD(39-1,12)+1)</f>
        <v/>
      </c>
      <c r="AS38" s="34">
        <f>($B38/12)*(1+INDEX($C38:$E38,1,Control!$B$10))^AS5*INDEX($B$13:$M$13,1,MOD(40-1,12)+1)</f>
        <v/>
      </c>
      <c r="AT38" s="34">
        <f>($B38/12)*(1+INDEX($C38:$E38,1,Control!$B$10))^AT5*INDEX($B$13:$M$13,1,MOD(41-1,12)+1)</f>
        <v/>
      </c>
      <c r="AU38" s="34">
        <f>($B38/12)*(1+INDEX($C38:$E38,1,Control!$B$10))^AU5*INDEX($B$13:$M$13,1,MOD(42-1,12)+1)</f>
        <v/>
      </c>
      <c r="AV38" s="34">
        <f>($B38/12)*(1+INDEX($C38:$E38,1,Control!$B$10))^AV5*INDEX($B$13:$M$13,1,MOD(43-1,12)+1)</f>
        <v/>
      </c>
      <c r="AW38" s="34">
        <f>($B38/12)*(1+INDEX($C38:$E38,1,Control!$B$10))^AW5*INDEX($B$13:$M$13,1,MOD(44-1,12)+1)</f>
        <v/>
      </c>
      <c r="AX38" s="34">
        <f>($B38/12)*(1+INDEX($C38:$E38,1,Control!$B$10))^AX5*INDEX($B$13:$M$13,1,MOD(45-1,12)+1)</f>
        <v/>
      </c>
      <c r="AY38" s="34">
        <f>($B38/12)*(1+INDEX($C38:$E38,1,Control!$B$10))^AY5*INDEX($B$13:$M$13,1,MOD(46-1,12)+1)</f>
        <v/>
      </c>
      <c r="AZ38" s="34">
        <f>($B38/12)*(1+INDEX($C38:$E38,1,Control!$B$10))^AZ5*INDEX($B$13:$M$13,1,MOD(47-1,12)+1)</f>
        <v/>
      </c>
      <c r="BA38" s="34">
        <f>($B38/12)*(1+INDEX($C38:$E38,1,Control!$B$10))^BA5*INDEX($B$13:$M$13,1,MOD(48-1,12)+1)</f>
        <v/>
      </c>
      <c r="BB38" s="34">
        <f>($B38/12)*(1+INDEX($C38:$E38,1,Control!$B$10))^BB5*INDEX($B$13:$M$13,1,MOD(49-1,12)+1)</f>
        <v/>
      </c>
      <c r="BC38" s="34">
        <f>($B38/12)*(1+INDEX($C38:$E38,1,Control!$B$10))^BC5*INDEX($B$13:$M$13,1,MOD(50-1,12)+1)</f>
        <v/>
      </c>
      <c r="BD38" s="34">
        <f>($B38/12)*(1+INDEX($C38:$E38,1,Control!$B$10))^BD5*INDEX($B$13:$M$13,1,MOD(51-1,12)+1)</f>
        <v/>
      </c>
      <c r="BE38" s="34">
        <f>($B38/12)*(1+INDEX($C38:$E38,1,Control!$B$10))^BE5*INDEX($B$13:$M$13,1,MOD(52-1,12)+1)</f>
        <v/>
      </c>
      <c r="BF38" s="34">
        <f>($B38/12)*(1+INDEX($C38:$E38,1,Control!$B$10))^BF5*INDEX($B$13:$M$13,1,MOD(53-1,12)+1)</f>
        <v/>
      </c>
      <c r="BG38" s="34">
        <f>($B38/12)*(1+INDEX($C38:$E38,1,Control!$B$10))^BG5*INDEX($B$13:$M$13,1,MOD(54-1,12)+1)</f>
        <v/>
      </c>
      <c r="BH38" s="34">
        <f>($B38/12)*(1+INDEX($C38:$E38,1,Control!$B$10))^BH5*INDEX($B$13:$M$13,1,MOD(55-1,12)+1)</f>
        <v/>
      </c>
      <c r="BI38" s="34">
        <f>($B38/12)*(1+INDEX($C38:$E38,1,Control!$B$10))^BI5*INDEX($B$13:$M$13,1,MOD(56-1,12)+1)</f>
        <v/>
      </c>
      <c r="BJ38" s="34">
        <f>($B38/12)*(1+INDEX($C38:$E38,1,Control!$B$10))^BJ5*INDEX($B$13:$M$13,1,MOD(57-1,12)+1)</f>
        <v/>
      </c>
      <c r="BK38" s="34">
        <f>($B38/12)*(1+INDEX($C38:$E38,1,Control!$B$10))^BK5*INDEX($B$13:$M$13,1,MOD(58-1,12)+1)</f>
        <v/>
      </c>
      <c r="BL38" s="34">
        <f>($B38/12)*(1+INDEX($C38:$E38,1,Control!$B$10))^BL5*INDEX($B$13:$M$13,1,MOD(59-1,12)+1)</f>
        <v/>
      </c>
      <c r="BM38" s="34">
        <f>($B38/12)*(1+INDEX($C38:$E38,1,Control!$B$10))^BM5*INDEX($B$13:$M$13,1,MOD(60-1,12)+1)</f>
        <v/>
      </c>
      <c r="BN38" s="34">
        <f>($B38/12)*(1+INDEX($C38:$E38,1,Control!$B$10))^BN5*INDEX($B$13:$M$13,1,MOD(61-1,12)+1)</f>
        <v/>
      </c>
      <c r="BO38" s="34">
        <f>($B38/12)*(1+INDEX($C38:$E38,1,Control!$B$10))^BO5*INDEX($B$13:$M$13,1,MOD(62-1,12)+1)</f>
        <v/>
      </c>
      <c r="BP38" s="34">
        <f>($B38/12)*(1+INDEX($C38:$E38,1,Control!$B$10))^BP5*INDEX($B$13:$M$13,1,MOD(63-1,12)+1)</f>
        <v/>
      </c>
      <c r="BQ38" s="34">
        <f>($B38/12)*(1+INDEX($C38:$E38,1,Control!$B$10))^BQ5*INDEX($B$13:$M$13,1,MOD(64-1,12)+1)</f>
        <v/>
      </c>
      <c r="BR38" s="34">
        <f>($B38/12)*(1+INDEX($C38:$E38,1,Control!$B$10))^BR5*INDEX($B$13:$M$13,1,MOD(65-1,12)+1)</f>
        <v/>
      </c>
      <c r="BS38" s="34">
        <f>($B38/12)*(1+INDEX($C38:$E38,1,Control!$B$10))^BS5*INDEX($B$13:$M$13,1,MOD(66-1,12)+1)</f>
        <v/>
      </c>
      <c r="BT38" s="34">
        <f>($B38/12)*(1+INDEX($C38:$E38,1,Control!$B$10))^BT5*INDEX($B$13:$M$13,1,MOD(67-1,12)+1)</f>
        <v/>
      </c>
      <c r="BU38" s="34">
        <f>($B38/12)*(1+INDEX($C38:$E38,1,Control!$B$10))^BU5*INDEX($B$13:$M$13,1,MOD(68-1,12)+1)</f>
        <v/>
      </c>
      <c r="BV38" s="34">
        <f>($B38/12)*(1+INDEX($C38:$E38,1,Control!$B$10))^BV5*INDEX($B$13:$M$13,1,MOD(69-1,12)+1)</f>
        <v/>
      </c>
      <c r="BW38" s="34">
        <f>($B38/12)*(1+INDEX($C38:$E38,1,Control!$B$10))^BW5*INDEX($B$13:$M$13,1,MOD(70-1,12)+1)</f>
        <v/>
      </c>
      <c r="BX38" s="34">
        <f>($B38/12)*(1+INDEX($C38:$E38,1,Control!$B$10))^BX5*INDEX($B$13:$M$13,1,MOD(71-1,12)+1)</f>
        <v/>
      </c>
      <c r="BY38" s="34">
        <f>($B38/12)*(1+INDEX($C38:$E38,1,Control!$B$10))^BY5*INDEX($B$13:$M$13,1,MOD(72-1,12)+1)</f>
        <v/>
      </c>
      <c r="BZ38" s="34">
        <f>($B38/12)*(1+INDEX($C38:$E38,1,Control!$B$10))^BZ5*INDEX($B$13:$M$13,1,MOD(73-1,12)+1)</f>
        <v/>
      </c>
      <c r="CA38" s="34">
        <f>($B38/12)*(1+INDEX($C38:$E38,1,Control!$B$10))^CA5*INDEX($B$13:$M$13,1,MOD(74-1,12)+1)</f>
        <v/>
      </c>
      <c r="CB38" s="34">
        <f>($B38/12)*(1+INDEX($C38:$E38,1,Control!$B$10))^CB5*INDEX($B$13:$M$13,1,MOD(75-1,12)+1)</f>
        <v/>
      </c>
      <c r="CC38" s="34">
        <f>($B38/12)*(1+INDEX($C38:$E38,1,Control!$B$10))^CC5*INDEX($B$13:$M$13,1,MOD(76-1,12)+1)</f>
        <v/>
      </c>
      <c r="CD38" s="34">
        <f>($B38/12)*(1+INDEX($C38:$E38,1,Control!$B$10))^CD5*INDEX($B$13:$M$13,1,MOD(77-1,12)+1)</f>
        <v/>
      </c>
      <c r="CE38" s="34">
        <f>($B38/12)*(1+INDEX($C38:$E38,1,Control!$B$10))^CE5*INDEX($B$13:$M$13,1,MOD(78-1,12)+1)</f>
        <v/>
      </c>
      <c r="CF38" s="34">
        <f>($B38/12)*(1+INDEX($C38:$E38,1,Control!$B$10))^CF5*INDEX($B$13:$M$13,1,MOD(79-1,12)+1)</f>
        <v/>
      </c>
      <c r="CG38" s="34">
        <f>($B38/12)*(1+INDEX($C38:$E38,1,Control!$B$10))^CG5*INDEX($B$13:$M$13,1,MOD(80-1,12)+1)</f>
        <v/>
      </c>
      <c r="CH38" s="34">
        <f>($B38/12)*(1+INDEX($C38:$E38,1,Control!$B$10))^CH5*INDEX($B$13:$M$13,1,MOD(81-1,12)+1)</f>
        <v/>
      </c>
      <c r="CI38" s="34">
        <f>($B38/12)*(1+INDEX($C38:$E38,1,Control!$B$10))^CI5*INDEX($B$13:$M$13,1,MOD(82-1,12)+1)</f>
        <v/>
      </c>
      <c r="CJ38" s="34">
        <f>($B38/12)*(1+INDEX($C38:$E38,1,Control!$B$10))^CJ5*INDEX($B$13:$M$13,1,MOD(83-1,12)+1)</f>
        <v/>
      </c>
      <c r="CK38" s="34">
        <f>($B38/12)*(1+INDEX($C38:$E38,1,Control!$B$10))^CK5*INDEX($B$13:$M$13,1,MOD(84-1,12)+1)</f>
        <v/>
      </c>
      <c r="CL38" s="34">
        <f>($B38/12)*(1+INDEX($C38:$E38,1,Control!$B$10))^CL5*INDEX($B$13:$M$13,1,MOD(85-1,12)+1)</f>
        <v/>
      </c>
      <c r="CM38" s="34">
        <f>($B38/12)*(1+INDEX($C38:$E38,1,Control!$B$10))^CM5*INDEX($B$13:$M$13,1,MOD(86-1,12)+1)</f>
        <v/>
      </c>
      <c r="CN38" s="34">
        <f>($B38/12)*(1+INDEX($C38:$E38,1,Control!$B$10))^CN5*INDEX($B$13:$M$13,1,MOD(87-1,12)+1)</f>
        <v/>
      </c>
      <c r="CO38" s="34">
        <f>($B38/12)*(1+INDEX($C38:$E38,1,Control!$B$10))^CO5*INDEX($B$13:$M$13,1,MOD(88-1,12)+1)</f>
        <v/>
      </c>
      <c r="CP38" s="34">
        <f>($B38/12)*(1+INDEX($C38:$E38,1,Control!$B$10))^CP5*INDEX($B$13:$M$13,1,MOD(89-1,12)+1)</f>
        <v/>
      </c>
      <c r="CQ38" s="34">
        <f>($B38/12)*(1+INDEX($C38:$E38,1,Control!$B$10))^CQ5*INDEX($B$13:$M$13,1,MOD(90-1,12)+1)</f>
        <v/>
      </c>
      <c r="CR38" s="34">
        <f>($B38/12)*(1+INDEX($C38:$E38,1,Control!$B$10))^CR5*INDEX($B$13:$M$13,1,MOD(91-1,12)+1)</f>
        <v/>
      </c>
      <c r="CS38" s="34">
        <f>($B38/12)*(1+INDEX($C38:$E38,1,Control!$B$10))^CS5*INDEX($B$13:$M$13,1,MOD(92-1,12)+1)</f>
        <v/>
      </c>
      <c r="CT38" s="34">
        <f>($B38/12)*(1+INDEX($C38:$E38,1,Control!$B$10))^CT5*INDEX($B$13:$M$13,1,MOD(93-1,12)+1)</f>
        <v/>
      </c>
      <c r="CU38" s="34">
        <f>($B38/12)*(1+INDEX($C38:$E38,1,Control!$B$10))^CU5*INDEX($B$13:$M$13,1,MOD(94-1,12)+1)</f>
        <v/>
      </c>
      <c r="CV38" s="34">
        <f>($B38/12)*(1+INDEX($C38:$E38,1,Control!$B$10))^CV5*INDEX($B$13:$M$13,1,MOD(95-1,12)+1)</f>
        <v/>
      </c>
      <c r="CW38" s="34">
        <f>($B38/12)*(1+INDEX($C38:$E38,1,Control!$B$10))^CW5*INDEX($B$13:$M$13,1,MOD(96-1,12)+1)</f>
        <v/>
      </c>
      <c r="CX38" s="34">
        <f>($B38/12)*(1+INDEX($C38:$E38,1,Control!$B$10))^CX5*INDEX($B$13:$M$13,1,MOD(97-1,12)+1)</f>
        <v/>
      </c>
      <c r="CY38" s="34">
        <f>($B38/12)*(1+INDEX($C38:$E38,1,Control!$B$10))^CY5*INDEX($B$13:$M$13,1,MOD(98-1,12)+1)</f>
        <v/>
      </c>
      <c r="CZ38" s="34">
        <f>($B38/12)*(1+INDEX($C38:$E38,1,Control!$B$10))^CZ5*INDEX($B$13:$M$13,1,MOD(99-1,12)+1)</f>
        <v/>
      </c>
      <c r="DA38" s="34">
        <f>($B38/12)*(1+INDEX($C38:$E38,1,Control!$B$10))^DA5*INDEX($B$13:$M$13,1,MOD(100-1,12)+1)</f>
        <v/>
      </c>
      <c r="DB38" s="34">
        <f>($B38/12)*(1+INDEX($C38:$E38,1,Control!$B$10))^DB5*INDEX($B$13:$M$13,1,MOD(101-1,12)+1)</f>
        <v/>
      </c>
      <c r="DC38" s="34">
        <f>($B38/12)*(1+INDEX($C38:$E38,1,Control!$B$10))^DC5*INDEX($B$13:$M$13,1,MOD(102-1,12)+1)</f>
        <v/>
      </c>
      <c r="DD38" s="34">
        <f>($B38/12)*(1+INDEX($C38:$E38,1,Control!$B$10))^DD5*INDEX($B$13:$M$13,1,MOD(103-1,12)+1)</f>
        <v/>
      </c>
      <c r="DE38" s="34">
        <f>($B38/12)*(1+INDEX($C38:$E38,1,Control!$B$10))^DE5*INDEX($B$13:$M$13,1,MOD(104-1,12)+1)</f>
        <v/>
      </c>
      <c r="DF38" s="34">
        <f>($B38/12)*(1+INDEX($C38:$E38,1,Control!$B$10))^DF5*INDEX($B$13:$M$13,1,MOD(105-1,12)+1)</f>
        <v/>
      </c>
      <c r="DG38" s="34">
        <f>($B38/12)*(1+INDEX($C38:$E38,1,Control!$B$10))^DG5*INDEX($B$13:$M$13,1,MOD(106-1,12)+1)</f>
        <v/>
      </c>
      <c r="DH38" s="34">
        <f>($B38/12)*(1+INDEX($C38:$E38,1,Control!$B$10))^DH5*INDEX($B$13:$M$13,1,MOD(107-1,12)+1)</f>
        <v/>
      </c>
      <c r="DI38" s="34">
        <f>($B38/12)*(1+INDEX($C38:$E38,1,Control!$B$10))^DI5*INDEX($B$13:$M$13,1,MOD(108-1,12)+1)</f>
        <v/>
      </c>
      <c r="DJ38" s="34">
        <f>($B38/12)*(1+INDEX($C38:$E38,1,Control!$B$10))^DJ5*INDEX($B$13:$M$13,1,MOD(109-1,12)+1)</f>
        <v/>
      </c>
      <c r="DK38" s="34">
        <f>($B38/12)*(1+INDEX($C38:$E38,1,Control!$B$10))^DK5*INDEX($B$13:$M$13,1,MOD(110-1,12)+1)</f>
        <v/>
      </c>
      <c r="DL38" s="34">
        <f>($B38/12)*(1+INDEX($C38:$E38,1,Control!$B$10))^DL5*INDEX($B$13:$M$13,1,MOD(111-1,12)+1)</f>
        <v/>
      </c>
      <c r="DM38" s="34">
        <f>($B38/12)*(1+INDEX($C38:$E38,1,Control!$B$10))^DM5*INDEX($B$13:$M$13,1,MOD(112-1,12)+1)</f>
        <v/>
      </c>
      <c r="DN38" s="34">
        <f>($B38/12)*(1+INDEX($C38:$E38,1,Control!$B$10))^DN5*INDEX($B$13:$M$13,1,MOD(113-1,12)+1)</f>
        <v/>
      </c>
      <c r="DO38" s="34">
        <f>($B38/12)*(1+INDEX($C38:$E38,1,Control!$B$10))^DO5*INDEX($B$13:$M$13,1,MOD(114-1,12)+1)</f>
        <v/>
      </c>
      <c r="DP38" s="34">
        <f>($B38/12)*(1+INDEX($C38:$E38,1,Control!$B$10))^DP5*INDEX($B$13:$M$13,1,MOD(115-1,12)+1)</f>
        <v/>
      </c>
      <c r="DQ38" s="34">
        <f>($B38/12)*(1+INDEX($C38:$E38,1,Control!$B$10))^DQ5*INDEX($B$13:$M$13,1,MOD(116-1,12)+1)</f>
        <v/>
      </c>
      <c r="DR38" s="34">
        <f>($B38/12)*(1+INDEX($C38:$E38,1,Control!$B$10))^DR5*INDEX($B$13:$M$13,1,MOD(117-1,12)+1)</f>
        <v/>
      </c>
      <c r="DS38" s="34">
        <f>($B38/12)*(1+INDEX($C38:$E38,1,Control!$B$10))^DS5*INDEX($B$13:$M$13,1,MOD(118-1,12)+1)</f>
        <v/>
      </c>
      <c r="DT38" s="34">
        <f>($B38/12)*(1+INDEX($C38:$E38,1,Control!$B$10))^DT5*INDEX($B$13:$M$13,1,MOD(119-1,12)+1)</f>
        <v/>
      </c>
      <c r="DU38" s="34">
        <f>($B38/12)*(1+INDEX($C38:$E38,1,Control!$B$10))^DU5*INDEX($B$13:$M$13,1,MOD(120-1,12)+1)</f>
        <v/>
      </c>
    </row>
    <row r="39">
      <c r="A39" t="inlineStr">
        <is>
          <t>CityLight-Cans-OnTrade</t>
        </is>
      </c>
      <c r="B39" s="33" t="n">
        <v>15000</v>
      </c>
      <c r="C39" s="22" t="n">
        <v>0.025</v>
      </c>
      <c r="D39" s="22" t="n">
        <v>0.04</v>
      </c>
      <c r="E39" s="22" t="n">
        <v>0.01</v>
      </c>
      <c r="F39" s="34">
        <f>($B39/12)*(1+INDEX($C39:$E39,1,Control!$B$10))^F5*INDEX($B$13:$M$13,1,MOD(1-1,12)+1)</f>
        <v/>
      </c>
      <c r="G39" s="34">
        <f>($B39/12)*(1+INDEX($C39:$E39,1,Control!$B$10))^G5*INDEX($B$13:$M$13,1,MOD(2-1,12)+1)</f>
        <v/>
      </c>
      <c r="H39" s="34">
        <f>($B39/12)*(1+INDEX($C39:$E39,1,Control!$B$10))^H5*INDEX($B$13:$M$13,1,MOD(3-1,12)+1)</f>
        <v/>
      </c>
      <c r="I39" s="34">
        <f>($B39/12)*(1+INDEX($C39:$E39,1,Control!$B$10))^I5*INDEX($B$13:$M$13,1,MOD(4-1,12)+1)</f>
        <v/>
      </c>
      <c r="J39" s="34">
        <f>($B39/12)*(1+INDEX($C39:$E39,1,Control!$B$10))^J5*INDEX($B$13:$M$13,1,MOD(5-1,12)+1)</f>
        <v/>
      </c>
      <c r="K39" s="34">
        <f>($B39/12)*(1+INDEX($C39:$E39,1,Control!$B$10))^K5*INDEX($B$13:$M$13,1,MOD(6-1,12)+1)</f>
        <v/>
      </c>
      <c r="L39" s="34">
        <f>($B39/12)*(1+INDEX($C39:$E39,1,Control!$B$10))^L5*INDEX($B$13:$M$13,1,MOD(7-1,12)+1)</f>
        <v/>
      </c>
      <c r="M39" s="34">
        <f>($B39/12)*(1+INDEX($C39:$E39,1,Control!$B$10))^M5*INDEX($B$13:$M$13,1,MOD(8-1,12)+1)</f>
        <v/>
      </c>
      <c r="N39" s="34">
        <f>($B39/12)*(1+INDEX($C39:$E39,1,Control!$B$10))^N5*INDEX($B$13:$M$13,1,MOD(9-1,12)+1)</f>
        <v/>
      </c>
      <c r="O39" s="34">
        <f>($B39/12)*(1+INDEX($C39:$E39,1,Control!$B$10))^O5*INDEX($B$13:$M$13,1,MOD(10-1,12)+1)</f>
        <v/>
      </c>
      <c r="P39" s="34">
        <f>($B39/12)*(1+INDEX($C39:$E39,1,Control!$B$10))^P5*INDEX($B$13:$M$13,1,MOD(11-1,12)+1)</f>
        <v/>
      </c>
      <c r="Q39" s="34">
        <f>($B39/12)*(1+INDEX($C39:$E39,1,Control!$B$10))^Q5*INDEX($B$13:$M$13,1,MOD(12-1,12)+1)</f>
        <v/>
      </c>
      <c r="R39" s="34">
        <f>($B39/12)*(1+INDEX($C39:$E39,1,Control!$B$10))^R5*INDEX($B$13:$M$13,1,MOD(13-1,12)+1)</f>
        <v/>
      </c>
      <c r="S39" s="34">
        <f>($B39/12)*(1+INDEX($C39:$E39,1,Control!$B$10))^S5*INDEX($B$13:$M$13,1,MOD(14-1,12)+1)</f>
        <v/>
      </c>
      <c r="T39" s="34">
        <f>($B39/12)*(1+INDEX($C39:$E39,1,Control!$B$10))^T5*INDEX($B$13:$M$13,1,MOD(15-1,12)+1)</f>
        <v/>
      </c>
      <c r="U39" s="34">
        <f>($B39/12)*(1+INDEX($C39:$E39,1,Control!$B$10))^U5*INDEX($B$13:$M$13,1,MOD(16-1,12)+1)</f>
        <v/>
      </c>
      <c r="V39" s="34">
        <f>($B39/12)*(1+INDEX($C39:$E39,1,Control!$B$10))^V5*INDEX($B$13:$M$13,1,MOD(17-1,12)+1)</f>
        <v/>
      </c>
      <c r="W39" s="34">
        <f>($B39/12)*(1+INDEX($C39:$E39,1,Control!$B$10))^W5*INDEX($B$13:$M$13,1,MOD(18-1,12)+1)</f>
        <v/>
      </c>
      <c r="X39" s="34">
        <f>($B39/12)*(1+INDEX($C39:$E39,1,Control!$B$10))^X5*INDEX($B$13:$M$13,1,MOD(19-1,12)+1)</f>
        <v/>
      </c>
      <c r="Y39" s="34">
        <f>($B39/12)*(1+INDEX($C39:$E39,1,Control!$B$10))^Y5*INDEX($B$13:$M$13,1,MOD(20-1,12)+1)</f>
        <v/>
      </c>
      <c r="Z39" s="34">
        <f>($B39/12)*(1+INDEX($C39:$E39,1,Control!$B$10))^Z5*INDEX($B$13:$M$13,1,MOD(21-1,12)+1)</f>
        <v/>
      </c>
      <c r="AA39" s="34">
        <f>($B39/12)*(1+INDEX($C39:$E39,1,Control!$B$10))^AA5*INDEX($B$13:$M$13,1,MOD(22-1,12)+1)</f>
        <v/>
      </c>
      <c r="AB39" s="34">
        <f>($B39/12)*(1+INDEX($C39:$E39,1,Control!$B$10))^AB5*INDEX($B$13:$M$13,1,MOD(23-1,12)+1)</f>
        <v/>
      </c>
      <c r="AC39" s="34">
        <f>($B39/12)*(1+INDEX($C39:$E39,1,Control!$B$10))^AC5*INDEX($B$13:$M$13,1,MOD(24-1,12)+1)</f>
        <v/>
      </c>
      <c r="AD39" s="34">
        <f>($B39/12)*(1+INDEX($C39:$E39,1,Control!$B$10))^AD5*INDEX($B$13:$M$13,1,MOD(25-1,12)+1)</f>
        <v/>
      </c>
      <c r="AE39" s="34">
        <f>($B39/12)*(1+INDEX($C39:$E39,1,Control!$B$10))^AE5*INDEX($B$13:$M$13,1,MOD(26-1,12)+1)</f>
        <v/>
      </c>
      <c r="AF39" s="34">
        <f>($B39/12)*(1+INDEX($C39:$E39,1,Control!$B$10))^AF5*INDEX($B$13:$M$13,1,MOD(27-1,12)+1)</f>
        <v/>
      </c>
      <c r="AG39" s="34">
        <f>($B39/12)*(1+INDEX($C39:$E39,1,Control!$B$10))^AG5*INDEX($B$13:$M$13,1,MOD(28-1,12)+1)</f>
        <v/>
      </c>
      <c r="AH39" s="34">
        <f>($B39/12)*(1+INDEX($C39:$E39,1,Control!$B$10))^AH5*INDEX($B$13:$M$13,1,MOD(29-1,12)+1)</f>
        <v/>
      </c>
      <c r="AI39" s="34">
        <f>($B39/12)*(1+INDEX($C39:$E39,1,Control!$B$10))^AI5*INDEX($B$13:$M$13,1,MOD(30-1,12)+1)</f>
        <v/>
      </c>
      <c r="AJ39" s="34">
        <f>($B39/12)*(1+INDEX($C39:$E39,1,Control!$B$10))^AJ5*INDEX($B$13:$M$13,1,MOD(31-1,12)+1)</f>
        <v/>
      </c>
      <c r="AK39" s="34">
        <f>($B39/12)*(1+INDEX($C39:$E39,1,Control!$B$10))^AK5*INDEX($B$13:$M$13,1,MOD(32-1,12)+1)</f>
        <v/>
      </c>
      <c r="AL39" s="34">
        <f>($B39/12)*(1+INDEX($C39:$E39,1,Control!$B$10))^AL5*INDEX($B$13:$M$13,1,MOD(33-1,12)+1)</f>
        <v/>
      </c>
      <c r="AM39" s="34">
        <f>($B39/12)*(1+INDEX($C39:$E39,1,Control!$B$10))^AM5*INDEX($B$13:$M$13,1,MOD(34-1,12)+1)</f>
        <v/>
      </c>
      <c r="AN39" s="34">
        <f>($B39/12)*(1+INDEX($C39:$E39,1,Control!$B$10))^AN5*INDEX($B$13:$M$13,1,MOD(35-1,12)+1)</f>
        <v/>
      </c>
      <c r="AO39" s="34">
        <f>($B39/12)*(1+INDEX($C39:$E39,1,Control!$B$10))^AO5*INDEX($B$13:$M$13,1,MOD(36-1,12)+1)</f>
        <v/>
      </c>
      <c r="AP39" s="34">
        <f>($B39/12)*(1+INDEX($C39:$E39,1,Control!$B$10))^AP5*INDEX($B$13:$M$13,1,MOD(37-1,12)+1)</f>
        <v/>
      </c>
      <c r="AQ39" s="34">
        <f>($B39/12)*(1+INDEX($C39:$E39,1,Control!$B$10))^AQ5*INDEX($B$13:$M$13,1,MOD(38-1,12)+1)</f>
        <v/>
      </c>
      <c r="AR39" s="34">
        <f>($B39/12)*(1+INDEX($C39:$E39,1,Control!$B$10))^AR5*INDEX($B$13:$M$13,1,MOD(39-1,12)+1)</f>
        <v/>
      </c>
      <c r="AS39" s="34">
        <f>($B39/12)*(1+INDEX($C39:$E39,1,Control!$B$10))^AS5*INDEX($B$13:$M$13,1,MOD(40-1,12)+1)</f>
        <v/>
      </c>
      <c r="AT39" s="34">
        <f>($B39/12)*(1+INDEX($C39:$E39,1,Control!$B$10))^AT5*INDEX($B$13:$M$13,1,MOD(41-1,12)+1)</f>
        <v/>
      </c>
      <c r="AU39" s="34">
        <f>($B39/12)*(1+INDEX($C39:$E39,1,Control!$B$10))^AU5*INDEX($B$13:$M$13,1,MOD(42-1,12)+1)</f>
        <v/>
      </c>
      <c r="AV39" s="34">
        <f>($B39/12)*(1+INDEX($C39:$E39,1,Control!$B$10))^AV5*INDEX($B$13:$M$13,1,MOD(43-1,12)+1)</f>
        <v/>
      </c>
      <c r="AW39" s="34">
        <f>($B39/12)*(1+INDEX($C39:$E39,1,Control!$B$10))^AW5*INDEX($B$13:$M$13,1,MOD(44-1,12)+1)</f>
        <v/>
      </c>
      <c r="AX39" s="34">
        <f>($B39/12)*(1+INDEX($C39:$E39,1,Control!$B$10))^AX5*INDEX($B$13:$M$13,1,MOD(45-1,12)+1)</f>
        <v/>
      </c>
      <c r="AY39" s="34">
        <f>($B39/12)*(1+INDEX($C39:$E39,1,Control!$B$10))^AY5*INDEX($B$13:$M$13,1,MOD(46-1,12)+1)</f>
        <v/>
      </c>
      <c r="AZ39" s="34">
        <f>($B39/12)*(1+INDEX($C39:$E39,1,Control!$B$10))^AZ5*INDEX($B$13:$M$13,1,MOD(47-1,12)+1)</f>
        <v/>
      </c>
      <c r="BA39" s="34">
        <f>($B39/12)*(1+INDEX($C39:$E39,1,Control!$B$10))^BA5*INDEX($B$13:$M$13,1,MOD(48-1,12)+1)</f>
        <v/>
      </c>
      <c r="BB39" s="34">
        <f>($B39/12)*(1+INDEX($C39:$E39,1,Control!$B$10))^BB5*INDEX($B$13:$M$13,1,MOD(49-1,12)+1)</f>
        <v/>
      </c>
      <c r="BC39" s="34">
        <f>($B39/12)*(1+INDEX($C39:$E39,1,Control!$B$10))^BC5*INDEX($B$13:$M$13,1,MOD(50-1,12)+1)</f>
        <v/>
      </c>
      <c r="BD39" s="34">
        <f>($B39/12)*(1+INDEX($C39:$E39,1,Control!$B$10))^BD5*INDEX($B$13:$M$13,1,MOD(51-1,12)+1)</f>
        <v/>
      </c>
      <c r="BE39" s="34">
        <f>($B39/12)*(1+INDEX($C39:$E39,1,Control!$B$10))^BE5*INDEX($B$13:$M$13,1,MOD(52-1,12)+1)</f>
        <v/>
      </c>
      <c r="BF39" s="34">
        <f>($B39/12)*(1+INDEX($C39:$E39,1,Control!$B$10))^BF5*INDEX($B$13:$M$13,1,MOD(53-1,12)+1)</f>
        <v/>
      </c>
      <c r="BG39" s="34">
        <f>($B39/12)*(1+INDEX($C39:$E39,1,Control!$B$10))^BG5*INDEX($B$13:$M$13,1,MOD(54-1,12)+1)</f>
        <v/>
      </c>
      <c r="BH39" s="34">
        <f>($B39/12)*(1+INDEX($C39:$E39,1,Control!$B$10))^BH5*INDEX($B$13:$M$13,1,MOD(55-1,12)+1)</f>
        <v/>
      </c>
      <c r="BI39" s="34">
        <f>($B39/12)*(1+INDEX($C39:$E39,1,Control!$B$10))^BI5*INDEX($B$13:$M$13,1,MOD(56-1,12)+1)</f>
        <v/>
      </c>
      <c r="BJ39" s="34">
        <f>($B39/12)*(1+INDEX($C39:$E39,1,Control!$B$10))^BJ5*INDEX($B$13:$M$13,1,MOD(57-1,12)+1)</f>
        <v/>
      </c>
      <c r="BK39" s="34">
        <f>($B39/12)*(1+INDEX($C39:$E39,1,Control!$B$10))^BK5*INDEX($B$13:$M$13,1,MOD(58-1,12)+1)</f>
        <v/>
      </c>
      <c r="BL39" s="34">
        <f>($B39/12)*(1+INDEX($C39:$E39,1,Control!$B$10))^BL5*INDEX($B$13:$M$13,1,MOD(59-1,12)+1)</f>
        <v/>
      </c>
      <c r="BM39" s="34">
        <f>($B39/12)*(1+INDEX($C39:$E39,1,Control!$B$10))^BM5*INDEX($B$13:$M$13,1,MOD(60-1,12)+1)</f>
        <v/>
      </c>
      <c r="BN39" s="34">
        <f>($B39/12)*(1+INDEX($C39:$E39,1,Control!$B$10))^BN5*INDEX($B$13:$M$13,1,MOD(61-1,12)+1)</f>
        <v/>
      </c>
      <c r="BO39" s="34">
        <f>($B39/12)*(1+INDEX($C39:$E39,1,Control!$B$10))^BO5*INDEX($B$13:$M$13,1,MOD(62-1,12)+1)</f>
        <v/>
      </c>
      <c r="BP39" s="34">
        <f>($B39/12)*(1+INDEX($C39:$E39,1,Control!$B$10))^BP5*INDEX($B$13:$M$13,1,MOD(63-1,12)+1)</f>
        <v/>
      </c>
      <c r="BQ39" s="34">
        <f>($B39/12)*(1+INDEX($C39:$E39,1,Control!$B$10))^BQ5*INDEX($B$13:$M$13,1,MOD(64-1,12)+1)</f>
        <v/>
      </c>
      <c r="BR39" s="34">
        <f>($B39/12)*(1+INDEX($C39:$E39,1,Control!$B$10))^BR5*INDEX($B$13:$M$13,1,MOD(65-1,12)+1)</f>
        <v/>
      </c>
      <c r="BS39" s="34">
        <f>($B39/12)*(1+INDEX($C39:$E39,1,Control!$B$10))^BS5*INDEX($B$13:$M$13,1,MOD(66-1,12)+1)</f>
        <v/>
      </c>
      <c r="BT39" s="34">
        <f>($B39/12)*(1+INDEX($C39:$E39,1,Control!$B$10))^BT5*INDEX($B$13:$M$13,1,MOD(67-1,12)+1)</f>
        <v/>
      </c>
      <c r="BU39" s="34">
        <f>($B39/12)*(1+INDEX($C39:$E39,1,Control!$B$10))^BU5*INDEX($B$13:$M$13,1,MOD(68-1,12)+1)</f>
        <v/>
      </c>
      <c r="BV39" s="34">
        <f>($B39/12)*(1+INDEX($C39:$E39,1,Control!$B$10))^BV5*INDEX($B$13:$M$13,1,MOD(69-1,12)+1)</f>
        <v/>
      </c>
      <c r="BW39" s="34">
        <f>($B39/12)*(1+INDEX($C39:$E39,1,Control!$B$10))^BW5*INDEX($B$13:$M$13,1,MOD(70-1,12)+1)</f>
        <v/>
      </c>
      <c r="BX39" s="34">
        <f>($B39/12)*(1+INDEX($C39:$E39,1,Control!$B$10))^BX5*INDEX($B$13:$M$13,1,MOD(71-1,12)+1)</f>
        <v/>
      </c>
      <c r="BY39" s="34">
        <f>($B39/12)*(1+INDEX($C39:$E39,1,Control!$B$10))^BY5*INDEX($B$13:$M$13,1,MOD(72-1,12)+1)</f>
        <v/>
      </c>
      <c r="BZ39" s="34">
        <f>($B39/12)*(1+INDEX($C39:$E39,1,Control!$B$10))^BZ5*INDEX($B$13:$M$13,1,MOD(73-1,12)+1)</f>
        <v/>
      </c>
      <c r="CA39" s="34">
        <f>($B39/12)*(1+INDEX($C39:$E39,1,Control!$B$10))^CA5*INDEX($B$13:$M$13,1,MOD(74-1,12)+1)</f>
        <v/>
      </c>
      <c r="CB39" s="34">
        <f>($B39/12)*(1+INDEX($C39:$E39,1,Control!$B$10))^CB5*INDEX($B$13:$M$13,1,MOD(75-1,12)+1)</f>
        <v/>
      </c>
      <c r="CC39" s="34">
        <f>($B39/12)*(1+INDEX($C39:$E39,1,Control!$B$10))^CC5*INDEX($B$13:$M$13,1,MOD(76-1,12)+1)</f>
        <v/>
      </c>
      <c r="CD39" s="34">
        <f>($B39/12)*(1+INDEX($C39:$E39,1,Control!$B$10))^CD5*INDEX($B$13:$M$13,1,MOD(77-1,12)+1)</f>
        <v/>
      </c>
      <c r="CE39" s="34">
        <f>($B39/12)*(1+INDEX($C39:$E39,1,Control!$B$10))^CE5*INDEX($B$13:$M$13,1,MOD(78-1,12)+1)</f>
        <v/>
      </c>
      <c r="CF39" s="34">
        <f>($B39/12)*(1+INDEX($C39:$E39,1,Control!$B$10))^CF5*INDEX($B$13:$M$13,1,MOD(79-1,12)+1)</f>
        <v/>
      </c>
      <c r="CG39" s="34">
        <f>($B39/12)*(1+INDEX($C39:$E39,1,Control!$B$10))^CG5*INDEX($B$13:$M$13,1,MOD(80-1,12)+1)</f>
        <v/>
      </c>
      <c r="CH39" s="34">
        <f>($B39/12)*(1+INDEX($C39:$E39,1,Control!$B$10))^CH5*INDEX($B$13:$M$13,1,MOD(81-1,12)+1)</f>
        <v/>
      </c>
      <c r="CI39" s="34">
        <f>($B39/12)*(1+INDEX($C39:$E39,1,Control!$B$10))^CI5*INDEX($B$13:$M$13,1,MOD(82-1,12)+1)</f>
        <v/>
      </c>
      <c r="CJ39" s="34">
        <f>($B39/12)*(1+INDEX($C39:$E39,1,Control!$B$10))^CJ5*INDEX($B$13:$M$13,1,MOD(83-1,12)+1)</f>
        <v/>
      </c>
      <c r="CK39" s="34">
        <f>($B39/12)*(1+INDEX($C39:$E39,1,Control!$B$10))^CK5*INDEX($B$13:$M$13,1,MOD(84-1,12)+1)</f>
        <v/>
      </c>
      <c r="CL39" s="34">
        <f>($B39/12)*(1+INDEX($C39:$E39,1,Control!$B$10))^CL5*INDEX($B$13:$M$13,1,MOD(85-1,12)+1)</f>
        <v/>
      </c>
      <c r="CM39" s="34">
        <f>($B39/12)*(1+INDEX($C39:$E39,1,Control!$B$10))^CM5*INDEX($B$13:$M$13,1,MOD(86-1,12)+1)</f>
        <v/>
      </c>
      <c r="CN39" s="34">
        <f>($B39/12)*(1+INDEX($C39:$E39,1,Control!$B$10))^CN5*INDEX($B$13:$M$13,1,MOD(87-1,12)+1)</f>
        <v/>
      </c>
      <c r="CO39" s="34">
        <f>($B39/12)*(1+INDEX($C39:$E39,1,Control!$B$10))^CO5*INDEX($B$13:$M$13,1,MOD(88-1,12)+1)</f>
        <v/>
      </c>
      <c r="CP39" s="34">
        <f>($B39/12)*(1+INDEX($C39:$E39,1,Control!$B$10))^CP5*INDEX($B$13:$M$13,1,MOD(89-1,12)+1)</f>
        <v/>
      </c>
      <c r="CQ39" s="34">
        <f>($B39/12)*(1+INDEX($C39:$E39,1,Control!$B$10))^CQ5*INDEX($B$13:$M$13,1,MOD(90-1,12)+1)</f>
        <v/>
      </c>
      <c r="CR39" s="34">
        <f>($B39/12)*(1+INDEX($C39:$E39,1,Control!$B$10))^CR5*INDEX($B$13:$M$13,1,MOD(91-1,12)+1)</f>
        <v/>
      </c>
      <c r="CS39" s="34">
        <f>($B39/12)*(1+INDEX($C39:$E39,1,Control!$B$10))^CS5*INDEX($B$13:$M$13,1,MOD(92-1,12)+1)</f>
        <v/>
      </c>
      <c r="CT39" s="34">
        <f>($B39/12)*(1+INDEX($C39:$E39,1,Control!$B$10))^CT5*INDEX($B$13:$M$13,1,MOD(93-1,12)+1)</f>
        <v/>
      </c>
      <c r="CU39" s="34">
        <f>($B39/12)*(1+INDEX($C39:$E39,1,Control!$B$10))^CU5*INDEX($B$13:$M$13,1,MOD(94-1,12)+1)</f>
        <v/>
      </c>
      <c r="CV39" s="34">
        <f>($B39/12)*(1+INDEX($C39:$E39,1,Control!$B$10))^CV5*INDEX($B$13:$M$13,1,MOD(95-1,12)+1)</f>
        <v/>
      </c>
      <c r="CW39" s="34">
        <f>($B39/12)*(1+INDEX($C39:$E39,1,Control!$B$10))^CW5*INDEX($B$13:$M$13,1,MOD(96-1,12)+1)</f>
        <v/>
      </c>
      <c r="CX39" s="34">
        <f>($B39/12)*(1+INDEX($C39:$E39,1,Control!$B$10))^CX5*INDEX($B$13:$M$13,1,MOD(97-1,12)+1)</f>
        <v/>
      </c>
      <c r="CY39" s="34">
        <f>($B39/12)*(1+INDEX($C39:$E39,1,Control!$B$10))^CY5*INDEX($B$13:$M$13,1,MOD(98-1,12)+1)</f>
        <v/>
      </c>
      <c r="CZ39" s="34">
        <f>($B39/12)*(1+INDEX($C39:$E39,1,Control!$B$10))^CZ5*INDEX($B$13:$M$13,1,MOD(99-1,12)+1)</f>
        <v/>
      </c>
      <c r="DA39" s="34">
        <f>($B39/12)*(1+INDEX($C39:$E39,1,Control!$B$10))^DA5*INDEX($B$13:$M$13,1,MOD(100-1,12)+1)</f>
        <v/>
      </c>
      <c r="DB39" s="34">
        <f>($B39/12)*(1+INDEX($C39:$E39,1,Control!$B$10))^DB5*INDEX($B$13:$M$13,1,MOD(101-1,12)+1)</f>
        <v/>
      </c>
      <c r="DC39" s="34">
        <f>($B39/12)*(1+INDEX($C39:$E39,1,Control!$B$10))^DC5*INDEX($B$13:$M$13,1,MOD(102-1,12)+1)</f>
        <v/>
      </c>
      <c r="DD39" s="34">
        <f>($B39/12)*(1+INDEX($C39:$E39,1,Control!$B$10))^DD5*INDEX($B$13:$M$13,1,MOD(103-1,12)+1)</f>
        <v/>
      </c>
      <c r="DE39" s="34">
        <f>($B39/12)*(1+INDEX($C39:$E39,1,Control!$B$10))^DE5*INDEX($B$13:$M$13,1,MOD(104-1,12)+1)</f>
        <v/>
      </c>
      <c r="DF39" s="34">
        <f>($B39/12)*(1+INDEX($C39:$E39,1,Control!$B$10))^DF5*INDEX($B$13:$M$13,1,MOD(105-1,12)+1)</f>
        <v/>
      </c>
      <c r="DG39" s="34">
        <f>($B39/12)*(1+INDEX($C39:$E39,1,Control!$B$10))^DG5*INDEX($B$13:$M$13,1,MOD(106-1,12)+1)</f>
        <v/>
      </c>
      <c r="DH39" s="34">
        <f>($B39/12)*(1+INDEX($C39:$E39,1,Control!$B$10))^DH5*INDEX($B$13:$M$13,1,MOD(107-1,12)+1)</f>
        <v/>
      </c>
      <c r="DI39" s="34">
        <f>($B39/12)*(1+INDEX($C39:$E39,1,Control!$B$10))^DI5*INDEX($B$13:$M$13,1,MOD(108-1,12)+1)</f>
        <v/>
      </c>
      <c r="DJ39" s="34">
        <f>($B39/12)*(1+INDEX($C39:$E39,1,Control!$B$10))^DJ5*INDEX($B$13:$M$13,1,MOD(109-1,12)+1)</f>
        <v/>
      </c>
      <c r="DK39" s="34">
        <f>($B39/12)*(1+INDEX($C39:$E39,1,Control!$B$10))^DK5*INDEX($B$13:$M$13,1,MOD(110-1,12)+1)</f>
        <v/>
      </c>
      <c r="DL39" s="34">
        <f>($B39/12)*(1+INDEX($C39:$E39,1,Control!$B$10))^DL5*INDEX($B$13:$M$13,1,MOD(111-1,12)+1)</f>
        <v/>
      </c>
      <c r="DM39" s="34">
        <f>($B39/12)*(1+INDEX($C39:$E39,1,Control!$B$10))^DM5*INDEX($B$13:$M$13,1,MOD(112-1,12)+1)</f>
        <v/>
      </c>
      <c r="DN39" s="34">
        <f>($B39/12)*(1+INDEX($C39:$E39,1,Control!$B$10))^DN5*INDEX($B$13:$M$13,1,MOD(113-1,12)+1)</f>
        <v/>
      </c>
      <c r="DO39" s="34">
        <f>($B39/12)*(1+INDEX($C39:$E39,1,Control!$B$10))^DO5*INDEX($B$13:$M$13,1,MOD(114-1,12)+1)</f>
        <v/>
      </c>
      <c r="DP39" s="34">
        <f>($B39/12)*(1+INDEX($C39:$E39,1,Control!$B$10))^DP5*INDEX($B$13:$M$13,1,MOD(115-1,12)+1)</f>
        <v/>
      </c>
      <c r="DQ39" s="34">
        <f>($B39/12)*(1+INDEX($C39:$E39,1,Control!$B$10))^DQ5*INDEX($B$13:$M$13,1,MOD(116-1,12)+1)</f>
        <v/>
      </c>
      <c r="DR39" s="34">
        <f>($B39/12)*(1+INDEX($C39:$E39,1,Control!$B$10))^DR5*INDEX($B$13:$M$13,1,MOD(117-1,12)+1)</f>
        <v/>
      </c>
      <c r="DS39" s="34">
        <f>($B39/12)*(1+INDEX($C39:$E39,1,Control!$B$10))^DS5*INDEX($B$13:$M$13,1,MOD(118-1,12)+1)</f>
        <v/>
      </c>
      <c r="DT39" s="34">
        <f>($B39/12)*(1+INDEX($C39:$E39,1,Control!$B$10))^DT5*INDEX($B$13:$M$13,1,MOD(119-1,12)+1)</f>
        <v/>
      </c>
      <c r="DU39" s="34">
        <f>($B39/12)*(1+INDEX($C39:$E39,1,Control!$B$10))^DU5*INDEX($B$13:$M$13,1,MOD(120-1,12)+1)</f>
        <v/>
      </c>
    </row>
    <row r="40">
      <c r="A40" t="inlineStr">
        <is>
          <t>CityLight-Cans-OffTrade</t>
        </is>
      </c>
      <c r="B40" s="33" t="n">
        <v>70000</v>
      </c>
      <c r="C40" s="22" t="n">
        <v>0.025</v>
      </c>
      <c r="D40" s="22" t="n">
        <v>0.04</v>
      </c>
      <c r="E40" s="22" t="n">
        <v>0.01</v>
      </c>
      <c r="F40" s="34">
        <f>($B40/12)*(1+INDEX($C40:$E40,1,Control!$B$10))^F5*INDEX($B$13:$M$13,1,MOD(1-1,12)+1)</f>
        <v/>
      </c>
      <c r="G40" s="34">
        <f>($B40/12)*(1+INDEX($C40:$E40,1,Control!$B$10))^G5*INDEX($B$13:$M$13,1,MOD(2-1,12)+1)</f>
        <v/>
      </c>
      <c r="H40" s="34">
        <f>($B40/12)*(1+INDEX($C40:$E40,1,Control!$B$10))^H5*INDEX($B$13:$M$13,1,MOD(3-1,12)+1)</f>
        <v/>
      </c>
      <c r="I40" s="34">
        <f>($B40/12)*(1+INDEX($C40:$E40,1,Control!$B$10))^I5*INDEX($B$13:$M$13,1,MOD(4-1,12)+1)</f>
        <v/>
      </c>
      <c r="J40" s="34">
        <f>($B40/12)*(1+INDEX($C40:$E40,1,Control!$B$10))^J5*INDEX($B$13:$M$13,1,MOD(5-1,12)+1)</f>
        <v/>
      </c>
      <c r="K40" s="34">
        <f>($B40/12)*(1+INDEX($C40:$E40,1,Control!$B$10))^K5*INDEX($B$13:$M$13,1,MOD(6-1,12)+1)</f>
        <v/>
      </c>
      <c r="L40" s="34">
        <f>($B40/12)*(1+INDEX($C40:$E40,1,Control!$B$10))^L5*INDEX($B$13:$M$13,1,MOD(7-1,12)+1)</f>
        <v/>
      </c>
      <c r="M40" s="34">
        <f>($B40/12)*(1+INDEX($C40:$E40,1,Control!$B$10))^M5*INDEX($B$13:$M$13,1,MOD(8-1,12)+1)</f>
        <v/>
      </c>
      <c r="N40" s="34">
        <f>($B40/12)*(1+INDEX($C40:$E40,1,Control!$B$10))^N5*INDEX($B$13:$M$13,1,MOD(9-1,12)+1)</f>
        <v/>
      </c>
      <c r="O40" s="34">
        <f>($B40/12)*(1+INDEX($C40:$E40,1,Control!$B$10))^O5*INDEX($B$13:$M$13,1,MOD(10-1,12)+1)</f>
        <v/>
      </c>
      <c r="P40" s="34">
        <f>($B40/12)*(1+INDEX($C40:$E40,1,Control!$B$10))^P5*INDEX($B$13:$M$13,1,MOD(11-1,12)+1)</f>
        <v/>
      </c>
      <c r="Q40" s="34">
        <f>($B40/12)*(1+INDEX($C40:$E40,1,Control!$B$10))^Q5*INDEX($B$13:$M$13,1,MOD(12-1,12)+1)</f>
        <v/>
      </c>
      <c r="R40" s="34">
        <f>($B40/12)*(1+INDEX($C40:$E40,1,Control!$B$10))^R5*INDEX($B$13:$M$13,1,MOD(13-1,12)+1)</f>
        <v/>
      </c>
      <c r="S40" s="34">
        <f>($B40/12)*(1+INDEX($C40:$E40,1,Control!$B$10))^S5*INDEX($B$13:$M$13,1,MOD(14-1,12)+1)</f>
        <v/>
      </c>
      <c r="T40" s="34">
        <f>($B40/12)*(1+INDEX($C40:$E40,1,Control!$B$10))^T5*INDEX($B$13:$M$13,1,MOD(15-1,12)+1)</f>
        <v/>
      </c>
      <c r="U40" s="34">
        <f>($B40/12)*(1+INDEX($C40:$E40,1,Control!$B$10))^U5*INDEX($B$13:$M$13,1,MOD(16-1,12)+1)</f>
        <v/>
      </c>
      <c r="V40" s="34">
        <f>($B40/12)*(1+INDEX($C40:$E40,1,Control!$B$10))^V5*INDEX($B$13:$M$13,1,MOD(17-1,12)+1)</f>
        <v/>
      </c>
      <c r="W40" s="34">
        <f>($B40/12)*(1+INDEX($C40:$E40,1,Control!$B$10))^W5*INDEX($B$13:$M$13,1,MOD(18-1,12)+1)</f>
        <v/>
      </c>
      <c r="X40" s="34">
        <f>($B40/12)*(1+INDEX($C40:$E40,1,Control!$B$10))^X5*INDEX($B$13:$M$13,1,MOD(19-1,12)+1)</f>
        <v/>
      </c>
      <c r="Y40" s="34">
        <f>($B40/12)*(1+INDEX($C40:$E40,1,Control!$B$10))^Y5*INDEX($B$13:$M$13,1,MOD(20-1,12)+1)</f>
        <v/>
      </c>
      <c r="Z40" s="34">
        <f>($B40/12)*(1+INDEX($C40:$E40,1,Control!$B$10))^Z5*INDEX($B$13:$M$13,1,MOD(21-1,12)+1)</f>
        <v/>
      </c>
      <c r="AA40" s="34">
        <f>($B40/12)*(1+INDEX($C40:$E40,1,Control!$B$10))^AA5*INDEX($B$13:$M$13,1,MOD(22-1,12)+1)</f>
        <v/>
      </c>
      <c r="AB40" s="34">
        <f>($B40/12)*(1+INDEX($C40:$E40,1,Control!$B$10))^AB5*INDEX($B$13:$M$13,1,MOD(23-1,12)+1)</f>
        <v/>
      </c>
      <c r="AC40" s="34">
        <f>($B40/12)*(1+INDEX($C40:$E40,1,Control!$B$10))^AC5*INDEX($B$13:$M$13,1,MOD(24-1,12)+1)</f>
        <v/>
      </c>
      <c r="AD40" s="34">
        <f>($B40/12)*(1+INDEX($C40:$E40,1,Control!$B$10))^AD5*INDEX($B$13:$M$13,1,MOD(25-1,12)+1)</f>
        <v/>
      </c>
      <c r="AE40" s="34">
        <f>($B40/12)*(1+INDEX($C40:$E40,1,Control!$B$10))^AE5*INDEX($B$13:$M$13,1,MOD(26-1,12)+1)</f>
        <v/>
      </c>
      <c r="AF40" s="34">
        <f>($B40/12)*(1+INDEX($C40:$E40,1,Control!$B$10))^AF5*INDEX($B$13:$M$13,1,MOD(27-1,12)+1)</f>
        <v/>
      </c>
      <c r="AG40" s="34">
        <f>($B40/12)*(1+INDEX($C40:$E40,1,Control!$B$10))^AG5*INDEX($B$13:$M$13,1,MOD(28-1,12)+1)</f>
        <v/>
      </c>
      <c r="AH40" s="34">
        <f>($B40/12)*(1+INDEX($C40:$E40,1,Control!$B$10))^AH5*INDEX($B$13:$M$13,1,MOD(29-1,12)+1)</f>
        <v/>
      </c>
      <c r="AI40" s="34">
        <f>($B40/12)*(1+INDEX($C40:$E40,1,Control!$B$10))^AI5*INDEX($B$13:$M$13,1,MOD(30-1,12)+1)</f>
        <v/>
      </c>
      <c r="AJ40" s="34">
        <f>($B40/12)*(1+INDEX($C40:$E40,1,Control!$B$10))^AJ5*INDEX($B$13:$M$13,1,MOD(31-1,12)+1)</f>
        <v/>
      </c>
      <c r="AK40" s="34">
        <f>($B40/12)*(1+INDEX($C40:$E40,1,Control!$B$10))^AK5*INDEX($B$13:$M$13,1,MOD(32-1,12)+1)</f>
        <v/>
      </c>
      <c r="AL40" s="34">
        <f>($B40/12)*(1+INDEX($C40:$E40,1,Control!$B$10))^AL5*INDEX($B$13:$M$13,1,MOD(33-1,12)+1)</f>
        <v/>
      </c>
      <c r="AM40" s="34">
        <f>($B40/12)*(1+INDEX($C40:$E40,1,Control!$B$10))^AM5*INDEX($B$13:$M$13,1,MOD(34-1,12)+1)</f>
        <v/>
      </c>
      <c r="AN40" s="34">
        <f>($B40/12)*(1+INDEX($C40:$E40,1,Control!$B$10))^AN5*INDEX($B$13:$M$13,1,MOD(35-1,12)+1)</f>
        <v/>
      </c>
      <c r="AO40" s="34">
        <f>($B40/12)*(1+INDEX($C40:$E40,1,Control!$B$10))^AO5*INDEX($B$13:$M$13,1,MOD(36-1,12)+1)</f>
        <v/>
      </c>
      <c r="AP40" s="34">
        <f>($B40/12)*(1+INDEX($C40:$E40,1,Control!$B$10))^AP5*INDEX($B$13:$M$13,1,MOD(37-1,12)+1)</f>
        <v/>
      </c>
      <c r="AQ40" s="34">
        <f>($B40/12)*(1+INDEX($C40:$E40,1,Control!$B$10))^AQ5*INDEX($B$13:$M$13,1,MOD(38-1,12)+1)</f>
        <v/>
      </c>
      <c r="AR40" s="34">
        <f>($B40/12)*(1+INDEX($C40:$E40,1,Control!$B$10))^AR5*INDEX($B$13:$M$13,1,MOD(39-1,12)+1)</f>
        <v/>
      </c>
      <c r="AS40" s="34">
        <f>($B40/12)*(1+INDEX($C40:$E40,1,Control!$B$10))^AS5*INDEX($B$13:$M$13,1,MOD(40-1,12)+1)</f>
        <v/>
      </c>
      <c r="AT40" s="34">
        <f>($B40/12)*(1+INDEX($C40:$E40,1,Control!$B$10))^AT5*INDEX($B$13:$M$13,1,MOD(41-1,12)+1)</f>
        <v/>
      </c>
      <c r="AU40" s="34">
        <f>($B40/12)*(1+INDEX($C40:$E40,1,Control!$B$10))^AU5*INDEX($B$13:$M$13,1,MOD(42-1,12)+1)</f>
        <v/>
      </c>
      <c r="AV40" s="34">
        <f>($B40/12)*(1+INDEX($C40:$E40,1,Control!$B$10))^AV5*INDEX($B$13:$M$13,1,MOD(43-1,12)+1)</f>
        <v/>
      </c>
      <c r="AW40" s="34">
        <f>($B40/12)*(1+INDEX($C40:$E40,1,Control!$B$10))^AW5*INDEX($B$13:$M$13,1,MOD(44-1,12)+1)</f>
        <v/>
      </c>
      <c r="AX40" s="34">
        <f>($B40/12)*(1+INDEX($C40:$E40,1,Control!$B$10))^AX5*INDEX($B$13:$M$13,1,MOD(45-1,12)+1)</f>
        <v/>
      </c>
      <c r="AY40" s="34">
        <f>($B40/12)*(1+INDEX($C40:$E40,1,Control!$B$10))^AY5*INDEX($B$13:$M$13,1,MOD(46-1,12)+1)</f>
        <v/>
      </c>
      <c r="AZ40" s="34">
        <f>($B40/12)*(1+INDEX($C40:$E40,1,Control!$B$10))^AZ5*INDEX($B$13:$M$13,1,MOD(47-1,12)+1)</f>
        <v/>
      </c>
      <c r="BA40" s="34">
        <f>($B40/12)*(1+INDEX($C40:$E40,1,Control!$B$10))^BA5*INDEX($B$13:$M$13,1,MOD(48-1,12)+1)</f>
        <v/>
      </c>
      <c r="BB40" s="34">
        <f>($B40/12)*(1+INDEX($C40:$E40,1,Control!$B$10))^BB5*INDEX($B$13:$M$13,1,MOD(49-1,12)+1)</f>
        <v/>
      </c>
      <c r="BC40" s="34">
        <f>($B40/12)*(1+INDEX($C40:$E40,1,Control!$B$10))^BC5*INDEX($B$13:$M$13,1,MOD(50-1,12)+1)</f>
        <v/>
      </c>
      <c r="BD40" s="34">
        <f>($B40/12)*(1+INDEX($C40:$E40,1,Control!$B$10))^BD5*INDEX($B$13:$M$13,1,MOD(51-1,12)+1)</f>
        <v/>
      </c>
      <c r="BE40" s="34">
        <f>($B40/12)*(1+INDEX($C40:$E40,1,Control!$B$10))^BE5*INDEX($B$13:$M$13,1,MOD(52-1,12)+1)</f>
        <v/>
      </c>
      <c r="BF40" s="34">
        <f>($B40/12)*(1+INDEX($C40:$E40,1,Control!$B$10))^BF5*INDEX($B$13:$M$13,1,MOD(53-1,12)+1)</f>
        <v/>
      </c>
      <c r="BG40" s="34">
        <f>($B40/12)*(1+INDEX($C40:$E40,1,Control!$B$10))^BG5*INDEX($B$13:$M$13,1,MOD(54-1,12)+1)</f>
        <v/>
      </c>
      <c r="BH40" s="34">
        <f>($B40/12)*(1+INDEX($C40:$E40,1,Control!$B$10))^BH5*INDEX($B$13:$M$13,1,MOD(55-1,12)+1)</f>
        <v/>
      </c>
      <c r="BI40" s="34">
        <f>($B40/12)*(1+INDEX($C40:$E40,1,Control!$B$10))^BI5*INDEX($B$13:$M$13,1,MOD(56-1,12)+1)</f>
        <v/>
      </c>
      <c r="BJ40" s="34">
        <f>($B40/12)*(1+INDEX($C40:$E40,1,Control!$B$10))^BJ5*INDEX($B$13:$M$13,1,MOD(57-1,12)+1)</f>
        <v/>
      </c>
      <c r="BK40" s="34">
        <f>($B40/12)*(1+INDEX($C40:$E40,1,Control!$B$10))^BK5*INDEX($B$13:$M$13,1,MOD(58-1,12)+1)</f>
        <v/>
      </c>
      <c r="BL40" s="34">
        <f>($B40/12)*(1+INDEX($C40:$E40,1,Control!$B$10))^BL5*INDEX($B$13:$M$13,1,MOD(59-1,12)+1)</f>
        <v/>
      </c>
      <c r="BM40" s="34">
        <f>($B40/12)*(1+INDEX($C40:$E40,1,Control!$B$10))^BM5*INDEX($B$13:$M$13,1,MOD(60-1,12)+1)</f>
        <v/>
      </c>
      <c r="BN40" s="34">
        <f>($B40/12)*(1+INDEX($C40:$E40,1,Control!$B$10))^BN5*INDEX($B$13:$M$13,1,MOD(61-1,12)+1)</f>
        <v/>
      </c>
      <c r="BO40" s="34">
        <f>($B40/12)*(1+INDEX($C40:$E40,1,Control!$B$10))^BO5*INDEX($B$13:$M$13,1,MOD(62-1,12)+1)</f>
        <v/>
      </c>
      <c r="BP40" s="34">
        <f>($B40/12)*(1+INDEX($C40:$E40,1,Control!$B$10))^BP5*INDEX($B$13:$M$13,1,MOD(63-1,12)+1)</f>
        <v/>
      </c>
      <c r="BQ40" s="34">
        <f>($B40/12)*(1+INDEX($C40:$E40,1,Control!$B$10))^BQ5*INDEX($B$13:$M$13,1,MOD(64-1,12)+1)</f>
        <v/>
      </c>
      <c r="BR40" s="34">
        <f>($B40/12)*(1+INDEX($C40:$E40,1,Control!$B$10))^BR5*INDEX($B$13:$M$13,1,MOD(65-1,12)+1)</f>
        <v/>
      </c>
      <c r="BS40" s="34">
        <f>($B40/12)*(1+INDEX($C40:$E40,1,Control!$B$10))^BS5*INDEX($B$13:$M$13,1,MOD(66-1,12)+1)</f>
        <v/>
      </c>
      <c r="BT40" s="34">
        <f>($B40/12)*(1+INDEX($C40:$E40,1,Control!$B$10))^BT5*INDEX($B$13:$M$13,1,MOD(67-1,12)+1)</f>
        <v/>
      </c>
      <c r="BU40" s="34">
        <f>($B40/12)*(1+INDEX($C40:$E40,1,Control!$B$10))^BU5*INDEX($B$13:$M$13,1,MOD(68-1,12)+1)</f>
        <v/>
      </c>
      <c r="BV40" s="34">
        <f>($B40/12)*(1+INDEX($C40:$E40,1,Control!$B$10))^BV5*INDEX($B$13:$M$13,1,MOD(69-1,12)+1)</f>
        <v/>
      </c>
      <c r="BW40" s="34">
        <f>($B40/12)*(1+INDEX($C40:$E40,1,Control!$B$10))^BW5*INDEX($B$13:$M$13,1,MOD(70-1,12)+1)</f>
        <v/>
      </c>
      <c r="BX40" s="34">
        <f>($B40/12)*(1+INDEX($C40:$E40,1,Control!$B$10))^BX5*INDEX($B$13:$M$13,1,MOD(71-1,12)+1)</f>
        <v/>
      </c>
      <c r="BY40" s="34">
        <f>($B40/12)*(1+INDEX($C40:$E40,1,Control!$B$10))^BY5*INDEX($B$13:$M$13,1,MOD(72-1,12)+1)</f>
        <v/>
      </c>
      <c r="BZ40" s="34">
        <f>($B40/12)*(1+INDEX($C40:$E40,1,Control!$B$10))^BZ5*INDEX($B$13:$M$13,1,MOD(73-1,12)+1)</f>
        <v/>
      </c>
      <c r="CA40" s="34">
        <f>($B40/12)*(1+INDEX($C40:$E40,1,Control!$B$10))^CA5*INDEX($B$13:$M$13,1,MOD(74-1,12)+1)</f>
        <v/>
      </c>
      <c r="CB40" s="34">
        <f>($B40/12)*(1+INDEX($C40:$E40,1,Control!$B$10))^CB5*INDEX($B$13:$M$13,1,MOD(75-1,12)+1)</f>
        <v/>
      </c>
      <c r="CC40" s="34">
        <f>($B40/12)*(1+INDEX($C40:$E40,1,Control!$B$10))^CC5*INDEX($B$13:$M$13,1,MOD(76-1,12)+1)</f>
        <v/>
      </c>
      <c r="CD40" s="34">
        <f>($B40/12)*(1+INDEX($C40:$E40,1,Control!$B$10))^CD5*INDEX($B$13:$M$13,1,MOD(77-1,12)+1)</f>
        <v/>
      </c>
      <c r="CE40" s="34">
        <f>($B40/12)*(1+INDEX($C40:$E40,1,Control!$B$10))^CE5*INDEX($B$13:$M$13,1,MOD(78-1,12)+1)</f>
        <v/>
      </c>
      <c r="CF40" s="34">
        <f>($B40/12)*(1+INDEX($C40:$E40,1,Control!$B$10))^CF5*INDEX($B$13:$M$13,1,MOD(79-1,12)+1)</f>
        <v/>
      </c>
      <c r="CG40" s="34">
        <f>($B40/12)*(1+INDEX($C40:$E40,1,Control!$B$10))^CG5*INDEX($B$13:$M$13,1,MOD(80-1,12)+1)</f>
        <v/>
      </c>
      <c r="CH40" s="34">
        <f>($B40/12)*(1+INDEX($C40:$E40,1,Control!$B$10))^CH5*INDEX($B$13:$M$13,1,MOD(81-1,12)+1)</f>
        <v/>
      </c>
      <c r="CI40" s="34">
        <f>($B40/12)*(1+INDEX($C40:$E40,1,Control!$B$10))^CI5*INDEX($B$13:$M$13,1,MOD(82-1,12)+1)</f>
        <v/>
      </c>
      <c r="CJ40" s="34">
        <f>($B40/12)*(1+INDEX($C40:$E40,1,Control!$B$10))^CJ5*INDEX($B$13:$M$13,1,MOD(83-1,12)+1)</f>
        <v/>
      </c>
      <c r="CK40" s="34">
        <f>($B40/12)*(1+INDEX($C40:$E40,1,Control!$B$10))^CK5*INDEX($B$13:$M$13,1,MOD(84-1,12)+1)</f>
        <v/>
      </c>
      <c r="CL40" s="34">
        <f>($B40/12)*(1+INDEX($C40:$E40,1,Control!$B$10))^CL5*INDEX($B$13:$M$13,1,MOD(85-1,12)+1)</f>
        <v/>
      </c>
      <c r="CM40" s="34">
        <f>($B40/12)*(1+INDEX($C40:$E40,1,Control!$B$10))^CM5*INDEX($B$13:$M$13,1,MOD(86-1,12)+1)</f>
        <v/>
      </c>
      <c r="CN40" s="34">
        <f>($B40/12)*(1+INDEX($C40:$E40,1,Control!$B$10))^CN5*INDEX($B$13:$M$13,1,MOD(87-1,12)+1)</f>
        <v/>
      </c>
      <c r="CO40" s="34">
        <f>($B40/12)*(1+INDEX($C40:$E40,1,Control!$B$10))^CO5*INDEX($B$13:$M$13,1,MOD(88-1,12)+1)</f>
        <v/>
      </c>
      <c r="CP40" s="34">
        <f>($B40/12)*(1+INDEX($C40:$E40,1,Control!$B$10))^CP5*INDEX($B$13:$M$13,1,MOD(89-1,12)+1)</f>
        <v/>
      </c>
      <c r="CQ40" s="34">
        <f>($B40/12)*(1+INDEX($C40:$E40,1,Control!$B$10))^CQ5*INDEX($B$13:$M$13,1,MOD(90-1,12)+1)</f>
        <v/>
      </c>
      <c r="CR40" s="34">
        <f>($B40/12)*(1+INDEX($C40:$E40,1,Control!$B$10))^CR5*INDEX($B$13:$M$13,1,MOD(91-1,12)+1)</f>
        <v/>
      </c>
      <c r="CS40" s="34">
        <f>($B40/12)*(1+INDEX($C40:$E40,1,Control!$B$10))^CS5*INDEX($B$13:$M$13,1,MOD(92-1,12)+1)</f>
        <v/>
      </c>
      <c r="CT40" s="34">
        <f>($B40/12)*(1+INDEX($C40:$E40,1,Control!$B$10))^CT5*INDEX($B$13:$M$13,1,MOD(93-1,12)+1)</f>
        <v/>
      </c>
      <c r="CU40" s="34">
        <f>($B40/12)*(1+INDEX($C40:$E40,1,Control!$B$10))^CU5*INDEX($B$13:$M$13,1,MOD(94-1,12)+1)</f>
        <v/>
      </c>
      <c r="CV40" s="34">
        <f>($B40/12)*(1+INDEX($C40:$E40,1,Control!$B$10))^CV5*INDEX($B$13:$M$13,1,MOD(95-1,12)+1)</f>
        <v/>
      </c>
      <c r="CW40" s="34">
        <f>($B40/12)*(1+INDEX($C40:$E40,1,Control!$B$10))^CW5*INDEX($B$13:$M$13,1,MOD(96-1,12)+1)</f>
        <v/>
      </c>
      <c r="CX40" s="34">
        <f>($B40/12)*(1+INDEX($C40:$E40,1,Control!$B$10))^CX5*INDEX($B$13:$M$13,1,MOD(97-1,12)+1)</f>
        <v/>
      </c>
      <c r="CY40" s="34">
        <f>($B40/12)*(1+INDEX($C40:$E40,1,Control!$B$10))^CY5*INDEX($B$13:$M$13,1,MOD(98-1,12)+1)</f>
        <v/>
      </c>
      <c r="CZ40" s="34">
        <f>($B40/12)*(1+INDEX($C40:$E40,1,Control!$B$10))^CZ5*INDEX($B$13:$M$13,1,MOD(99-1,12)+1)</f>
        <v/>
      </c>
      <c r="DA40" s="34">
        <f>($B40/12)*(1+INDEX($C40:$E40,1,Control!$B$10))^DA5*INDEX($B$13:$M$13,1,MOD(100-1,12)+1)</f>
        <v/>
      </c>
      <c r="DB40" s="34">
        <f>($B40/12)*(1+INDEX($C40:$E40,1,Control!$B$10))^DB5*INDEX($B$13:$M$13,1,MOD(101-1,12)+1)</f>
        <v/>
      </c>
      <c r="DC40" s="34">
        <f>($B40/12)*(1+INDEX($C40:$E40,1,Control!$B$10))^DC5*INDEX($B$13:$M$13,1,MOD(102-1,12)+1)</f>
        <v/>
      </c>
      <c r="DD40" s="34">
        <f>($B40/12)*(1+INDEX($C40:$E40,1,Control!$B$10))^DD5*INDEX($B$13:$M$13,1,MOD(103-1,12)+1)</f>
        <v/>
      </c>
      <c r="DE40" s="34">
        <f>($B40/12)*(1+INDEX($C40:$E40,1,Control!$B$10))^DE5*INDEX($B$13:$M$13,1,MOD(104-1,12)+1)</f>
        <v/>
      </c>
      <c r="DF40" s="34">
        <f>($B40/12)*(1+INDEX($C40:$E40,1,Control!$B$10))^DF5*INDEX($B$13:$M$13,1,MOD(105-1,12)+1)</f>
        <v/>
      </c>
      <c r="DG40" s="34">
        <f>($B40/12)*(1+INDEX($C40:$E40,1,Control!$B$10))^DG5*INDEX($B$13:$M$13,1,MOD(106-1,12)+1)</f>
        <v/>
      </c>
      <c r="DH40" s="34">
        <f>($B40/12)*(1+INDEX($C40:$E40,1,Control!$B$10))^DH5*INDEX($B$13:$M$13,1,MOD(107-1,12)+1)</f>
        <v/>
      </c>
      <c r="DI40" s="34">
        <f>($B40/12)*(1+INDEX($C40:$E40,1,Control!$B$10))^DI5*INDEX($B$13:$M$13,1,MOD(108-1,12)+1)</f>
        <v/>
      </c>
      <c r="DJ40" s="34">
        <f>($B40/12)*(1+INDEX($C40:$E40,1,Control!$B$10))^DJ5*INDEX($B$13:$M$13,1,MOD(109-1,12)+1)</f>
        <v/>
      </c>
      <c r="DK40" s="34">
        <f>($B40/12)*(1+INDEX($C40:$E40,1,Control!$B$10))^DK5*INDEX($B$13:$M$13,1,MOD(110-1,12)+1)</f>
        <v/>
      </c>
      <c r="DL40" s="34">
        <f>($B40/12)*(1+INDEX($C40:$E40,1,Control!$B$10))^DL5*INDEX($B$13:$M$13,1,MOD(111-1,12)+1)</f>
        <v/>
      </c>
      <c r="DM40" s="34">
        <f>($B40/12)*(1+INDEX($C40:$E40,1,Control!$B$10))^DM5*INDEX($B$13:$M$13,1,MOD(112-1,12)+1)</f>
        <v/>
      </c>
      <c r="DN40" s="34">
        <f>($B40/12)*(1+INDEX($C40:$E40,1,Control!$B$10))^DN5*INDEX($B$13:$M$13,1,MOD(113-1,12)+1)</f>
        <v/>
      </c>
      <c r="DO40" s="34">
        <f>($B40/12)*(1+INDEX($C40:$E40,1,Control!$B$10))^DO5*INDEX($B$13:$M$13,1,MOD(114-1,12)+1)</f>
        <v/>
      </c>
      <c r="DP40" s="34">
        <f>($B40/12)*(1+INDEX($C40:$E40,1,Control!$B$10))^DP5*INDEX($B$13:$M$13,1,MOD(115-1,12)+1)</f>
        <v/>
      </c>
      <c r="DQ40" s="34">
        <f>($B40/12)*(1+INDEX($C40:$E40,1,Control!$B$10))^DQ5*INDEX($B$13:$M$13,1,MOD(116-1,12)+1)</f>
        <v/>
      </c>
      <c r="DR40" s="34">
        <f>($B40/12)*(1+INDEX($C40:$E40,1,Control!$B$10))^DR5*INDEX($B$13:$M$13,1,MOD(117-1,12)+1)</f>
        <v/>
      </c>
      <c r="DS40" s="34">
        <f>($B40/12)*(1+INDEX($C40:$E40,1,Control!$B$10))^DS5*INDEX($B$13:$M$13,1,MOD(118-1,12)+1)</f>
        <v/>
      </c>
      <c r="DT40" s="34">
        <f>($B40/12)*(1+INDEX($C40:$E40,1,Control!$B$10))^DT5*INDEX($B$13:$M$13,1,MOD(119-1,12)+1)</f>
        <v/>
      </c>
      <c r="DU40" s="34">
        <f>($B40/12)*(1+INDEX($C40:$E40,1,Control!$B$10))^DU5*INDEX($B$13:$M$13,1,MOD(120-1,12)+1)</f>
        <v/>
      </c>
    </row>
    <row r="41">
      <c r="A41" t="inlineStr">
        <is>
          <t>CityLight-Kegs-OnTrade</t>
        </is>
      </c>
      <c r="B41" s="33" t="n">
        <v>10000</v>
      </c>
      <c r="C41" s="22" t="n">
        <v>0.025</v>
      </c>
      <c r="D41" s="22" t="n">
        <v>0.04</v>
      </c>
      <c r="E41" s="22" t="n">
        <v>0.01</v>
      </c>
      <c r="F41" s="34">
        <f>($B41/12)*(1+INDEX($C41:$E41,1,Control!$B$10))^F5*INDEX($B$13:$M$13,1,MOD(1-1,12)+1)</f>
        <v/>
      </c>
      <c r="G41" s="34">
        <f>($B41/12)*(1+INDEX($C41:$E41,1,Control!$B$10))^G5*INDEX($B$13:$M$13,1,MOD(2-1,12)+1)</f>
        <v/>
      </c>
      <c r="H41" s="34">
        <f>($B41/12)*(1+INDEX($C41:$E41,1,Control!$B$10))^H5*INDEX($B$13:$M$13,1,MOD(3-1,12)+1)</f>
        <v/>
      </c>
      <c r="I41" s="34">
        <f>($B41/12)*(1+INDEX($C41:$E41,1,Control!$B$10))^I5*INDEX($B$13:$M$13,1,MOD(4-1,12)+1)</f>
        <v/>
      </c>
      <c r="J41" s="34">
        <f>($B41/12)*(1+INDEX($C41:$E41,1,Control!$B$10))^J5*INDEX($B$13:$M$13,1,MOD(5-1,12)+1)</f>
        <v/>
      </c>
      <c r="K41" s="34">
        <f>($B41/12)*(1+INDEX($C41:$E41,1,Control!$B$10))^K5*INDEX($B$13:$M$13,1,MOD(6-1,12)+1)</f>
        <v/>
      </c>
      <c r="L41" s="34">
        <f>($B41/12)*(1+INDEX($C41:$E41,1,Control!$B$10))^L5*INDEX($B$13:$M$13,1,MOD(7-1,12)+1)</f>
        <v/>
      </c>
      <c r="M41" s="34">
        <f>($B41/12)*(1+INDEX($C41:$E41,1,Control!$B$10))^M5*INDEX($B$13:$M$13,1,MOD(8-1,12)+1)</f>
        <v/>
      </c>
      <c r="N41" s="34">
        <f>($B41/12)*(1+INDEX($C41:$E41,1,Control!$B$10))^N5*INDEX($B$13:$M$13,1,MOD(9-1,12)+1)</f>
        <v/>
      </c>
      <c r="O41" s="34">
        <f>($B41/12)*(1+INDEX($C41:$E41,1,Control!$B$10))^O5*INDEX($B$13:$M$13,1,MOD(10-1,12)+1)</f>
        <v/>
      </c>
      <c r="P41" s="34">
        <f>($B41/12)*(1+INDEX($C41:$E41,1,Control!$B$10))^P5*INDEX($B$13:$M$13,1,MOD(11-1,12)+1)</f>
        <v/>
      </c>
      <c r="Q41" s="34">
        <f>($B41/12)*(1+INDEX($C41:$E41,1,Control!$B$10))^Q5*INDEX($B$13:$M$13,1,MOD(12-1,12)+1)</f>
        <v/>
      </c>
      <c r="R41" s="34">
        <f>($B41/12)*(1+INDEX($C41:$E41,1,Control!$B$10))^R5*INDEX($B$13:$M$13,1,MOD(13-1,12)+1)</f>
        <v/>
      </c>
      <c r="S41" s="34">
        <f>($B41/12)*(1+INDEX($C41:$E41,1,Control!$B$10))^S5*INDEX($B$13:$M$13,1,MOD(14-1,12)+1)</f>
        <v/>
      </c>
      <c r="T41" s="34">
        <f>($B41/12)*(1+INDEX($C41:$E41,1,Control!$B$10))^T5*INDEX($B$13:$M$13,1,MOD(15-1,12)+1)</f>
        <v/>
      </c>
      <c r="U41" s="34">
        <f>($B41/12)*(1+INDEX($C41:$E41,1,Control!$B$10))^U5*INDEX($B$13:$M$13,1,MOD(16-1,12)+1)</f>
        <v/>
      </c>
      <c r="V41" s="34">
        <f>($B41/12)*(1+INDEX($C41:$E41,1,Control!$B$10))^V5*INDEX($B$13:$M$13,1,MOD(17-1,12)+1)</f>
        <v/>
      </c>
      <c r="W41" s="34">
        <f>($B41/12)*(1+INDEX($C41:$E41,1,Control!$B$10))^W5*INDEX($B$13:$M$13,1,MOD(18-1,12)+1)</f>
        <v/>
      </c>
      <c r="X41" s="34">
        <f>($B41/12)*(1+INDEX($C41:$E41,1,Control!$B$10))^X5*INDEX($B$13:$M$13,1,MOD(19-1,12)+1)</f>
        <v/>
      </c>
      <c r="Y41" s="34">
        <f>($B41/12)*(1+INDEX($C41:$E41,1,Control!$B$10))^Y5*INDEX($B$13:$M$13,1,MOD(20-1,12)+1)</f>
        <v/>
      </c>
      <c r="Z41" s="34">
        <f>($B41/12)*(1+INDEX($C41:$E41,1,Control!$B$10))^Z5*INDEX($B$13:$M$13,1,MOD(21-1,12)+1)</f>
        <v/>
      </c>
      <c r="AA41" s="34">
        <f>($B41/12)*(1+INDEX($C41:$E41,1,Control!$B$10))^AA5*INDEX($B$13:$M$13,1,MOD(22-1,12)+1)</f>
        <v/>
      </c>
      <c r="AB41" s="34">
        <f>($B41/12)*(1+INDEX($C41:$E41,1,Control!$B$10))^AB5*INDEX($B$13:$M$13,1,MOD(23-1,12)+1)</f>
        <v/>
      </c>
      <c r="AC41" s="34">
        <f>($B41/12)*(1+INDEX($C41:$E41,1,Control!$B$10))^AC5*INDEX($B$13:$M$13,1,MOD(24-1,12)+1)</f>
        <v/>
      </c>
      <c r="AD41" s="34">
        <f>($B41/12)*(1+INDEX($C41:$E41,1,Control!$B$10))^AD5*INDEX($B$13:$M$13,1,MOD(25-1,12)+1)</f>
        <v/>
      </c>
      <c r="AE41" s="34">
        <f>($B41/12)*(1+INDEX($C41:$E41,1,Control!$B$10))^AE5*INDEX($B$13:$M$13,1,MOD(26-1,12)+1)</f>
        <v/>
      </c>
      <c r="AF41" s="34">
        <f>($B41/12)*(1+INDEX($C41:$E41,1,Control!$B$10))^AF5*INDEX($B$13:$M$13,1,MOD(27-1,12)+1)</f>
        <v/>
      </c>
      <c r="AG41" s="34">
        <f>($B41/12)*(1+INDEX($C41:$E41,1,Control!$B$10))^AG5*INDEX($B$13:$M$13,1,MOD(28-1,12)+1)</f>
        <v/>
      </c>
      <c r="AH41" s="34">
        <f>($B41/12)*(1+INDEX($C41:$E41,1,Control!$B$10))^AH5*INDEX($B$13:$M$13,1,MOD(29-1,12)+1)</f>
        <v/>
      </c>
      <c r="AI41" s="34">
        <f>($B41/12)*(1+INDEX($C41:$E41,1,Control!$B$10))^AI5*INDEX($B$13:$M$13,1,MOD(30-1,12)+1)</f>
        <v/>
      </c>
      <c r="AJ41" s="34">
        <f>($B41/12)*(1+INDEX($C41:$E41,1,Control!$B$10))^AJ5*INDEX($B$13:$M$13,1,MOD(31-1,12)+1)</f>
        <v/>
      </c>
      <c r="AK41" s="34">
        <f>($B41/12)*(1+INDEX($C41:$E41,1,Control!$B$10))^AK5*INDEX($B$13:$M$13,1,MOD(32-1,12)+1)</f>
        <v/>
      </c>
      <c r="AL41" s="34">
        <f>($B41/12)*(1+INDEX($C41:$E41,1,Control!$B$10))^AL5*INDEX($B$13:$M$13,1,MOD(33-1,12)+1)</f>
        <v/>
      </c>
      <c r="AM41" s="34">
        <f>($B41/12)*(1+INDEX($C41:$E41,1,Control!$B$10))^AM5*INDEX($B$13:$M$13,1,MOD(34-1,12)+1)</f>
        <v/>
      </c>
      <c r="AN41" s="34">
        <f>($B41/12)*(1+INDEX($C41:$E41,1,Control!$B$10))^AN5*INDEX($B$13:$M$13,1,MOD(35-1,12)+1)</f>
        <v/>
      </c>
      <c r="AO41" s="34">
        <f>($B41/12)*(1+INDEX($C41:$E41,1,Control!$B$10))^AO5*INDEX($B$13:$M$13,1,MOD(36-1,12)+1)</f>
        <v/>
      </c>
      <c r="AP41" s="34">
        <f>($B41/12)*(1+INDEX($C41:$E41,1,Control!$B$10))^AP5*INDEX($B$13:$M$13,1,MOD(37-1,12)+1)</f>
        <v/>
      </c>
      <c r="AQ41" s="34">
        <f>($B41/12)*(1+INDEX($C41:$E41,1,Control!$B$10))^AQ5*INDEX($B$13:$M$13,1,MOD(38-1,12)+1)</f>
        <v/>
      </c>
      <c r="AR41" s="34">
        <f>($B41/12)*(1+INDEX($C41:$E41,1,Control!$B$10))^AR5*INDEX($B$13:$M$13,1,MOD(39-1,12)+1)</f>
        <v/>
      </c>
      <c r="AS41" s="34">
        <f>($B41/12)*(1+INDEX($C41:$E41,1,Control!$B$10))^AS5*INDEX($B$13:$M$13,1,MOD(40-1,12)+1)</f>
        <v/>
      </c>
      <c r="AT41" s="34">
        <f>($B41/12)*(1+INDEX($C41:$E41,1,Control!$B$10))^AT5*INDEX($B$13:$M$13,1,MOD(41-1,12)+1)</f>
        <v/>
      </c>
      <c r="AU41" s="34">
        <f>($B41/12)*(1+INDEX($C41:$E41,1,Control!$B$10))^AU5*INDEX($B$13:$M$13,1,MOD(42-1,12)+1)</f>
        <v/>
      </c>
      <c r="AV41" s="34">
        <f>($B41/12)*(1+INDEX($C41:$E41,1,Control!$B$10))^AV5*INDEX($B$13:$M$13,1,MOD(43-1,12)+1)</f>
        <v/>
      </c>
      <c r="AW41" s="34">
        <f>($B41/12)*(1+INDEX($C41:$E41,1,Control!$B$10))^AW5*INDEX($B$13:$M$13,1,MOD(44-1,12)+1)</f>
        <v/>
      </c>
      <c r="AX41" s="34">
        <f>($B41/12)*(1+INDEX($C41:$E41,1,Control!$B$10))^AX5*INDEX($B$13:$M$13,1,MOD(45-1,12)+1)</f>
        <v/>
      </c>
      <c r="AY41" s="34">
        <f>($B41/12)*(1+INDEX($C41:$E41,1,Control!$B$10))^AY5*INDEX($B$13:$M$13,1,MOD(46-1,12)+1)</f>
        <v/>
      </c>
      <c r="AZ41" s="34">
        <f>($B41/12)*(1+INDEX($C41:$E41,1,Control!$B$10))^AZ5*INDEX($B$13:$M$13,1,MOD(47-1,12)+1)</f>
        <v/>
      </c>
      <c r="BA41" s="34">
        <f>($B41/12)*(1+INDEX($C41:$E41,1,Control!$B$10))^BA5*INDEX($B$13:$M$13,1,MOD(48-1,12)+1)</f>
        <v/>
      </c>
      <c r="BB41" s="34">
        <f>($B41/12)*(1+INDEX($C41:$E41,1,Control!$B$10))^BB5*INDEX($B$13:$M$13,1,MOD(49-1,12)+1)</f>
        <v/>
      </c>
      <c r="BC41" s="34">
        <f>($B41/12)*(1+INDEX($C41:$E41,1,Control!$B$10))^BC5*INDEX($B$13:$M$13,1,MOD(50-1,12)+1)</f>
        <v/>
      </c>
      <c r="BD41" s="34">
        <f>($B41/12)*(1+INDEX($C41:$E41,1,Control!$B$10))^BD5*INDEX($B$13:$M$13,1,MOD(51-1,12)+1)</f>
        <v/>
      </c>
      <c r="BE41" s="34">
        <f>($B41/12)*(1+INDEX($C41:$E41,1,Control!$B$10))^BE5*INDEX($B$13:$M$13,1,MOD(52-1,12)+1)</f>
        <v/>
      </c>
      <c r="BF41" s="34">
        <f>($B41/12)*(1+INDEX($C41:$E41,1,Control!$B$10))^BF5*INDEX($B$13:$M$13,1,MOD(53-1,12)+1)</f>
        <v/>
      </c>
      <c r="BG41" s="34">
        <f>($B41/12)*(1+INDEX($C41:$E41,1,Control!$B$10))^BG5*INDEX($B$13:$M$13,1,MOD(54-1,12)+1)</f>
        <v/>
      </c>
      <c r="BH41" s="34">
        <f>($B41/12)*(1+INDEX($C41:$E41,1,Control!$B$10))^BH5*INDEX($B$13:$M$13,1,MOD(55-1,12)+1)</f>
        <v/>
      </c>
      <c r="BI41" s="34">
        <f>($B41/12)*(1+INDEX($C41:$E41,1,Control!$B$10))^BI5*INDEX($B$13:$M$13,1,MOD(56-1,12)+1)</f>
        <v/>
      </c>
      <c r="BJ41" s="34">
        <f>($B41/12)*(1+INDEX($C41:$E41,1,Control!$B$10))^BJ5*INDEX($B$13:$M$13,1,MOD(57-1,12)+1)</f>
        <v/>
      </c>
      <c r="BK41" s="34">
        <f>($B41/12)*(1+INDEX($C41:$E41,1,Control!$B$10))^BK5*INDEX($B$13:$M$13,1,MOD(58-1,12)+1)</f>
        <v/>
      </c>
      <c r="BL41" s="34">
        <f>($B41/12)*(1+INDEX($C41:$E41,1,Control!$B$10))^BL5*INDEX($B$13:$M$13,1,MOD(59-1,12)+1)</f>
        <v/>
      </c>
      <c r="BM41" s="34">
        <f>($B41/12)*(1+INDEX($C41:$E41,1,Control!$B$10))^BM5*INDEX($B$13:$M$13,1,MOD(60-1,12)+1)</f>
        <v/>
      </c>
      <c r="BN41" s="34">
        <f>($B41/12)*(1+INDEX($C41:$E41,1,Control!$B$10))^BN5*INDEX($B$13:$M$13,1,MOD(61-1,12)+1)</f>
        <v/>
      </c>
      <c r="BO41" s="34">
        <f>($B41/12)*(1+INDEX($C41:$E41,1,Control!$B$10))^BO5*INDEX($B$13:$M$13,1,MOD(62-1,12)+1)</f>
        <v/>
      </c>
      <c r="BP41" s="34">
        <f>($B41/12)*(1+INDEX($C41:$E41,1,Control!$B$10))^BP5*INDEX($B$13:$M$13,1,MOD(63-1,12)+1)</f>
        <v/>
      </c>
      <c r="BQ41" s="34">
        <f>($B41/12)*(1+INDEX($C41:$E41,1,Control!$B$10))^BQ5*INDEX($B$13:$M$13,1,MOD(64-1,12)+1)</f>
        <v/>
      </c>
      <c r="BR41" s="34">
        <f>($B41/12)*(1+INDEX($C41:$E41,1,Control!$B$10))^BR5*INDEX($B$13:$M$13,1,MOD(65-1,12)+1)</f>
        <v/>
      </c>
      <c r="BS41" s="34">
        <f>($B41/12)*(1+INDEX($C41:$E41,1,Control!$B$10))^BS5*INDEX($B$13:$M$13,1,MOD(66-1,12)+1)</f>
        <v/>
      </c>
      <c r="BT41" s="34">
        <f>($B41/12)*(1+INDEX($C41:$E41,1,Control!$B$10))^BT5*INDEX($B$13:$M$13,1,MOD(67-1,12)+1)</f>
        <v/>
      </c>
      <c r="BU41" s="34">
        <f>($B41/12)*(1+INDEX($C41:$E41,1,Control!$B$10))^BU5*INDEX($B$13:$M$13,1,MOD(68-1,12)+1)</f>
        <v/>
      </c>
      <c r="BV41" s="34">
        <f>($B41/12)*(1+INDEX($C41:$E41,1,Control!$B$10))^BV5*INDEX($B$13:$M$13,1,MOD(69-1,12)+1)</f>
        <v/>
      </c>
      <c r="BW41" s="34">
        <f>($B41/12)*(1+INDEX($C41:$E41,1,Control!$B$10))^BW5*INDEX($B$13:$M$13,1,MOD(70-1,12)+1)</f>
        <v/>
      </c>
      <c r="BX41" s="34">
        <f>($B41/12)*(1+INDEX($C41:$E41,1,Control!$B$10))^BX5*INDEX($B$13:$M$13,1,MOD(71-1,12)+1)</f>
        <v/>
      </c>
      <c r="BY41" s="34">
        <f>($B41/12)*(1+INDEX($C41:$E41,1,Control!$B$10))^BY5*INDEX($B$13:$M$13,1,MOD(72-1,12)+1)</f>
        <v/>
      </c>
      <c r="BZ41" s="34">
        <f>($B41/12)*(1+INDEX($C41:$E41,1,Control!$B$10))^BZ5*INDEX($B$13:$M$13,1,MOD(73-1,12)+1)</f>
        <v/>
      </c>
      <c r="CA41" s="34">
        <f>($B41/12)*(1+INDEX($C41:$E41,1,Control!$B$10))^CA5*INDEX($B$13:$M$13,1,MOD(74-1,12)+1)</f>
        <v/>
      </c>
      <c r="CB41" s="34">
        <f>($B41/12)*(1+INDEX($C41:$E41,1,Control!$B$10))^CB5*INDEX($B$13:$M$13,1,MOD(75-1,12)+1)</f>
        <v/>
      </c>
      <c r="CC41" s="34">
        <f>($B41/12)*(1+INDEX($C41:$E41,1,Control!$B$10))^CC5*INDEX($B$13:$M$13,1,MOD(76-1,12)+1)</f>
        <v/>
      </c>
      <c r="CD41" s="34">
        <f>($B41/12)*(1+INDEX($C41:$E41,1,Control!$B$10))^CD5*INDEX($B$13:$M$13,1,MOD(77-1,12)+1)</f>
        <v/>
      </c>
      <c r="CE41" s="34">
        <f>($B41/12)*(1+INDEX($C41:$E41,1,Control!$B$10))^CE5*INDEX($B$13:$M$13,1,MOD(78-1,12)+1)</f>
        <v/>
      </c>
      <c r="CF41" s="34">
        <f>($B41/12)*(1+INDEX($C41:$E41,1,Control!$B$10))^CF5*INDEX($B$13:$M$13,1,MOD(79-1,12)+1)</f>
        <v/>
      </c>
      <c r="CG41" s="34">
        <f>($B41/12)*(1+INDEX($C41:$E41,1,Control!$B$10))^CG5*INDEX($B$13:$M$13,1,MOD(80-1,12)+1)</f>
        <v/>
      </c>
      <c r="CH41" s="34">
        <f>($B41/12)*(1+INDEX($C41:$E41,1,Control!$B$10))^CH5*INDEX($B$13:$M$13,1,MOD(81-1,12)+1)</f>
        <v/>
      </c>
      <c r="CI41" s="34">
        <f>($B41/12)*(1+INDEX($C41:$E41,1,Control!$B$10))^CI5*INDEX($B$13:$M$13,1,MOD(82-1,12)+1)</f>
        <v/>
      </c>
      <c r="CJ41" s="34">
        <f>($B41/12)*(1+INDEX($C41:$E41,1,Control!$B$10))^CJ5*INDEX($B$13:$M$13,1,MOD(83-1,12)+1)</f>
        <v/>
      </c>
      <c r="CK41" s="34">
        <f>($B41/12)*(1+INDEX($C41:$E41,1,Control!$B$10))^CK5*INDEX($B$13:$M$13,1,MOD(84-1,12)+1)</f>
        <v/>
      </c>
      <c r="CL41" s="34">
        <f>($B41/12)*(1+INDEX($C41:$E41,1,Control!$B$10))^CL5*INDEX($B$13:$M$13,1,MOD(85-1,12)+1)</f>
        <v/>
      </c>
      <c r="CM41" s="34">
        <f>($B41/12)*(1+INDEX($C41:$E41,1,Control!$B$10))^CM5*INDEX($B$13:$M$13,1,MOD(86-1,12)+1)</f>
        <v/>
      </c>
      <c r="CN41" s="34">
        <f>($B41/12)*(1+INDEX($C41:$E41,1,Control!$B$10))^CN5*INDEX($B$13:$M$13,1,MOD(87-1,12)+1)</f>
        <v/>
      </c>
      <c r="CO41" s="34">
        <f>($B41/12)*(1+INDEX($C41:$E41,1,Control!$B$10))^CO5*INDEX($B$13:$M$13,1,MOD(88-1,12)+1)</f>
        <v/>
      </c>
      <c r="CP41" s="34">
        <f>($B41/12)*(1+INDEX($C41:$E41,1,Control!$B$10))^CP5*INDEX($B$13:$M$13,1,MOD(89-1,12)+1)</f>
        <v/>
      </c>
      <c r="CQ41" s="34">
        <f>($B41/12)*(1+INDEX($C41:$E41,1,Control!$B$10))^CQ5*INDEX($B$13:$M$13,1,MOD(90-1,12)+1)</f>
        <v/>
      </c>
      <c r="CR41" s="34">
        <f>($B41/12)*(1+INDEX($C41:$E41,1,Control!$B$10))^CR5*INDEX($B$13:$M$13,1,MOD(91-1,12)+1)</f>
        <v/>
      </c>
      <c r="CS41" s="34">
        <f>($B41/12)*(1+INDEX($C41:$E41,1,Control!$B$10))^CS5*INDEX($B$13:$M$13,1,MOD(92-1,12)+1)</f>
        <v/>
      </c>
      <c r="CT41" s="34">
        <f>($B41/12)*(1+INDEX($C41:$E41,1,Control!$B$10))^CT5*INDEX($B$13:$M$13,1,MOD(93-1,12)+1)</f>
        <v/>
      </c>
      <c r="CU41" s="34">
        <f>($B41/12)*(1+INDEX($C41:$E41,1,Control!$B$10))^CU5*INDEX($B$13:$M$13,1,MOD(94-1,12)+1)</f>
        <v/>
      </c>
      <c r="CV41" s="34">
        <f>($B41/12)*(1+INDEX($C41:$E41,1,Control!$B$10))^CV5*INDEX($B$13:$M$13,1,MOD(95-1,12)+1)</f>
        <v/>
      </c>
      <c r="CW41" s="34">
        <f>($B41/12)*(1+INDEX($C41:$E41,1,Control!$B$10))^CW5*INDEX($B$13:$M$13,1,MOD(96-1,12)+1)</f>
        <v/>
      </c>
      <c r="CX41" s="34">
        <f>($B41/12)*(1+INDEX($C41:$E41,1,Control!$B$10))^CX5*INDEX($B$13:$M$13,1,MOD(97-1,12)+1)</f>
        <v/>
      </c>
      <c r="CY41" s="34">
        <f>($B41/12)*(1+INDEX($C41:$E41,1,Control!$B$10))^CY5*INDEX($B$13:$M$13,1,MOD(98-1,12)+1)</f>
        <v/>
      </c>
      <c r="CZ41" s="34">
        <f>($B41/12)*(1+INDEX($C41:$E41,1,Control!$B$10))^CZ5*INDEX($B$13:$M$13,1,MOD(99-1,12)+1)</f>
        <v/>
      </c>
      <c r="DA41" s="34">
        <f>($B41/12)*(1+INDEX($C41:$E41,1,Control!$B$10))^DA5*INDEX($B$13:$M$13,1,MOD(100-1,12)+1)</f>
        <v/>
      </c>
      <c r="DB41" s="34">
        <f>($B41/12)*(1+INDEX($C41:$E41,1,Control!$B$10))^DB5*INDEX($B$13:$M$13,1,MOD(101-1,12)+1)</f>
        <v/>
      </c>
      <c r="DC41" s="34">
        <f>($B41/12)*(1+INDEX($C41:$E41,1,Control!$B$10))^DC5*INDEX($B$13:$M$13,1,MOD(102-1,12)+1)</f>
        <v/>
      </c>
      <c r="DD41" s="34">
        <f>($B41/12)*(1+INDEX($C41:$E41,1,Control!$B$10))^DD5*INDEX($B$13:$M$13,1,MOD(103-1,12)+1)</f>
        <v/>
      </c>
      <c r="DE41" s="34">
        <f>($B41/12)*(1+INDEX($C41:$E41,1,Control!$B$10))^DE5*INDEX($B$13:$M$13,1,MOD(104-1,12)+1)</f>
        <v/>
      </c>
      <c r="DF41" s="34">
        <f>($B41/12)*(1+INDEX($C41:$E41,1,Control!$B$10))^DF5*INDEX($B$13:$M$13,1,MOD(105-1,12)+1)</f>
        <v/>
      </c>
      <c r="DG41" s="34">
        <f>($B41/12)*(1+INDEX($C41:$E41,1,Control!$B$10))^DG5*INDEX($B$13:$M$13,1,MOD(106-1,12)+1)</f>
        <v/>
      </c>
      <c r="DH41" s="34">
        <f>($B41/12)*(1+INDEX($C41:$E41,1,Control!$B$10))^DH5*INDEX($B$13:$M$13,1,MOD(107-1,12)+1)</f>
        <v/>
      </c>
      <c r="DI41" s="34">
        <f>($B41/12)*(1+INDEX($C41:$E41,1,Control!$B$10))^DI5*INDEX($B$13:$M$13,1,MOD(108-1,12)+1)</f>
        <v/>
      </c>
      <c r="DJ41" s="34">
        <f>($B41/12)*(1+INDEX($C41:$E41,1,Control!$B$10))^DJ5*INDEX($B$13:$M$13,1,MOD(109-1,12)+1)</f>
        <v/>
      </c>
      <c r="DK41" s="34">
        <f>($B41/12)*(1+INDEX($C41:$E41,1,Control!$B$10))^DK5*INDEX($B$13:$M$13,1,MOD(110-1,12)+1)</f>
        <v/>
      </c>
      <c r="DL41" s="34">
        <f>($B41/12)*(1+INDEX($C41:$E41,1,Control!$B$10))^DL5*INDEX($B$13:$M$13,1,MOD(111-1,12)+1)</f>
        <v/>
      </c>
      <c r="DM41" s="34">
        <f>($B41/12)*(1+INDEX($C41:$E41,1,Control!$B$10))^DM5*INDEX($B$13:$M$13,1,MOD(112-1,12)+1)</f>
        <v/>
      </c>
      <c r="DN41" s="34">
        <f>($B41/12)*(1+INDEX($C41:$E41,1,Control!$B$10))^DN5*INDEX($B$13:$M$13,1,MOD(113-1,12)+1)</f>
        <v/>
      </c>
      <c r="DO41" s="34">
        <f>($B41/12)*(1+INDEX($C41:$E41,1,Control!$B$10))^DO5*INDEX($B$13:$M$13,1,MOD(114-1,12)+1)</f>
        <v/>
      </c>
      <c r="DP41" s="34">
        <f>($B41/12)*(1+INDEX($C41:$E41,1,Control!$B$10))^DP5*INDEX($B$13:$M$13,1,MOD(115-1,12)+1)</f>
        <v/>
      </c>
      <c r="DQ41" s="34">
        <f>($B41/12)*(1+INDEX($C41:$E41,1,Control!$B$10))^DQ5*INDEX($B$13:$M$13,1,MOD(116-1,12)+1)</f>
        <v/>
      </c>
      <c r="DR41" s="34">
        <f>($B41/12)*(1+INDEX($C41:$E41,1,Control!$B$10))^DR5*INDEX($B$13:$M$13,1,MOD(117-1,12)+1)</f>
        <v/>
      </c>
      <c r="DS41" s="34">
        <f>($B41/12)*(1+INDEX($C41:$E41,1,Control!$B$10))^DS5*INDEX($B$13:$M$13,1,MOD(118-1,12)+1)</f>
        <v/>
      </c>
      <c r="DT41" s="34">
        <f>($B41/12)*(1+INDEX($C41:$E41,1,Control!$B$10))^DT5*INDEX($B$13:$M$13,1,MOD(119-1,12)+1)</f>
        <v/>
      </c>
      <c r="DU41" s="34">
        <f>($B41/12)*(1+INDEX($C41:$E41,1,Control!$B$10))^DU5*INDEX($B$13:$M$13,1,MOD(120-1,12)+1)</f>
        <v/>
      </c>
    </row>
    <row r="42">
      <c r="A42" t="inlineStr">
        <is>
          <t>CityLight-Kegs-OffTrade</t>
        </is>
      </c>
      <c r="B42" s="33" t="n">
        <v>0</v>
      </c>
      <c r="C42" s="22" t="n">
        <v>0.025</v>
      </c>
      <c r="D42" s="22" t="n">
        <v>0.04</v>
      </c>
      <c r="E42" s="22" t="n">
        <v>0.01</v>
      </c>
      <c r="F42" s="34">
        <f>($B42/12)*(1+INDEX($C42:$E42,1,Control!$B$10))^F5*INDEX($B$13:$M$13,1,MOD(1-1,12)+1)</f>
        <v/>
      </c>
      <c r="G42" s="34">
        <f>($B42/12)*(1+INDEX($C42:$E42,1,Control!$B$10))^G5*INDEX($B$13:$M$13,1,MOD(2-1,12)+1)</f>
        <v/>
      </c>
      <c r="H42" s="34">
        <f>($B42/12)*(1+INDEX($C42:$E42,1,Control!$B$10))^H5*INDEX($B$13:$M$13,1,MOD(3-1,12)+1)</f>
        <v/>
      </c>
      <c r="I42" s="34">
        <f>($B42/12)*(1+INDEX($C42:$E42,1,Control!$B$10))^I5*INDEX($B$13:$M$13,1,MOD(4-1,12)+1)</f>
        <v/>
      </c>
      <c r="J42" s="34">
        <f>($B42/12)*(1+INDEX($C42:$E42,1,Control!$B$10))^J5*INDEX($B$13:$M$13,1,MOD(5-1,12)+1)</f>
        <v/>
      </c>
      <c r="K42" s="34">
        <f>($B42/12)*(1+INDEX($C42:$E42,1,Control!$B$10))^K5*INDEX($B$13:$M$13,1,MOD(6-1,12)+1)</f>
        <v/>
      </c>
      <c r="L42" s="34">
        <f>($B42/12)*(1+INDEX($C42:$E42,1,Control!$B$10))^L5*INDEX($B$13:$M$13,1,MOD(7-1,12)+1)</f>
        <v/>
      </c>
      <c r="M42" s="34">
        <f>($B42/12)*(1+INDEX($C42:$E42,1,Control!$B$10))^M5*INDEX($B$13:$M$13,1,MOD(8-1,12)+1)</f>
        <v/>
      </c>
      <c r="N42" s="34">
        <f>($B42/12)*(1+INDEX($C42:$E42,1,Control!$B$10))^N5*INDEX($B$13:$M$13,1,MOD(9-1,12)+1)</f>
        <v/>
      </c>
      <c r="O42" s="34">
        <f>($B42/12)*(1+INDEX($C42:$E42,1,Control!$B$10))^O5*INDEX($B$13:$M$13,1,MOD(10-1,12)+1)</f>
        <v/>
      </c>
      <c r="P42" s="34">
        <f>($B42/12)*(1+INDEX($C42:$E42,1,Control!$B$10))^P5*INDEX($B$13:$M$13,1,MOD(11-1,12)+1)</f>
        <v/>
      </c>
      <c r="Q42" s="34">
        <f>($B42/12)*(1+INDEX($C42:$E42,1,Control!$B$10))^Q5*INDEX($B$13:$M$13,1,MOD(12-1,12)+1)</f>
        <v/>
      </c>
      <c r="R42" s="34">
        <f>($B42/12)*(1+INDEX($C42:$E42,1,Control!$B$10))^R5*INDEX($B$13:$M$13,1,MOD(13-1,12)+1)</f>
        <v/>
      </c>
      <c r="S42" s="34">
        <f>($B42/12)*(1+INDEX($C42:$E42,1,Control!$B$10))^S5*INDEX($B$13:$M$13,1,MOD(14-1,12)+1)</f>
        <v/>
      </c>
      <c r="T42" s="34">
        <f>($B42/12)*(1+INDEX($C42:$E42,1,Control!$B$10))^T5*INDEX($B$13:$M$13,1,MOD(15-1,12)+1)</f>
        <v/>
      </c>
      <c r="U42" s="34">
        <f>($B42/12)*(1+INDEX($C42:$E42,1,Control!$B$10))^U5*INDEX($B$13:$M$13,1,MOD(16-1,12)+1)</f>
        <v/>
      </c>
      <c r="V42" s="34">
        <f>($B42/12)*(1+INDEX($C42:$E42,1,Control!$B$10))^V5*INDEX($B$13:$M$13,1,MOD(17-1,12)+1)</f>
        <v/>
      </c>
      <c r="W42" s="34">
        <f>($B42/12)*(1+INDEX($C42:$E42,1,Control!$B$10))^W5*INDEX($B$13:$M$13,1,MOD(18-1,12)+1)</f>
        <v/>
      </c>
      <c r="X42" s="34">
        <f>($B42/12)*(1+INDEX($C42:$E42,1,Control!$B$10))^X5*INDEX($B$13:$M$13,1,MOD(19-1,12)+1)</f>
        <v/>
      </c>
      <c r="Y42" s="34">
        <f>($B42/12)*(1+INDEX($C42:$E42,1,Control!$B$10))^Y5*INDEX($B$13:$M$13,1,MOD(20-1,12)+1)</f>
        <v/>
      </c>
      <c r="Z42" s="34">
        <f>($B42/12)*(1+INDEX($C42:$E42,1,Control!$B$10))^Z5*INDEX($B$13:$M$13,1,MOD(21-1,12)+1)</f>
        <v/>
      </c>
      <c r="AA42" s="34">
        <f>($B42/12)*(1+INDEX($C42:$E42,1,Control!$B$10))^AA5*INDEX($B$13:$M$13,1,MOD(22-1,12)+1)</f>
        <v/>
      </c>
      <c r="AB42" s="34">
        <f>($B42/12)*(1+INDEX($C42:$E42,1,Control!$B$10))^AB5*INDEX($B$13:$M$13,1,MOD(23-1,12)+1)</f>
        <v/>
      </c>
      <c r="AC42" s="34">
        <f>($B42/12)*(1+INDEX($C42:$E42,1,Control!$B$10))^AC5*INDEX($B$13:$M$13,1,MOD(24-1,12)+1)</f>
        <v/>
      </c>
      <c r="AD42" s="34">
        <f>($B42/12)*(1+INDEX($C42:$E42,1,Control!$B$10))^AD5*INDEX($B$13:$M$13,1,MOD(25-1,12)+1)</f>
        <v/>
      </c>
      <c r="AE42" s="34">
        <f>($B42/12)*(1+INDEX($C42:$E42,1,Control!$B$10))^AE5*INDEX($B$13:$M$13,1,MOD(26-1,12)+1)</f>
        <v/>
      </c>
      <c r="AF42" s="34">
        <f>($B42/12)*(1+INDEX($C42:$E42,1,Control!$B$10))^AF5*INDEX($B$13:$M$13,1,MOD(27-1,12)+1)</f>
        <v/>
      </c>
      <c r="AG42" s="34">
        <f>($B42/12)*(1+INDEX($C42:$E42,1,Control!$B$10))^AG5*INDEX($B$13:$M$13,1,MOD(28-1,12)+1)</f>
        <v/>
      </c>
      <c r="AH42" s="34">
        <f>($B42/12)*(1+INDEX($C42:$E42,1,Control!$B$10))^AH5*INDEX($B$13:$M$13,1,MOD(29-1,12)+1)</f>
        <v/>
      </c>
      <c r="AI42" s="34">
        <f>($B42/12)*(1+INDEX($C42:$E42,1,Control!$B$10))^AI5*INDEX($B$13:$M$13,1,MOD(30-1,12)+1)</f>
        <v/>
      </c>
      <c r="AJ42" s="34">
        <f>($B42/12)*(1+INDEX($C42:$E42,1,Control!$B$10))^AJ5*INDEX($B$13:$M$13,1,MOD(31-1,12)+1)</f>
        <v/>
      </c>
      <c r="AK42" s="34">
        <f>($B42/12)*(1+INDEX($C42:$E42,1,Control!$B$10))^AK5*INDEX($B$13:$M$13,1,MOD(32-1,12)+1)</f>
        <v/>
      </c>
      <c r="AL42" s="34">
        <f>($B42/12)*(1+INDEX($C42:$E42,1,Control!$B$10))^AL5*INDEX($B$13:$M$13,1,MOD(33-1,12)+1)</f>
        <v/>
      </c>
      <c r="AM42" s="34">
        <f>($B42/12)*(1+INDEX($C42:$E42,1,Control!$B$10))^AM5*INDEX($B$13:$M$13,1,MOD(34-1,12)+1)</f>
        <v/>
      </c>
      <c r="AN42" s="34">
        <f>($B42/12)*(1+INDEX($C42:$E42,1,Control!$B$10))^AN5*INDEX($B$13:$M$13,1,MOD(35-1,12)+1)</f>
        <v/>
      </c>
      <c r="AO42" s="34">
        <f>($B42/12)*(1+INDEX($C42:$E42,1,Control!$B$10))^AO5*INDEX($B$13:$M$13,1,MOD(36-1,12)+1)</f>
        <v/>
      </c>
      <c r="AP42" s="34">
        <f>($B42/12)*(1+INDEX($C42:$E42,1,Control!$B$10))^AP5*INDEX($B$13:$M$13,1,MOD(37-1,12)+1)</f>
        <v/>
      </c>
      <c r="AQ42" s="34">
        <f>($B42/12)*(1+INDEX($C42:$E42,1,Control!$B$10))^AQ5*INDEX($B$13:$M$13,1,MOD(38-1,12)+1)</f>
        <v/>
      </c>
      <c r="AR42" s="34">
        <f>($B42/12)*(1+INDEX($C42:$E42,1,Control!$B$10))^AR5*INDEX($B$13:$M$13,1,MOD(39-1,12)+1)</f>
        <v/>
      </c>
      <c r="AS42" s="34">
        <f>($B42/12)*(1+INDEX($C42:$E42,1,Control!$B$10))^AS5*INDEX($B$13:$M$13,1,MOD(40-1,12)+1)</f>
        <v/>
      </c>
      <c r="AT42" s="34">
        <f>($B42/12)*(1+INDEX($C42:$E42,1,Control!$B$10))^AT5*INDEX($B$13:$M$13,1,MOD(41-1,12)+1)</f>
        <v/>
      </c>
      <c r="AU42" s="34">
        <f>($B42/12)*(1+INDEX($C42:$E42,1,Control!$B$10))^AU5*INDEX($B$13:$M$13,1,MOD(42-1,12)+1)</f>
        <v/>
      </c>
      <c r="AV42" s="34">
        <f>($B42/12)*(1+INDEX($C42:$E42,1,Control!$B$10))^AV5*INDEX($B$13:$M$13,1,MOD(43-1,12)+1)</f>
        <v/>
      </c>
      <c r="AW42" s="34">
        <f>($B42/12)*(1+INDEX($C42:$E42,1,Control!$B$10))^AW5*INDEX($B$13:$M$13,1,MOD(44-1,12)+1)</f>
        <v/>
      </c>
      <c r="AX42" s="34">
        <f>($B42/12)*(1+INDEX($C42:$E42,1,Control!$B$10))^AX5*INDEX($B$13:$M$13,1,MOD(45-1,12)+1)</f>
        <v/>
      </c>
      <c r="AY42" s="34">
        <f>($B42/12)*(1+INDEX($C42:$E42,1,Control!$B$10))^AY5*INDEX($B$13:$M$13,1,MOD(46-1,12)+1)</f>
        <v/>
      </c>
      <c r="AZ42" s="34">
        <f>($B42/12)*(1+INDEX($C42:$E42,1,Control!$B$10))^AZ5*INDEX($B$13:$M$13,1,MOD(47-1,12)+1)</f>
        <v/>
      </c>
      <c r="BA42" s="34">
        <f>($B42/12)*(1+INDEX($C42:$E42,1,Control!$B$10))^BA5*INDEX($B$13:$M$13,1,MOD(48-1,12)+1)</f>
        <v/>
      </c>
      <c r="BB42" s="34">
        <f>($B42/12)*(1+INDEX($C42:$E42,1,Control!$B$10))^BB5*INDEX($B$13:$M$13,1,MOD(49-1,12)+1)</f>
        <v/>
      </c>
      <c r="BC42" s="34">
        <f>($B42/12)*(1+INDEX($C42:$E42,1,Control!$B$10))^BC5*INDEX($B$13:$M$13,1,MOD(50-1,12)+1)</f>
        <v/>
      </c>
      <c r="BD42" s="34">
        <f>($B42/12)*(1+INDEX($C42:$E42,1,Control!$B$10))^BD5*INDEX($B$13:$M$13,1,MOD(51-1,12)+1)</f>
        <v/>
      </c>
      <c r="BE42" s="34">
        <f>($B42/12)*(1+INDEX($C42:$E42,1,Control!$B$10))^BE5*INDEX($B$13:$M$13,1,MOD(52-1,12)+1)</f>
        <v/>
      </c>
      <c r="BF42" s="34">
        <f>($B42/12)*(1+INDEX($C42:$E42,1,Control!$B$10))^BF5*INDEX($B$13:$M$13,1,MOD(53-1,12)+1)</f>
        <v/>
      </c>
      <c r="BG42" s="34">
        <f>($B42/12)*(1+INDEX($C42:$E42,1,Control!$B$10))^BG5*INDEX($B$13:$M$13,1,MOD(54-1,12)+1)</f>
        <v/>
      </c>
      <c r="BH42" s="34">
        <f>($B42/12)*(1+INDEX($C42:$E42,1,Control!$B$10))^BH5*INDEX($B$13:$M$13,1,MOD(55-1,12)+1)</f>
        <v/>
      </c>
      <c r="BI42" s="34">
        <f>($B42/12)*(1+INDEX($C42:$E42,1,Control!$B$10))^BI5*INDEX($B$13:$M$13,1,MOD(56-1,12)+1)</f>
        <v/>
      </c>
      <c r="BJ42" s="34">
        <f>($B42/12)*(1+INDEX($C42:$E42,1,Control!$B$10))^BJ5*INDEX($B$13:$M$13,1,MOD(57-1,12)+1)</f>
        <v/>
      </c>
      <c r="BK42" s="34">
        <f>($B42/12)*(1+INDEX($C42:$E42,1,Control!$B$10))^BK5*INDEX($B$13:$M$13,1,MOD(58-1,12)+1)</f>
        <v/>
      </c>
      <c r="BL42" s="34">
        <f>($B42/12)*(1+INDEX($C42:$E42,1,Control!$B$10))^BL5*INDEX($B$13:$M$13,1,MOD(59-1,12)+1)</f>
        <v/>
      </c>
      <c r="BM42" s="34">
        <f>($B42/12)*(1+INDEX($C42:$E42,1,Control!$B$10))^BM5*INDEX($B$13:$M$13,1,MOD(60-1,12)+1)</f>
        <v/>
      </c>
      <c r="BN42" s="34">
        <f>($B42/12)*(1+INDEX($C42:$E42,1,Control!$B$10))^BN5*INDEX($B$13:$M$13,1,MOD(61-1,12)+1)</f>
        <v/>
      </c>
      <c r="BO42" s="34">
        <f>($B42/12)*(1+INDEX($C42:$E42,1,Control!$B$10))^BO5*INDEX($B$13:$M$13,1,MOD(62-1,12)+1)</f>
        <v/>
      </c>
      <c r="BP42" s="34">
        <f>($B42/12)*(1+INDEX($C42:$E42,1,Control!$B$10))^BP5*INDEX($B$13:$M$13,1,MOD(63-1,12)+1)</f>
        <v/>
      </c>
      <c r="BQ42" s="34">
        <f>($B42/12)*(1+INDEX($C42:$E42,1,Control!$B$10))^BQ5*INDEX($B$13:$M$13,1,MOD(64-1,12)+1)</f>
        <v/>
      </c>
      <c r="BR42" s="34">
        <f>($B42/12)*(1+INDEX($C42:$E42,1,Control!$B$10))^BR5*INDEX($B$13:$M$13,1,MOD(65-1,12)+1)</f>
        <v/>
      </c>
      <c r="BS42" s="34">
        <f>($B42/12)*(1+INDEX($C42:$E42,1,Control!$B$10))^BS5*INDEX($B$13:$M$13,1,MOD(66-1,12)+1)</f>
        <v/>
      </c>
      <c r="BT42" s="34">
        <f>($B42/12)*(1+INDEX($C42:$E42,1,Control!$B$10))^BT5*INDEX($B$13:$M$13,1,MOD(67-1,12)+1)</f>
        <v/>
      </c>
      <c r="BU42" s="34">
        <f>($B42/12)*(1+INDEX($C42:$E42,1,Control!$B$10))^BU5*INDEX($B$13:$M$13,1,MOD(68-1,12)+1)</f>
        <v/>
      </c>
      <c r="BV42" s="34">
        <f>($B42/12)*(1+INDEX($C42:$E42,1,Control!$B$10))^BV5*INDEX($B$13:$M$13,1,MOD(69-1,12)+1)</f>
        <v/>
      </c>
      <c r="BW42" s="34">
        <f>($B42/12)*(1+INDEX($C42:$E42,1,Control!$B$10))^BW5*INDEX($B$13:$M$13,1,MOD(70-1,12)+1)</f>
        <v/>
      </c>
      <c r="BX42" s="34">
        <f>($B42/12)*(1+INDEX($C42:$E42,1,Control!$B$10))^BX5*INDEX($B$13:$M$13,1,MOD(71-1,12)+1)</f>
        <v/>
      </c>
      <c r="BY42" s="34">
        <f>($B42/12)*(1+INDEX($C42:$E42,1,Control!$B$10))^BY5*INDEX($B$13:$M$13,1,MOD(72-1,12)+1)</f>
        <v/>
      </c>
      <c r="BZ42" s="34">
        <f>($B42/12)*(1+INDEX($C42:$E42,1,Control!$B$10))^BZ5*INDEX($B$13:$M$13,1,MOD(73-1,12)+1)</f>
        <v/>
      </c>
      <c r="CA42" s="34">
        <f>($B42/12)*(1+INDEX($C42:$E42,1,Control!$B$10))^CA5*INDEX($B$13:$M$13,1,MOD(74-1,12)+1)</f>
        <v/>
      </c>
      <c r="CB42" s="34">
        <f>($B42/12)*(1+INDEX($C42:$E42,1,Control!$B$10))^CB5*INDEX($B$13:$M$13,1,MOD(75-1,12)+1)</f>
        <v/>
      </c>
      <c r="CC42" s="34">
        <f>($B42/12)*(1+INDEX($C42:$E42,1,Control!$B$10))^CC5*INDEX($B$13:$M$13,1,MOD(76-1,12)+1)</f>
        <v/>
      </c>
      <c r="CD42" s="34">
        <f>($B42/12)*(1+INDEX($C42:$E42,1,Control!$B$10))^CD5*INDEX($B$13:$M$13,1,MOD(77-1,12)+1)</f>
        <v/>
      </c>
      <c r="CE42" s="34">
        <f>($B42/12)*(1+INDEX($C42:$E42,1,Control!$B$10))^CE5*INDEX($B$13:$M$13,1,MOD(78-1,12)+1)</f>
        <v/>
      </c>
      <c r="CF42" s="34">
        <f>($B42/12)*(1+INDEX($C42:$E42,1,Control!$B$10))^CF5*INDEX($B$13:$M$13,1,MOD(79-1,12)+1)</f>
        <v/>
      </c>
      <c r="CG42" s="34">
        <f>($B42/12)*(1+INDEX($C42:$E42,1,Control!$B$10))^CG5*INDEX($B$13:$M$13,1,MOD(80-1,12)+1)</f>
        <v/>
      </c>
      <c r="CH42" s="34">
        <f>($B42/12)*(1+INDEX($C42:$E42,1,Control!$B$10))^CH5*INDEX($B$13:$M$13,1,MOD(81-1,12)+1)</f>
        <v/>
      </c>
      <c r="CI42" s="34">
        <f>($B42/12)*(1+INDEX($C42:$E42,1,Control!$B$10))^CI5*INDEX($B$13:$M$13,1,MOD(82-1,12)+1)</f>
        <v/>
      </c>
      <c r="CJ42" s="34">
        <f>($B42/12)*(1+INDEX($C42:$E42,1,Control!$B$10))^CJ5*INDEX($B$13:$M$13,1,MOD(83-1,12)+1)</f>
        <v/>
      </c>
      <c r="CK42" s="34">
        <f>($B42/12)*(1+INDEX($C42:$E42,1,Control!$B$10))^CK5*INDEX($B$13:$M$13,1,MOD(84-1,12)+1)</f>
        <v/>
      </c>
      <c r="CL42" s="34">
        <f>($B42/12)*(1+INDEX($C42:$E42,1,Control!$B$10))^CL5*INDEX($B$13:$M$13,1,MOD(85-1,12)+1)</f>
        <v/>
      </c>
      <c r="CM42" s="34">
        <f>($B42/12)*(1+INDEX($C42:$E42,1,Control!$B$10))^CM5*INDEX($B$13:$M$13,1,MOD(86-1,12)+1)</f>
        <v/>
      </c>
      <c r="CN42" s="34">
        <f>($B42/12)*(1+INDEX($C42:$E42,1,Control!$B$10))^CN5*INDEX($B$13:$M$13,1,MOD(87-1,12)+1)</f>
        <v/>
      </c>
      <c r="CO42" s="34">
        <f>($B42/12)*(1+INDEX($C42:$E42,1,Control!$B$10))^CO5*INDEX($B$13:$M$13,1,MOD(88-1,12)+1)</f>
        <v/>
      </c>
      <c r="CP42" s="34">
        <f>($B42/12)*(1+INDEX($C42:$E42,1,Control!$B$10))^CP5*INDEX($B$13:$M$13,1,MOD(89-1,12)+1)</f>
        <v/>
      </c>
      <c r="CQ42" s="34">
        <f>($B42/12)*(1+INDEX($C42:$E42,1,Control!$B$10))^CQ5*INDEX($B$13:$M$13,1,MOD(90-1,12)+1)</f>
        <v/>
      </c>
      <c r="CR42" s="34">
        <f>($B42/12)*(1+INDEX($C42:$E42,1,Control!$B$10))^CR5*INDEX($B$13:$M$13,1,MOD(91-1,12)+1)</f>
        <v/>
      </c>
      <c r="CS42" s="34">
        <f>($B42/12)*(1+INDEX($C42:$E42,1,Control!$B$10))^CS5*INDEX($B$13:$M$13,1,MOD(92-1,12)+1)</f>
        <v/>
      </c>
      <c r="CT42" s="34">
        <f>($B42/12)*(1+INDEX($C42:$E42,1,Control!$B$10))^CT5*INDEX($B$13:$M$13,1,MOD(93-1,12)+1)</f>
        <v/>
      </c>
      <c r="CU42" s="34">
        <f>($B42/12)*(1+INDEX($C42:$E42,1,Control!$B$10))^CU5*INDEX($B$13:$M$13,1,MOD(94-1,12)+1)</f>
        <v/>
      </c>
      <c r="CV42" s="34">
        <f>($B42/12)*(1+INDEX($C42:$E42,1,Control!$B$10))^CV5*INDEX($B$13:$M$13,1,MOD(95-1,12)+1)</f>
        <v/>
      </c>
      <c r="CW42" s="34">
        <f>($B42/12)*(1+INDEX($C42:$E42,1,Control!$B$10))^CW5*INDEX($B$13:$M$13,1,MOD(96-1,12)+1)</f>
        <v/>
      </c>
      <c r="CX42" s="34">
        <f>($B42/12)*(1+INDEX($C42:$E42,1,Control!$B$10))^CX5*INDEX($B$13:$M$13,1,MOD(97-1,12)+1)</f>
        <v/>
      </c>
      <c r="CY42" s="34">
        <f>($B42/12)*(1+INDEX($C42:$E42,1,Control!$B$10))^CY5*INDEX($B$13:$M$13,1,MOD(98-1,12)+1)</f>
        <v/>
      </c>
      <c r="CZ42" s="34">
        <f>($B42/12)*(1+INDEX($C42:$E42,1,Control!$B$10))^CZ5*INDEX($B$13:$M$13,1,MOD(99-1,12)+1)</f>
        <v/>
      </c>
      <c r="DA42" s="34">
        <f>($B42/12)*(1+INDEX($C42:$E42,1,Control!$B$10))^DA5*INDEX($B$13:$M$13,1,MOD(100-1,12)+1)</f>
        <v/>
      </c>
      <c r="DB42" s="34">
        <f>($B42/12)*(1+INDEX($C42:$E42,1,Control!$B$10))^DB5*INDEX($B$13:$M$13,1,MOD(101-1,12)+1)</f>
        <v/>
      </c>
      <c r="DC42" s="34">
        <f>($B42/12)*(1+INDEX($C42:$E42,1,Control!$B$10))^DC5*INDEX($B$13:$M$13,1,MOD(102-1,12)+1)</f>
        <v/>
      </c>
      <c r="DD42" s="34">
        <f>($B42/12)*(1+INDEX($C42:$E42,1,Control!$B$10))^DD5*INDEX($B$13:$M$13,1,MOD(103-1,12)+1)</f>
        <v/>
      </c>
      <c r="DE42" s="34">
        <f>($B42/12)*(1+INDEX($C42:$E42,1,Control!$B$10))^DE5*INDEX($B$13:$M$13,1,MOD(104-1,12)+1)</f>
        <v/>
      </c>
      <c r="DF42" s="34">
        <f>($B42/12)*(1+INDEX($C42:$E42,1,Control!$B$10))^DF5*INDEX($B$13:$M$13,1,MOD(105-1,12)+1)</f>
        <v/>
      </c>
      <c r="DG42" s="34">
        <f>($B42/12)*(1+INDEX($C42:$E42,1,Control!$B$10))^DG5*INDEX($B$13:$M$13,1,MOD(106-1,12)+1)</f>
        <v/>
      </c>
      <c r="DH42" s="34">
        <f>($B42/12)*(1+INDEX($C42:$E42,1,Control!$B$10))^DH5*INDEX($B$13:$M$13,1,MOD(107-1,12)+1)</f>
        <v/>
      </c>
      <c r="DI42" s="34">
        <f>($B42/12)*(1+INDEX($C42:$E42,1,Control!$B$10))^DI5*INDEX($B$13:$M$13,1,MOD(108-1,12)+1)</f>
        <v/>
      </c>
      <c r="DJ42" s="34">
        <f>($B42/12)*(1+INDEX($C42:$E42,1,Control!$B$10))^DJ5*INDEX($B$13:$M$13,1,MOD(109-1,12)+1)</f>
        <v/>
      </c>
      <c r="DK42" s="34">
        <f>($B42/12)*(1+INDEX($C42:$E42,1,Control!$B$10))^DK5*INDEX($B$13:$M$13,1,MOD(110-1,12)+1)</f>
        <v/>
      </c>
      <c r="DL42" s="34">
        <f>($B42/12)*(1+INDEX($C42:$E42,1,Control!$B$10))^DL5*INDEX($B$13:$M$13,1,MOD(111-1,12)+1)</f>
        <v/>
      </c>
      <c r="DM42" s="34">
        <f>($B42/12)*(1+INDEX($C42:$E42,1,Control!$B$10))^DM5*INDEX($B$13:$M$13,1,MOD(112-1,12)+1)</f>
        <v/>
      </c>
      <c r="DN42" s="34">
        <f>($B42/12)*(1+INDEX($C42:$E42,1,Control!$B$10))^DN5*INDEX($B$13:$M$13,1,MOD(113-1,12)+1)</f>
        <v/>
      </c>
      <c r="DO42" s="34">
        <f>($B42/12)*(1+INDEX($C42:$E42,1,Control!$B$10))^DO5*INDEX($B$13:$M$13,1,MOD(114-1,12)+1)</f>
        <v/>
      </c>
      <c r="DP42" s="34">
        <f>($B42/12)*(1+INDEX($C42:$E42,1,Control!$B$10))^DP5*INDEX($B$13:$M$13,1,MOD(115-1,12)+1)</f>
        <v/>
      </c>
      <c r="DQ42" s="34">
        <f>($B42/12)*(1+INDEX($C42:$E42,1,Control!$B$10))^DQ5*INDEX($B$13:$M$13,1,MOD(116-1,12)+1)</f>
        <v/>
      </c>
      <c r="DR42" s="34">
        <f>($B42/12)*(1+INDEX($C42:$E42,1,Control!$B$10))^DR5*INDEX($B$13:$M$13,1,MOD(117-1,12)+1)</f>
        <v/>
      </c>
      <c r="DS42" s="34">
        <f>($B42/12)*(1+INDEX($C42:$E42,1,Control!$B$10))^DS5*INDEX($B$13:$M$13,1,MOD(118-1,12)+1)</f>
        <v/>
      </c>
      <c r="DT42" s="34">
        <f>($B42/12)*(1+INDEX($C42:$E42,1,Control!$B$10))^DT5*INDEX($B$13:$M$13,1,MOD(119-1,12)+1)</f>
        <v/>
      </c>
      <c r="DU42" s="34">
        <f>($B42/12)*(1+INDEX($C42:$E42,1,Control!$B$10))^DU5*INDEX($B$13:$M$13,1,MOD(120-1,12)+1)</f>
        <v/>
      </c>
    </row>
    <row r="43">
      <c r="A43" t="inlineStr">
        <is>
          <t>HarborIPA-Bottles-OnTrade</t>
        </is>
      </c>
      <c r="B43" s="33" t="n">
        <v>18000</v>
      </c>
      <c r="C43" s="22" t="n">
        <v>0.05</v>
      </c>
      <c r="D43" s="22" t="n">
        <v>0.07000000000000001</v>
      </c>
      <c r="E43" s="22" t="n">
        <v>0.03</v>
      </c>
      <c r="F43" s="34">
        <f>($B43/12)*(1+INDEX($C43:$E43,1,Control!$B$10))^F5*INDEX($B$13:$M$13,1,MOD(1-1,12)+1)</f>
        <v/>
      </c>
      <c r="G43" s="34">
        <f>($B43/12)*(1+INDEX($C43:$E43,1,Control!$B$10))^G5*INDEX($B$13:$M$13,1,MOD(2-1,12)+1)</f>
        <v/>
      </c>
      <c r="H43" s="34">
        <f>($B43/12)*(1+INDEX($C43:$E43,1,Control!$B$10))^H5*INDEX($B$13:$M$13,1,MOD(3-1,12)+1)</f>
        <v/>
      </c>
      <c r="I43" s="34">
        <f>($B43/12)*(1+INDEX($C43:$E43,1,Control!$B$10))^I5*INDEX($B$13:$M$13,1,MOD(4-1,12)+1)</f>
        <v/>
      </c>
      <c r="J43" s="34">
        <f>($B43/12)*(1+INDEX($C43:$E43,1,Control!$B$10))^J5*INDEX($B$13:$M$13,1,MOD(5-1,12)+1)</f>
        <v/>
      </c>
      <c r="K43" s="34">
        <f>($B43/12)*(1+INDEX($C43:$E43,1,Control!$B$10))^K5*INDEX($B$13:$M$13,1,MOD(6-1,12)+1)</f>
        <v/>
      </c>
      <c r="L43" s="34">
        <f>($B43/12)*(1+INDEX($C43:$E43,1,Control!$B$10))^L5*INDEX($B$13:$M$13,1,MOD(7-1,12)+1)</f>
        <v/>
      </c>
      <c r="M43" s="34">
        <f>($B43/12)*(1+INDEX($C43:$E43,1,Control!$B$10))^M5*INDEX($B$13:$M$13,1,MOD(8-1,12)+1)</f>
        <v/>
      </c>
      <c r="N43" s="34">
        <f>($B43/12)*(1+INDEX($C43:$E43,1,Control!$B$10))^N5*INDEX($B$13:$M$13,1,MOD(9-1,12)+1)</f>
        <v/>
      </c>
      <c r="O43" s="34">
        <f>($B43/12)*(1+INDEX($C43:$E43,1,Control!$B$10))^O5*INDEX($B$13:$M$13,1,MOD(10-1,12)+1)</f>
        <v/>
      </c>
      <c r="P43" s="34">
        <f>($B43/12)*(1+INDEX($C43:$E43,1,Control!$B$10))^P5*INDEX($B$13:$M$13,1,MOD(11-1,12)+1)</f>
        <v/>
      </c>
      <c r="Q43" s="34">
        <f>($B43/12)*(1+INDEX($C43:$E43,1,Control!$B$10))^Q5*INDEX($B$13:$M$13,1,MOD(12-1,12)+1)</f>
        <v/>
      </c>
      <c r="R43" s="34">
        <f>($B43/12)*(1+INDEX($C43:$E43,1,Control!$B$10))^R5*INDEX($B$13:$M$13,1,MOD(13-1,12)+1)</f>
        <v/>
      </c>
      <c r="S43" s="34">
        <f>($B43/12)*(1+INDEX($C43:$E43,1,Control!$B$10))^S5*INDEX($B$13:$M$13,1,MOD(14-1,12)+1)</f>
        <v/>
      </c>
      <c r="T43" s="34">
        <f>($B43/12)*(1+INDEX($C43:$E43,1,Control!$B$10))^T5*INDEX($B$13:$M$13,1,MOD(15-1,12)+1)</f>
        <v/>
      </c>
      <c r="U43" s="34">
        <f>($B43/12)*(1+INDEX($C43:$E43,1,Control!$B$10))^U5*INDEX($B$13:$M$13,1,MOD(16-1,12)+1)</f>
        <v/>
      </c>
      <c r="V43" s="34">
        <f>($B43/12)*(1+INDEX($C43:$E43,1,Control!$B$10))^V5*INDEX($B$13:$M$13,1,MOD(17-1,12)+1)</f>
        <v/>
      </c>
      <c r="W43" s="34">
        <f>($B43/12)*(1+INDEX($C43:$E43,1,Control!$B$10))^W5*INDEX($B$13:$M$13,1,MOD(18-1,12)+1)</f>
        <v/>
      </c>
      <c r="X43" s="34">
        <f>($B43/12)*(1+INDEX($C43:$E43,1,Control!$B$10))^X5*INDEX($B$13:$M$13,1,MOD(19-1,12)+1)</f>
        <v/>
      </c>
      <c r="Y43" s="34">
        <f>($B43/12)*(1+INDEX($C43:$E43,1,Control!$B$10))^Y5*INDEX($B$13:$M$13,1,MOD(20-1,12)+1)</f>
        <v/>
      </c>
      <c r="Z43" s="34">
        <f>($B43/12)*(1+INDEX($C43:$E43,1,Control!$B$10))^Z5*INDEX($B$13:$M$13,1,MOD(21-1,12)+1)</f>
        <v/>
      </c>
      <c r="AA43" s="34">
        <f>($B43/12)*(1+INDEX($C43:$E43,1,Control!$B$10))^AA5*INDEX($B$13:$M$13,1,MOD(22-1,12)+1)</f>
        <v/>
      </c>
      <c r="AB43" s="34">
        <f>($B43/12)*(1+INDEX($C43:$E43,1,Control!$B$10))^AB5*INDEX($B$13:$M$13,1,MOD(23-1,12)+1)</f>
        <v/>
      </c>
      <c r="AC43" s="34">
        <f>($B43/12)*(1+INDEX($C43:$E43,1,Control!$B$10))^AC5*INDEX($B$13:$M$13,1,MOD(24-1,12)+1)</f>
        <v/>
      </c>
      <c r="AD43" s="34">
        <f>($B43/12)*(1+INDEX($C43:$E43,1,Control!$B$10))^AD5*INDEX($B$13:$M$13,1,MOD(25-1,12)+1)</f>
        <v/>
      </c>
      <c r="AE43" s="34">
        <f>($B43/12)*(1+INDEX($C43:$E43,1,Control!$B$10))^AE5*INDEX($B$13:$M$13,1,MOD(26-1,12)+1)</f>
        <v/>
      </c>
      <c r="AF43" s="34">
        <f>($B43/12)*(1+INDEX($C43:$E43,1,Control!$B$10))^AF5*INDEX($B$13:$M$13,1,MOD(27-1,12)+1)</f>
        <v/>
      </c>
      <c r="AG43" s="34">
        <f>($B43/12)*(1+INDEX($C43:$E43,1,Control!$B$10))^AG5*INDEX($B$13:$M$13,1,MOD(28-1,12)+1)</f>
        <v/>
      </c>
      <c r="AH43" s="34">
        <f>($B43/12)*(1+INDEX($C43:$E43,1,Control!$B$10))^AH5*INDEX($B$13:$M$13,1,MOD(29-1,12)+1)</f>
        <v/>
      </c>
      <c r="AI43" s="34">
        <f>($B43/12)*(1+INDEX($C43:$E43,1,Control!$B$10))^AI5*INDEX($B$13:$M$13,1,MOD(30-1,12)+1)</f>
        <v/>
      </c>
      <c r="AJ43" s="34">
        <f>($B43/12)*(1+INDEX($C43:$E43,1,Control!$B$10))^AJ5*INDEX($B$13:$M$13,1,MOD(31-1,12)+1)</f>
        <v/>
      </c>
      <c r="AK43" s="34">
        <f>($B43/12)*(1+INDEX($C43:$E43,1,Control!$B$10))^AK5*INDEX($B$13:$M$13,1,MOD(32-1,12)+1)</f>
        <v/>
      </c>
      <c r="AL43" s="34">
        <f>($B43/12)*(1+INDEX($C43:$E43,1,Control!$B$10))^AL5*INDEX($B$13:$M$13,1,MOD(33-1,12)+1)</f>
        <v/>
      </c>
      <c r="AM43" s="34">
        <f>($B43/12)*(1+INDEX($C43:$E43,1,Control!$B$10))^AM5*INDEX($B$13:$M$13,1,MOD(34-1,12)+1)</f>
        <v/>
      </c>
      <c r="AN43" s="34">
        <f>($B43/12)*(1+INDEX($C43:$E43,1,Control!$B$10))^AN5*INDEX($B$13:$M$13,1,MOD(35-1,12)+1)</f>
        <v/>
      </c>
      <c r="AO43" s="34">
        <f>($B43/12)*(1+INDEX($C43:$E43,1,Control!$B$10))^AO5*INDEX($B$13:$M$13,1,MOD(36-1,12)+1)</f>
        <v/>
      </c>
      <c r="AP43" s="34">
        <f>($B43/12)*(1+INDEX($C43:$E43,1,Control!$B$10))^AP5*INDEX($B$13:$M$13,1,MOD(37-1,12)+1)</f>
        <v/>
      </c>
      <c r="AQ43" s="34">
        <f>($B43/12)*(1+INDEX($C43:$E43,1,Control!$B$10))^AQ5*INDEX($B$13:$M$13,1,MOD(38-1,12)+1)</f>
        <v/>
      </c>
      <c r="AR43" s="34">
        <f>($B43/12)*(1+INDEX($C43:$E43,1,Control!$B$10))^AR5*INDEX($B$13:$M$13,1,MOD(39-1,12)+1)</f>
        <v/>
      </c>
      <c r="AS43" s="34">
        <f>($B43/12)*(1+INDEX($C43:$E43,1,Control!$B$10))^AS5*INDEX($B$13:$M$13,1,MOD(40-1,12)+1)</f>
        <v/>
      </c>
      <c r="AT43" s="34">
        <f>($B43/12)*(1+INDEX($C43:$E43,1,Control!$B$10))^AT5*INDEX($B$13:$M$13,1,MOD(41-1,12)+1)</f>
        <v/>
      </c>
      <c r="AU43" s="34">
        <f>($B43/12)*(1+INDEX($C43:$E43,1,Control!$B$10))^AU5*INDEX($B$13:$M$13,1,MOD(42-1,12)+1)</f>
        <v/>
      </c>
      <c r="AV43" s="34">
        <f>($B43/12)*(1+INDEX($C43:$E43,1,Control!$B$10))^AV5*INDEX($B$13:$M$13,1,MOD(43-1,12)+1)</f>
        <v/>
      </c>
      <c r="AW43" s="34">
        <f>($B43/12)*(1+INDEX($C43:$E43,1,Control!$B$10))^AW5*INDEX($B$13:$M$13,1,MOD(44-1,12)+1)</f>
        <v/>
      </c>
      <c r="AX43" s="34">
        <f>($B43/12)*(1+INDEX($C43:$E43,1,Control!$B$10))^AX5*INDEX($B$13:$M$13,1,MOD(45-1,12)+1)</f>
        <v/>
      </c>
      <c r="AY43" s="34">
        <f>($B43/12)*(1+INDEX($C43:$E43,1,Control!$B$10))^AY5*INDEX($B$13:$M$13,1,MOD(46-1,12)+1)</f>
        <v/>
      </c>
      <c r="AZ43" s="34">
        <f>($B43/12)*(1+INDEX($C43:$E43,1,Control!$B$10))^AZ5*INDEX($B$13:$M$13,1,MOD(47-1,12)+1)</f>
        <v/>
      </c>
      <c r="BA43" s="34">
        <f>($B43/12)*(1+INDEX($C43:$E43,1,Control!$B$10))^BA5*INDEX($B$13:$M$13,1,MOD(48-1,12)+1)</f>
        <v/>
      </c>
      <c r="BB43" s="34">
        <f>($B43/12)*(1+INDEX($C43:$E43,1,Control!$B$10))^BB5*INDEX($B$13:$M$13,1,MOD(49-1,12)+1)</f>
        <v/>
      </c>
      <c r="BC43" s="34">
        <f>($B43/12)*(1+INDEX($C43:$E43,1,Control!$B$10))^BC5*INDEX($B$13:$M$13,1,MOD(50-1,12)+1)</f>
        <v/>
      </c>
      <c r="BD43" s="34">
        <f>($B43/12)*(1+INDEX($C43:$E43,1,Control!$B$10))^BD5*INDEX($B$13:$M$13,1,MOD(51-1,12)+1)</f>
        <v/>
      </c>
      <c r="BE43" s="34">
        <f>($B43/12)*(1+INDEX($C43:$E43,1,Control!$B$10))^BE5*INDEX($B$13:$M$13,1,MOD(52-1,12)+1)</f>
        <v/>
      </c>
      <c r="BF43" s="34">
        <f>($B43/12)*(1+INDEX($C43:$E43,1,Control!$B$10))^BF5*INDEX($B$13:$M$13,1,MOD(53-1,12)+1)</f>
        <v/>
      </c>
      <c r="BG43" s="34">
        <f>($B43/12)*(1+INDEX($C43:$E43,1,Control!$B$10))^BG5*INDEX($B$13:$M$13,1,MOD(54-1,12)+1)</f>
        <v/>
      </c>
      <c r="BH43" s="34">
        <f>($B43/12)*(1+INDEX($C43:$E43,1,Control!$B$10))^BH5*INDEX($B$13:$M$13,1,MOD(55-1,12)+1)</f>
        <v/>
      </c>
      <c r="BI43" s="34">
        <f>($B43/12)*(1+INDEX($C43:$E43,1,Control!$B$10))^BI5*INDEX($B$13:$M$13,1,MOD(56-1,12)+1)</f>
        <v/>
      </c>
      <c r="BJ43" s="34">
        <f>($B43/12)*(1+INDEX($C43:$E43,1,Control!$B$10))^BJ5*INDEX($B$13:$M$13,1,MOD(57-1,12)+1)</f>
        <v/>
      </c>
      <c r="BK43" s="34">
        <f>($B43/12)*(1+INDEX($C43:$E43,1,Control!$B$10))^BK5*INDEX($B$13:$M$13,1,MOD(58-1,12)+1)</f>
        <v/>
      </c>
      <c r="BL43" s="34">
        <f>($B43/12)*(1+INDEX($C43:$E43,1,Control!$B$10))^BL5*INDEX($B$13:$M$13,1,MOD(59-1,12)+1)</f>
        <v/>
      </c>
      <c r="BM43" s="34">
        <f>($B43/12)*(1+INDEX($C43:$E43,1,Control!$B$10))^BM5*INDEX($B$13:$M$13,1,MOD(60-1,12)+1)</f>
        <v/>
      </c>
      <c r="BN43" s="34">
        <f>($B43/12)*(1+INDEX($C43:$E43,1,Control!$B$10))^BN5*INDEX($B$13:$M$13,1,MOD(61-1,12)+1)</f>
        <v/>
      </c>
      <c r="BO43" s="34">
        <f>($B43/12)*(1+INDEX($C43:$E43,1,Control!$B$10))^BO5*INDEX($B$13:$M$13,1,MOD(62-1,12)+1)</f>
        <v/>
      </c>
      <c r="BP43" s="34">
        <f>($B43/12)*(1+INDEX($C43:$E43,1,Control!$B$10))^BP5*INDEX($B$13:$M$13,1,MOD(63-1,12)+1)</f>
        <v/>
      </c>
      <c r="BQ43" s="34">
        <f>($B43/12)*(1+INDEX($C43:$E43,1,Control!$B$10))^BQ5*INDEX($B$13:$M$13,1,MOD(64-1,12)+1)</f>
        <v/>
      </c>
      <c r="BR43" s="34">
        <f>($B43/12)*(1+INDEX($C43:$E43,1,Control!$B$10))^BR5*INDEX($B$13:$M$13,1,MOD(65-1,12)+1)</f>
        <v/>
      </c>
      <c r="BS43" s="34">
        <f>($B43/12)*(1+INDEX($C43:$E43,1,Control!$B$10))^BS5*INDEX($B$13:$M$13,1,MOD(66-1,12)+1)</f>
        <v/>
      </c>
      <c r="BT43" s="34">
        <f>($B43/12)*(1+INDEX($C43:$E43,1,Control!$B$10))^BT5*INDEX($B$13:$M$13,1,MOD(67-1,12)+1)</f>
        <v/>
      </c>
      <c r="BU43" s="34">
        <f>($B43/12)*(1+INDEX($C43:$E43,1,Control!$B$10))^BU5*INDEX($B$13:$M$13,1,MOD(68-1,12)+1)</f>
        <v/>
      </c>
      <c r="BV43" s="34">
        <f>($B43/12)*(1+INDEX($C43:$E43,1,Control!$B$10))^BV5*INDEX($B$13:$M$13,1,MOD(69-1,12)+1)</f>
        <v/>
      </c>
      <c r="BW43" s="34">
        <f>($B43/12)*(1+INDEX($C43:$E43,1,Control!$B$10))^BW5*INDEX($B$13:$M$13,1,MOD(70-1,12)+1)</f>
        <v/>
      </c>
      <c r="BX43" s="34">
        <f>($B43/12)*(1+INDEX($C43:$E43,1,Control!$B$10))^BX5*INDEX($B$13:$M$13,1,MOD(71-1,12)+1)</f>
        <v/>
      </c>
      <c r="BY43" s="34">
        <f>($B43/12)*(1+INDEX($C43:$E43,1,Control!$B$10))^BY5*INDEX($B$13:$M$13,1,MOD(72-1,12)+1)</f>
        <v/>
      </c>
      <c r="BZ43" s="34">
        <f>($B43/12)*(1+INDEX($C43:$E43,1,Control!$B$10))^BZ5*INDEX($B$13:$M$13,1,MOD(73-1,12)+1)</f>
        <v/>
      </c>
      <c r="CA43" s="34">
        <f>($B43/12)*(1+INDEX($C43:$E43,1,Control!$B$10))^CA5*INDEX($B$13:$M$13,1,MOD(74-1,12)+1)</f>
        <v/>
      </c>
      <c r="CB43" s="34">
        <f>($B43/12)*(1+INDEX($C43:$E43,1,Control!$B$10))^CB5*INDEX($B$13:$M$13,1,MOD(75-1,12)+1)</f>
        <v/>
      </c>
      <c r="CC43" s="34">
        <f>($B43/12)*(1+INDEX($C43:$E43,1,Control!$B$10))^CC5*INDEX($B$13:$M$13,1,MOD(76-1,12)+1)</f>
        <v/>
      </c>
      <c r="CD43" s="34">
        <f>($B43/12)*(1+INDEX($C43:$E43,1,Control!$B$10))^CD5*INDEX($B$13:$M$13,1,MOD(77-1,12)+1)</f>
        <v/>
      </c>
      <c r="CE43" s="34">
        <f>($B43/12)*(1+INDEX($C43:$E43,1,Control!$B$10))^CE5*INDEX($B$13:$M$13,1,MOD(78-1,12)+1)</f>
        <v/>
      </c>
      <c r="CF43" s="34">
        <f>($B43/12)*(1+INDEX($C43:$E43,1,Control!$B$10))^CF5*INDEX($B$13:$M$13,1,MOD(79-1,12)+1)</f>
        <v/>
      </c>
      <c r="CG43" s="34">
        <f>($B43/12)*(1+INDEX($C43:$E43,1,Control!$B$10))^CG5*INDEX($B$13:$M$13,1,MOD(80-1,12)+1)</f>
        <v/>
      </c>
      <c r="CH43" s="34">
        <f>($B43/12)*(1+INDEX($C43:$E43,1,Control!$B$10))^CH5*INDEX($B$13:$M$13,1,MOD(81-1,12)+1)</f>
        <v/>
      </c>
      <c r="CI43" s="34">
        <f>($B43/12)*(1+INDEX($C43:$E43,1,Control!$B$10))^CI5*INDEX($B$13:$M$13,1,MOD(82-1,12)+1)</f>
        <v/>
      </c>
      <c r="CJ43" s="34">
        <f>($B43/12)*(1+INDEX($C43:$E43,1,Control!$B$10))^CJ5*INDEX($B$13:$M$13,1,MOD(83-1,12)+1)</f>
        <v/>
      </c>
      <c r="CK43" s="34">
        <f>($B43/12)*(1+INDEX($C43:$E43,1,Control!$B$10))^CK5*INDEX($B$13:$M$13,1,MOD(84-1,12)+1)</f>
        <v/>
      </c>
      <c r="CL43" s="34">
        <f>($B43/12)*(1+INDEX($C43:$E43,1,Control!$B$10))^CL5*INDEX($B$13:$M$13,1,MOD(85-1,12)+1)</f>
        <v/>
      </c>
      <c r="CM43" s="34">
        <f>($B43/12)*(1+INDEX($C43:$E43,1,Control!$B$10))^CM5*INDEX($B$13:$M$13,1,MOD(86-1,12)+1)</f>
        <v/>
      </c>
      <c r="CN43" s="34">
        <f>($B43/12)*(1+INDEX($C43:$E43,1,Control!$B$10))^CN5*INDEX($B$13:$M$13,1,MOD(87-1,12)+1)</f>
        <v/>
      </c>
      <c r="CO43" s="34">
        <f>($B43/12)*(1+INDEX($C43:$E43,1,Control!$B$10))^CO5*INDEX($B$13:$M$13,1,MOD(88-1,12)+1)</f>
        <v/>
      </c>
      <c r="CP43" s="34">
        <f>($B43/12)*(1+INDEX($C43:$E43,1,Control!$B$10))^CP5*INDEX($B$13:$M$13,1,MOD(89-1,12)+1)</f>
        <v/>
      </c>
      <c r="CQ43" s="34">
        <f>($B43/12)*(1+INDEX($C43:$E43,1,Control!$B$10))^CQ5*INDEX($B$13:$M$13,1,MOD(90-1,12)+1)</f>
        <v/>
      </c>
      <c r="CR43" s="34">
        <f>($B43/12)*(1+INDEX($C43:$E43,1,Control!$B$10))^CR5*INDEX($B$13:$M$13,1,MOD(91-1,12)+1)</f>
        <v/>
      </c>
      <c r="CS43" s="34">
        <f>($B43/12)*(1+INDEX($C43:$E43,1,Control!$B$10))^CS5*INDEX($B$13:$M$13,1,MOD(92-1,12)+1)</f>
        <v/>
      </c>
      <c r="CT43" s="34">
        <f>($B43/12)*(1+INDEX($C43:$E43,1,Control!$B$10))^CT5*INDEX($B$13:$M$13,1,MOD(93-1,12)+1)</f>
        <v/>
      </c>
      <c r="CU43" s="34">
        <f>($B43/12)*(1+INDEX($C43:$E43,1,Control!$B$10))^CU5*INDEX($B$13:$M$13,1,MOD(94-1,12)+1)</f>
        <v/>
      </c>
      <c r="CV43" s="34">
        <f>($B43/12)*(1+INDEX($C43:$E43,1,Control!$B$10))^CV5*INDEX($B$13:$M$13,1,MOD(95-1,12)+1)</f>
        <v/>
      </c>
      <c r="CW43" s="34">
        <f>($B43/12)*(1+INDEX($C43:$E43,1,Control!$B$10))^CW5*INDEX($B$13:$M$13,1,MOD(96-1,12)+1)</f>
        <v/>
      </c>
      <c r="CX43" s="34">
        <f>($B43/12)*(1+INDEX($C43:$E43,1,Control!$B$10))^CX5*INDEX($B$13:$M$13,1,MOD(97-1,12)+1)</f>
        <v/>
      </c>
      <c r="CY43" s="34">
        <f>($B43/12)*(1+INDEX($C43:$E43,1,Control!$B$10))^CY5*INDEX($B$13:$M$13,1,MOD(98-1,12)+1)</f>
        <v/>
      </c>
      <c r="CZ43" s="34">
        <f>($B43/12)*(1+INDEX($C43:$E43,1,Control!$B$10))^CZ5*INDEX($B$13:$M$13,1,MOD(99-1,12)+1)</f>
        <v/>
      </c>
      <c r="DA43" s="34">
        <f>($B43/12)*(1+INDEX($C43:$E43,1,Control!$B$10))^DA5*INDEX($B$13:$M$13,1,MOD(100-1,12)+1)</f>
        <v/>
      </c>
      <c r="DB43" s="34">
        <f>($B43/12)*(1+INDEX($C43:$E43,1,Control!$B$10))^DB5*INDEX($B$13:$M$13,1,MOD(101-1,12)+1)</f>
        <v/>
      </c>
      <c r="DC43" s="34">
        <f>($B43/12)*(1+INDEX($C43:$E43,1,Control!$B$10))^DC5*INDEX($B$13:$M$13,1,MOD(102-1,12)+1)</f>
        <v/>
      </c>
      <c r="DD43" s="34">
        <f>($B43/12)*(1+INDEX($C43:$E43,1,Control!$B$10))^DD5*INDEX($B$13:$M$13,1,MOD(103-1,12)+1)</f>
        <v/>
      </c>
      <c r="DE43" s="34">
        <f>($B43/12)*(1+INDEX($C43:$E43,1,Control!$B$10))^DE5*INDEX($B$13:$M$13,1,MOD(104-1,12)+1)</f>
        <v/>
      </c>
      <c r="DF43" s="34">
        <f>($B43/12)*(1+INDEX($C43:$E43,1,Control!$B$10))^DF5*INDEX($B$13:$M$13,1,MOD(105-1,12)+1)</f>
        <v/>
      </c>
      <c r="DG43" s="34">
        <f>($B43/12)*(1+INDEX($C43:$E43,1,Control!$B$10))^DG5*INDEX($B$13:$M$13,1,MOD(106-1,12)+1)</f>
        <v/>
      </c>
      <c r="DH43" s="34">
        <f>($B43/12)*(1+INDEX($C43:$E43,1,Control!$B$10))^DH5*INDEX($B$13:$M$13,1,MOD(107-1,12)+1)</f>
        <v/>
      </c>
      <c r="DI43" s="34">
        <f>($B43/12)*(1+INDEX($C43:$E43,1,Control!$B$10))^DI5*INDEX($B$13:$M$13,1,MOD(108-1,12)+1)</f>
        <v/>
      </c>
      <c r="DJ43" s="34">
        <f>($B43/12)*(1+INDEX($C43:$E43,1,Control!$B$10))^DJ5*INDEX($B$13:$M$13,1,MOD(109-1,12)+1)</f>
        <v/>
      </c>
      <c r="DK43" s="34">
        <f>($B43/12)*(1+INDEX($C43:$E43,1,Control!$B$10))^DK5*INDEX($B$13:$M$13,1,MOD(110-1,12)+1)</f>
        <v/>
      </c>
      <c r="DL43" s="34">
        <f>($B43/12)*(1+INDEX($C43:$E43,1,Control!$B$10))^DL5*INDEX($B$13:$M$13,1,MOD(111-1,12)+1)</f>
        <v/>
      </c>
      <c r="DM43" s="34">
        <f>($B43/12)*(1+INDEX($C43:$E43,1,Control!$B$10))^DM5*INDEX($B$13:$M$13,1,MOD(112-1,12)+1)</f>
        <v/>
      </c>
      <c r="DN43" s="34">
        <f>($B43/12)*(1+INDEX($C43:$E43,1,Control!$B$10))^DN5*INDEX($B$13:$M$13,1,MOD(113-1,12)+1)</f>
        <v/>
      </c>
      <c r="DO43" s="34">
        <f>($B43/12)*(1+INDEX($C43:$E43,1,Control!$B$10))^DO5*INDEX($B$13:$M$13,1,MOD(114-1,12)+1)</f>
        <v/>
      </c>
      <c r="DP43" s="34">
        <f>($B43/12)*(1+INDEX($C43:$E43,1,Control!$B$10))^DP5*INDEX($B$13:$M$13,1,MOD(115-1,12)+1)</f>
        <v/>
      </c>
      <c r="DQ43" s="34">
        <f>($B43/12)*(1+INDEX($C43:$E43,1,Control!$B$10))^DQ5*INDEX($B$13:$M$13,1,MOD(116-1,12)+1)</f>
        <v/>
      </c>
      <c r="DR43" s="34">
        <f>($B43/12)*(1+INDEX($C43:$E43,1,Control!$B$10))^DR5*INDEX($B$13:$M$13,1,MOD(117-1,12)+1)</f>
        <v/>
      </c>
      <c r="DS43" s="34">
        <f>($B43/12)*(1+INDEX($C43:$E43,1,Control!$B$10))^DS5*INDEX($B$13:$M$13,1,MOD(118-1,12)+1)</f>
        <v/>
      </c>
      <c r="DT43" s="34">
        <f>($B43/12)*(1+INDEX($C43:$E43,1,Control!$B$10))^DT5*INDEX($B$13:$M$13,1,MOD(119-1,12)+1)</f>
        <v/>
      </c>
      <c r="DU43" s="34">
        <f>($B43/12)*(1+INDEX($C43:$E43,1,Control!$B$10))^DU5*INDEX($B$13:$M$13,1,MOD(120-1,12)+1)</f>
        <v/>
      </c>
    </row>
    <row r="44">
      <c r="A44" t="inlineStr">
        <is>
          <t>HarborIPA-Bottles-OffTrade</t>
        </is>
      </c>
      <c r="B44" s="33" t="n">
        <v>22000</v>
      </c>
      <c r="C44" s="22" t="n">
        <v>0.05</v>
      </c>
      <c r="D44" s="22" t="n">
        <v>0.07000000000000001</v>
      </c>
      <c r="E44" s="22" t="n">
        <v>0.03</v>
      </c>
      <c r="F44" s="34">
        <f>($B44/12)*(1+INDEX($C44:$E44,1,Control!$B$10))^F5*INDEX($B$13:$M$13,1,MOD(1-1,12)+1)</f>
        <v/>
      </c>
      <c r="G44" s="34">
        <f>($B44/12)*(1+INDEX($C44:$E44,1,Control!$B$10))^G5*INDEX($B$13:$M$13,1,MOD(2-1,12)+1)</f>
        <v/>
      </c>
      <c r="H44" s="34">
        <f>($B44/12)*(1+INDEX($C44:$E44,1,Control!$B$10))^H5*INDEX($B$13:$M$13,1,MOD(3-1,12)+1)</f>
        <v/>
      </c>
      <c r="I44" s="34">
        <f>($B44/12)*(1+INDEX($C44:$E44,1,Control!$B$10))^I5*INDEX($B$13:$M$13,1,MOD(4-1,12)+1)</f>
        <v/>
      </c>
      <c r="J44" s="34">
        <f>($B44/12)*(1+INDEX($C44:$E44,1,Control!$B$10))^J5*INDEX($B$13:$M$13,1,MOD(5-1,12)+1)</f>
        <v/>
      </c>
      <c r="K44" s="34">
        <f>($B44/12)*(1+INDEX($C44:$E44,1,Control!$B$10))^K5*INDEX($B$13:$M$13,1,MOD(6-1,12)+1)</f>
        <v/>
      </c>
      <c r="L44" s="34">
        <f>($B44/12)*(1+INDEX($C44:$E44,1,Control!$B$10))^L5*INDEX($B$13:$M$13,1,MOD(7-1,12)+1)</f>
        <v/>
      </c>
      <c r="M44" s="34">
        <f>($B44/12)*(1+INDEX($C44:$E44,1,Control!$B$10))^M5*INDEX($B$13:$M$13,1,MOD(8-1,12)+1)</f>
        <v/>
      </c>
      <c r="N44" s="34">
        <f>($B44/12)*(1+INDEX($C44:$E44,1,Control!$B$10))^N5*INDEX($B$13:$M$13,1,MOD(9-1,12)+1)</f>
        <v/>
      </c>
      <c r="O44" s="34">
        <f>($B44/12)*(1+INDEX($C44:$E44,1,Control!$B$10))^O5*INDEX($B$13:$M$13,1,MOD(10-1,12)+1)</f>
        <v/>
      </c>
      <c r="P44" s="34">
        <f>($B44/12)*(1+INDEX($C44:$E44,1,Control!$B$10))^P5*INDEX($B$13:$M$13,1,MOD(11-1,12)+1)</f>
        <v/>
      </c>
      <c r="Q44" s="34">
        <f>($B44/12)*(1+INDEX($C44:$E44,1,Control!$B$10))^Q5*INDEX($B$13:$M$13,1,MOD(12-1,12)+1)</f>
        <v/>
      </c>
      <c r="R44" s="34">
        <f>($B44/12)*(1+INDEX($C44:$E44,1,Control!$B$10))^R5*INDEX($B$13:$M$13,1,MOD(13-1,12)+1)</f>
        <v/>
      </c>
      <c r="S44" s="34">
        <f>($B44/12)*(1+INDEX($C44:$E44,1,Control!$B$10))^S5*INDEX($B$13:$M$13,1,MOD(14-1,12)+1)</f>
        <v/>
      </c>
      <c r="T44" s="34">
        <f>($B44/12)*(1+INDEX($C44:$E44,1,Control!$B$10))^T5*INDEX($B$13:$M$13,1,MOD(15-1,12)+1)</f>
        <v/>
      </c>
      <c r="U44" s="34">
        <f>($B44/12)*(1+INDEX($C44:$E44,1,Control!$B$10))^U5*INDEX($B$13:$M$13,1,MOD(16-1,12)+1)</f>
        <v/>
      </c>
      <c r="V44" s="34">
        <f>($B44/12)*(1+INDEX($C44:$E44,1,Control!$B$10))^V5*INDEX($B$13:$M$13,1,MOD(17-1,12)+1)</f>
        <v/>
      </c>
      <c r="W44" s="34">
        <f>($B44/12)*(1+INDEX($C44:$E44,1,Control!$B$10))^W5*INDEX($B$13:$M$13,1,MOD(18-1,12)+1)</f>
        <v/>
      </c>
      <c r="X44" s="34">
        <f>($B44/12)*(1+INDEX($C44:$E44,1,Control!$B$10))^X5*INDEX($B$13:$M$13,1,MOD(19-1,12)+1)</f>
        <v/>
      </c>
      <c r="Y44" s="34">
        <f>($B44/12)*(1+INDEX($C44:$E44,1,Control!$B$10))^Y5*INDEX($B$13:$M$13,1,MOD(20-1,12)+1)</f>
        <v/>
      </c>
      <c r="Z44" s="34">
        <f>($B44/12)*(1+INDEX($C44:$E44,1,Control!$B$10))^Z5*INDEX($B$13:$M$13,1,MOD(21-1,12)+1)</f>
        <v/>
      </c>
      <c r="AA44" s="34">
        <f>($B44/12)*(1+INDEX($C44:$E44,1,Control!$B$10))^AA5*INDEX($B$13:$M$13,1,MOD(22-1,12)+1)</f>
        <v/>
      </c>
      <c r="AB44" s="34">
        <f>($B44/12)*(1+INDEX($C44:$E44,1,Control!$B$10))^AB5*INDEX($B$13:$M$13,1,MOD(23-1,12)+1)</f>
        <v/>
      </c>
      <c r="AC44" s="34">
        <f>($B44/12)*(1+INDEX($C44:$E44,1,Control!$B$10))^AC5*INDEX($B$13:$M$13,1,MOD(24-1,12)+1)</f>
        <v/>
      </c>
      <c r="AD44" s="34">
        <f>($B44/12)*(1+INDEX($C44:$E44,1,Control!$B$10))^AD5*INDEX($B$13:$M$13,1,MOD(25-1,12)+1)</f>
        <v/>
      </c>
      <c r="AE44" s="34">
        <f>($B44/12)*(1+INDEX($C44:$E44,1,Control!$B$10))^AE5*INDEX($B$13:$M$13,1,MOD(26-1,12)+1)</f>
        <v/>
      </c>
      <c r="AF44" s="34">
        <f>($B44/12)*(1+INDEX($C44:$E44,1,Control!$B$10))^AF5*INDEX($B$13:$M$13,1,MOD(27-1,12)+1)</f>
        <v/>
      </c>
      <c r="AG44" s="34">
        <f>($B44/12)*(1+INDEX($C44:$E44,1,Control!$B$10))^AG5*INDEX($B$13:$M$13,1,MOD(28-1,12)+1)</f>
        <v/>
      </c>
      <c r="AH44" s="34">
        <f>($B44/12)*(1+INDEX($C44:$E44,1,Control!$B$10))^AH5*INDEX($B$13:$M$13,1,MOD(29-1,12)+1)</f>
        <v/>
      </c>
      <c r="AI44" s="34">
        <f>($B44/12)*(1+INDEX($C44:$E44,1,Control!$B$10))^AI5*INDEX($B$13:$M$13,1,MOD(30-1,12)+1)</f>
        <v/>
      </c>
      <c r="AJ44" s="34">
        <f>($B44/12)*(1+INDEX($C44:$E44,1,Control!$B$10))^AJ5*INDEX($B$13:$M$13,1,MOD(31-1,12)+1)</f>
        <v/>
      </c>
      <c r="AK44" s="34">
        <f>($B44/12)*(1+INDEX($C44:$E44,1,Control!$B$10))^AK5*INDEX($B$13:$M$13,1,MOD(32-1,12)+1)</f>
        <v/>
      </c>
      <c r="AL44" s="34">
        <f>($B44/12)*(1+INDEX($C44:$E44,1,Control!$B$10))^AL5*INDEX($B$13:$M$13,1,MOD(33-1,12)+1)</f>
        <v/>
      </c>
      <c r="AM44" s="34">
        <f>($B44/12)*(1+INDEX($C44:$E44,1,Control!$B$10))^AM5*INDEX($B$13:$M$13,1,MOD(34-1,12)+1)</f>
        <v/>
      </c>
      <c r="AN44" s="34">
        <f>($B44/12)*(1+INDEX($C44:$E44,1,Control!$B$10))^AN5*INDEX($B$13:$M$13,1,MOD(35-1,12)+1)</f>
        <v/>
      </c>
      <c r="AO44" s="34">
        <f>($B44/12)*(1+INDEX($C44:$E44,1,Control!$B$10))^AO5*INDEX($B$13:$M$13,1,MOD(36-1,12)+1)</f>
        <v/>
      </c>
      <c r="AP44" s="34">
        <f>($B44/12)*(1+INDEX($C44:$E44,1,Control!$B$10))^AP5*INDEX($B$13:$M$13,1,MOD(37-1,12)+1)</f>
        <v/>
      </c>
      <c r="AQ44" s="34">
        <f>($B44/12)*(1+INDEX($C44:$E44,1,Control!$B$10))^AQ5*INDEX($B$13:$M$13,1,MOD(38-1,12)+1)</f>
        <v/>
      </c>
      <c r="AR44" s="34">
        <f>($B44/12)*(1+INDEX($C44:$E44,1,Control!$B$10))^AR5*INDEX($B$13:$M$13,1,MOD(39-1,12)+1)</f>
        <v/>
      </c>
      <c r="AS44" s="34">
        <f>($B44/12)*(1+INDEX($C44:$E44,1,Control!$B$10))^AS5*INDEX($B$13:$M$13,1,MOD(40-1,12)+1)</f>
        <v/>
      </c>
      <c r="AT44" s="34">
        <f>($B44/12)*(1+INDEX($C44:$E44,1,Control!$B$10))^AT5*INDEX($B$13:$M$13,1,MOD(41-1,12)+1)</f>
        <v/>
      </c>
      <c r="AU44" s="34">
        <f>($B44/12)*(1+INDEX($C44:$E44,1,Control!$B$10))^AU5*INDEX($B$13:$M$13,1,MOD(42-1,12)+1)</f>
        <v/>
      </c>
      <c r="AV44" s="34">
        <f>($B44/12)*(1+INDEX($C44:$E44,1,Control!$B$10))^AV5*INDEX($B$13:$M$13,1,MOD(43-1,12)+1)</f>
        <v/>
      </c>
      <c r="AW44" s="34">
        <f>($B44/12)*(1+INDEX($C44:$E44,1,Control!$B$10))^AW5*INDEX($B$13:$M$13,1,MOD(44-1,12)+1)</f>
        <v/>
      </c>
      <c r="AX44" s="34">
        <f>($B44/12)*(1+INDEX($C44:$E44,1,Control!$B$10))^AX5*INDEX($B$13:$M$13,1,MOD(45-1,12)+1)</f>
        <v/>
      </c>
      <c r="AY44" s="34">
        <f>($B44/12)*(1+INDEX($C44:$E44,1,Control!$B$10))^AY5*INDEX($B$13:$M$13,1,MOD(46-1,12)+1)</f>
        <v/>
      </c>
      <c r="AZ44" s="34">
        <f>($B44/12)*(1+INDEX($C44:$E44,1,Control!$B$10))^AZ5*INDEX($B$13:$M$13,1,MOD(47-1,12)+1)</f>
        <v/>
      </c>
      <c r="BA44" s="34">
        <f>($B44/12)*(1+INDEX($C44:$E44,1,Control!$B$10))^BA5*INDEX($B$13:$M$13,1,MOD(48-1,12)+1)</f>
        <v/>
      </c>
      <c r="BB44" s="34">
        <f>($B44/12)*(1+INDEX($C44:$E44,1,Control!$B$10))^BB5*INDEX($B$13:$M$13,1,MOD(49-1,12)+1)</f>
        <v/>
      </c>
      <c r="BC44" s="34">
        <f>($B44/12)*(1+INDEX($C44:$E44,1,Control!$B$10))^BC5*INDEX($B$13:$M$13,1,MOD(50-1,12)+1)</f>
        <v/>
      </c>
      <c r="BD44" s="34">
        <f>($B44/12)*(1+INDEX($C44:$E44,1,Control!$B$10))^BD5*INDEX($B$13:$M$13,1,MOD(51-1,12)+1)</f>
        <v/>
      </c>
      <c r="BE44" s="34">
        <f>($B44/12)*(1+INDEX($C44:$E44,1,Control!$B$10))^BE5*INDEX($B$13:$M$13,1,MOD(52-1,12)+1)</f>
        <v/>
      </c>
      <c r="BF44" s="34">
        <f>($B44/12)*(1+INDEX($C44:$E44,1,Control!$B$10))^BF5*INDEX($B$13:$M$13,1,MOD(53-1,12)+1)</f>
        <v/>
      </c>
      <c r="BG44" s="34">
        <f>($B44/12)*(1+INDEX($C44:$E44,1,Control!$B$10))^BG5*INDEX($B$13:$M$13,1,MOD(54-1,12)+1)</f>
        <v/>
      </c>
      <c r="BH44" s="34">
        <f>($B44/12)*(1+INDEX($C44:$E44,1,Control!$B$10))^BH5*INDEX($B$13:$M$13,1,MOD(55-1,12)+1)</f>
        <v/>
      </c>
      <c r="BI44" s="34">
        <f>($B44/12)*(1+INDEX($C44:$E44,1,Control!$B$10))^BI5*INDEX($B$13:$M$13,1,MOD(56-1,12)+1)</f>
        <v/>
      </c>
      <c r="BJ44" s="34">
        <f>($B44/12)*(1+INDEX($C44:$E44,1,Control!$B$10))^BJ5*INDEX($B$13:$M$13,1,MOD(57-1,12)+1)</f>
        <v/>
      </c>
      <c r="BK44" s="34">
        <f>($B44/12)*(1+INDEX($C44:$E44,1,Control!$B$10))^BK5*INDEX($B$13:$M$13,1,MOD(58-1,12)+1)</f>
        <v/>
      </c>
      <c r="BL44" s="34">
        <f>($B44/12)*(1+INDEX($C44:$E44,1,Control!$B$10))^BL5*INDEX($B$13:$M$13,1,MOD(59-1,12)+1)</f>
        <v/>
      </c>
      <c r="BM44" s="34">
        <f>($B44/12)*(1+INDEX($C44:$E44,1,Control!$B$10))^BM5*INDEX($B$13:$M$13,1,MOD(60-1,12)+1)</f>
        <v/>
      </c>
      <c r="BN44" s="34">
        <f>($B44/12)*(1+INDEX($C44:$E44,1,Control!$B$10))^BN5*INDEX($B$13:$M$13,1,MOD(61-1,12)+1)</f>
        <v/>
      </c>
      <c r="BO44" s="34">
        <f>($B44/12)*(1+INDEX($C44:$E44,1,Control!$B$10))^BO5*INDEX($B$13:$M$13,1,MOD(62-1,12)+1)</f>
        <v/>
      </c>
      <c r="BP44" s="34">
        <f>($B44/12)*(1+INDEX($C44:$E44,1,Control!$B$10))^BP5*INDEX($B$13:$M$13,1,MOD(63-1,12)+1)</f>
        <v/>
      </c>
      <c r="BQ44" s="34">
        <f>($B44/12)*(1+INDEX($C44:$E44,1,Control!$B$10))^BQ5*INDEX($B$13:$M$13,1,MOD(64-1,12)+1)</f>
        <v/>
      </c>
      <c r="BR44" s="34">
        <f>($B44/12)*(1+INDEX($C44:$E44,1,Control!$B$10))^BR5*INDEX($B$13:$M$13,1,MOD(65-1,12)+1)</f>
        <v/>
      </c>
      <c r="BS44" s="34">
        <f>($B44/12)*(1+INDEX($C44:$E44,1,Control!$B$10))^BS5*INDEX($B$13:$M$13,1,MOD(66-1,12)+1)</f>
        <v/>
      </c>
      <c r="BT44" s="34">
        <f>($B44/12)*(1+INDEX($C44:$E44,1,Control!$B$10))^BT5*INDEX($B$13:$M$13,1,MOD(67-1,12)+1)</f>
        <v/>
      </c>
      <c r="BU44" s="34">
        <f>($B44/12)*(1+INDEX($C44:$E44,1,Control!$B$10))^BU5*INDEX($B$13:$M$13,1,MOD(68-1,12)+1)</f>
        <v/>
      </c>
      <c r="BV44" s="34">
        <f>($B44/12)*(1+INDEX($C44:$E44,1,Control!$B$10))^BV5*INDEX($B$13:$M$13,1,MOD(69-1,12)+1)</f>
        <v/>
      </c>
      <c r="BW44" s="34">
        <f>($B44/12)*(1+INDEX($C44:$E44,1,Control!$B$10))^BW5*INDEX($B$13:$M$13,1,MOD(70-1,12)+1)</f>
        <v/>
      </c>
      <c r="BX44" s="34">
        <f>($B44/12)*(1+INDEX($C44:$E44,1,Control!$B$10))^BX5*INDEX($B$13:$M$13,1,MOD(71-1,12)+1)</f>
        <v/>
      </c>
      <c r="BY44" s="34">
        <f>($B44/12)*(1+INDEX($C44:$E44,1,Control!$B$10))^BY5*INDEX($B$13:$M$13,1,MOD(72-1,12)+1)</f>
        <v/>
      </c>
      <c r="BZ44" s="34">
        <f>($B44/12)*(1+INDEX($C44:$E44,1,Control!$B$10))^BZ5*INDEX($B$13:$M$13,1,MOD(73-1,12)+1)</f>
        <v/>
      </c>
      <c r="CA44" s="34">
        <f>($B44/12)*(1+INDEX($C44:$E44,1,Control!$B$10))^CA5*INDEX($B$13:$M$13,1,MOD(74-1,12)+1)</f>
        <v/>
      </c>
      <c r="CB44" s="34">
        <f>($B44/12)*(1+INDEX($C44:$E44,1,Control!$B$10))^CB5*INDEX($B$13:$M$13,1,MOD(75-1,12)+1)</f>
        <v/>
      </c>
      <c r="CC44" s="34">
        <f>($B44/12)*(1+INDEX($C44:$E44,1,Control!$B$10))^CC5*INDEX($B$13:$M$13,1,MOD(76-1,12)+1)</f>
        <v/>
      </c>
      <c r="CD44" s="34">
        <f>($B44/12)*(1+INDEX($C44:$E44,1,Control!$B$10))^CD5*INDEX($B$13:$M$13,1,MOD(77-1,12)+1)</f>
        <v/>
      </c>
      <c r="CE44" s="34">
        <f>($B44/12)*(1+INDEX($C44:$E44,1,Control!$B$10))^CE5*INDEX($B$13:$M$13,1,MOD(78-1,12)+1)</f>
        <v/>
      </c>
      <c r="CF44" s="34">
        <f>($B44/12)*(1+INDEX($C44:$E44,1,Control!$B$10))^CF5*INDEX($B$13:$M$13,1,MOD(79-1,12)+1)</f>
        <v/>
      </c>
      <c r="CG44" s="34">
        <f>($B44/12)*(1+INDEX($C44:$E44,1,Control!$B$10))^CG5*INDEX($B$13:$M$13,1,MOD(80-1,12)+1)</f>
        <v/>
      </c>
      <c r="CH44" s="34">
        <f>($B44/12)*(1+INDEX($C44:$E44,1,Control!$B$10))^CH5*INDEX($B$13:$M$13,1,MOD(81-1,12)+1)</f>
        <v/>
      </c>
      <c r="CI44" s="34">
        <f>($B44/12)*(1+INDEX($C44:$E44,1,Control!$B$10))^CI5*INDEX($B$13:$M$13,1,MOD(82-1,12)+1)</f>
        <v/>
      </c>
      <c r="CJ44" s="34">
        <f>($B44/12)*(1+INDEX($C44:$E44,1,Control!$B$10))^CJ5*INDEX($B$13:$M$13,1,MOD(83-1,12)+1)</f>
        <v/>
      </c>
      <c r="CK44" s="34">
        <f>($B44/12)*(1+INDEX($C44:$E44,1,Control!$B$10))^CK5*INDEX($B$13:$M$13,1,MOD(84-1,12)+1)</f>
        <v/>
      </c>
      <c r="CL44" s="34">
        <f>($B44/12)*(1+INDEX($C44:$E44,1,Control!$B$10))^CL5*INDEX($B$13:$M$13,1,MOD(85-1,12)+1)</f>
        <v/>
      </c>
      <c r="CM44" s="34">
        <f>($B44/12)*(1+INDEX($C44:$E44,1,Control!$B$10))^CM5*INDEX($B$13:$M$13,1,MOD(86-1,12)+1)</f>
        <v/>
      </c>
      <c r="CN44" s="34">
        <f>($B44/12)*(1+INDEX($C44:$E44,1,Control!$B$10))^CN5*INDEX($B$13:$M$13,1,MOD(87-1,12)+1)</f>
        <v/>
      </c>
      <c r="CO44" s="34">
        <f>($B44/12)*(1+INDEX($C44:$E44,1,Control!$B$10))^CO5*INDEX($B$13:$M$13,1,MOD(88-1,12)+1)</f>
        <v/>
      </c>
      <c r="CP44" s="34">
        <f>($B44/12)*(1+INDEX($C44:$E44,1,Control!$B$10))^CP5*INDEX($B$13:$M$13,1,MOD(89-1,12)+1)</f>
        <v/>
      </c>
      <c r="CQ44" s="34">
        <f>($B44/12)*(1+INDEX($C44:$E44,1,Control!$B$10))^CQ5*INDEX($B$13:$M$13,1,MOD(90-1,12)+1)</f>
        <v/>
      </c>
      <c r="CR44" s="34">
        <f>($B44/12)*(1+INDEX($C44:$E44,1,Control!$B$10))^CR5*INDEX($B$13:$M$13,1,MOD(91-1,12)+1)</f>
        <v/>
      </c>
      <c r="CS44" s="34">
        <f>($B44/12)*(1+INDEX($C44:$E44,1,Control!$B$10))^CS5*INDEX($B$13:$M$13,1,MOD(92-1,12)+1)</f>
        <v/>
      </c>
      <c r="CT44" s="34">
        <f>($B44/12)*(1+INDEX($C44:$E44,1,Control!$B$10))^CT5*INDEX($B$13:$M$13,1,MOD(93-1,12)+1)</f>
        <v/>
      </c>
      <c r="CU44" s="34">
        <f>($B44/12)*(1+INDEX($C44:$E44,1,Control!$B$10))^CU5*INDEX($B$13:$M$13,1,MOD(94-1,12)+1)</f>
        <v/>
      </c>
      <c r="CV44" s="34">
        <f>($B44/12)*(1+INDEX($C44:$E44,1,Control!$B$10))^CV5*INDEX($B$13:$M$13,1,MOD(95-1,12)+1)</f>
        <v/>
      </c>
      <c r="CW44" s="34">
        <f>($B44/12)*(1+INDEX($C44:$E44,1,Control!$B$10))^CW5*INDEX($B$13:$M$13,1,MOD(96-1,12)+1)</f>
        <v/>
      </c>
      <c r="CX44" s="34">
        <f>($B44/12)*(1+INDEX($C44:$E44,1,Control!$B$10))^CX5*INDEX($B$13:$M$13,1,MOD(97-1,12)+1)</f>
        <v/>
      </c>
      <c r="CY44" s="34">
        <f>($B44/12)*(1+INDEX($C44:$E44,1,Control!$B$10))^CY5*INDEX($B$13:$M$13,1,MOD(98-1,12)+1)</f>
        <v/>
      </c>
      <c r="CZ44" s="34">
        <f>($B44/12)*(1+INDEX($C44:$E44,1,Control!$B$10))^CZ5*INDEX($B$13:$M$13,1,MOD(99-1,12)+1)</f>
        <v/>
      </c>
      <c r="DA44" s="34">
        <f>($B44/12)*(1+INDEX($C44:$E44,1,Control!$B$10))^DA5*INDEX($B$13:$M$13,1,MOD(100-1,12)+1)</f>
        <v/>
      </c>
      <c r="DB44" s="34">
        <f>($B44/12)*(1+INDEX($C44:$E44,1,Control!$B$10))^DB5*INDEX($B$13:$M$13,1,MOD(101-1,12)+1)</f>
        <v/>
      </c>
      <c r="DC44" s="34">
        <f>($B44/12)*(1+INDEX($C44:$E44,1,Control!$B$10))^DC5*INDEX($B$13:$M$13,1,MOD(102-1,12)+1)</f>
        <v/>
      </c>
      <c r="DD44" s="34">
        <f>($B44/12)*(1+INDEX($C44:$E44,1,Control!$B$10))^DD5*INDEX($B$13:$M$13,1,MOD(103-1,12)+1)</f>
        <v/>
      </c>
      <c r="DE44" s="34">
        <f>($B44/12)*(1+INDEX($C44:$E44,1,Control!$B$10))^DE5*INDEX($B$13:$M$13,1,MOD(104-1,12)+1)</f>
        <v/>
      </c>
      <c r="DF44" s="34">
        <f>($B44/12)*(1+INDEX($C44:$E44,1,Control!$B$10))^DF5*INDEX($B$13:$M$13,1,MOD(105-1,12)+1)</f>
        <v/>
      </c>
      <c r="DG44" s="34">
        <f>($B44/12)*(1+INDEX($C44:$E44,1,Control!$B$10))^DG5*INDEX($B$13:$M$13,1,MOD(106-1,12)+1)</f>
        <v/>
      </c>
      <c r="DH44" s="34">
        <f>($B44/12)*(1+INDEX($C44:$E44,1,Control!$B$10))^DH5*INDEX($B$13:$M$13,1,MOD(107-1,12)+1)</f>
        <v/>
      </c>
      <c r="DI44" s="34">
        <f>($B44/12)*(1+INDEX($C44:$E44,1,Control!$B$10))^DI5*INDEX($B$13:$M$13,1,MOD(108-1,12)+1)</f>
        <v/>
      </c>
      <c r="DJ44" s="34">
        <f>($B44/12)*(1+INDEX($C44:$E44,1,Control!$B$10))^DJ5*INDEX($B$13:$M$13,1,MOD(109-1,12)+1)</f>
        <v/>
      </c>
      <c r="DK44" s="34">
        <f>($B44/12)*(1+INDEX($C44:$E44,1,Control!$B$10))^DK5*INDEX($B$13:$M$13,1,MOD(110-1,12)+1)</f>
        <v/>
      </c>
      <c r="DL44" s="34">
        <f>($B44/12)*(1+INDEX($C44:$E44,1,Control!$B$10))^DL5*INDEX($B$13:$M$13,1,MOD(111-1,12)+1)</f>
        <v/>
      </c>
      <c r="DM44" s="34">
        <f>($B44/12)*(1+INDEX($C44:$E44,1,Control!$B$10))^DM5*INDEX($B$13:$M$13,1,MOD(112-1,12)+1)</f>
        <v/>
      </c>
      <c r="DN44" s="34">
        <f>($B44/12)*(1+INDEX($C44:$E44,1,Control!$B$10))^DN5*INDEX($B$13:$M$13,1,MOD(113-1,12)+1)</f>
        <v/>
      </c>
      <c r="DO44" s="34">
        <f>($B44/12)*(1+INDEX($C44:$E44,1,Control!$B$10))^DO5*INDEX($B$13:$M$13,1,MOD(114-1,12)+1)</f>
        <v/>
      </c>
      <c r="DP44" s="34">
        <f>($B44/12)*(1+INDEX($C44:$E44,1,Control!$B$10))^DP5*INDEX($B$13:$M$13,1,MOD(115-1,12)+1)</f>
        <v/>
      </c>
      <c r="DQ44" s="34">
        <f>($B44/12)*(1+INDEX($C44:$E44,1,Control!$B$10))^DQ5*INDEX($B$13:$M$13,1,MOD(116-1,12)+1)</f>
        <v/>
      </c>
      <c r="DR44" s="34">
        <f>($B44/12)*(1+INDEX($C44:$E44,1,Control!$B$10))^DR5*INDEX($B$13:$M$13,1,MOD(117-1,12)+1)</f>
        <v/>
      </c>
      <c r="DS44" s="34">
        <f>($B44/12)*(1+INDEX($C44:$E44,1,Control!$B$10))^DS5*INDEX($B$13:$M$13,1,MOD(118-1,12)+1)</f>
        <v/>
      </c>
      <c r="DT44" s="34">
        <f>($B44/12)*(1+INDEX($C44:$E44,1,Control!$B$10))^DT5*INDEX($B$13:$M$13,1,MOD(119-1,12)+1)</f>
        <v/>
      </c>
      <c r="DU44" s="34">
        <f>($B44/12)*(1+INDEX($C44:$E44,1,Control!$B$10))^DU5*INDEX($B$13:$M$13,1,MOD(120-1,12)+1)</f>
        <v/>
      </c>
    </row>
    <row r="45">
      <c r="A45" t="inlineStr">
        <is>
          <t>HarborIPA-Cans-OnTrade</t>
        </is>
      </c>
      <c r="B45" s="33" t="n">
        <v>10000</v>
      </c>
      <c r="C45" s="22" t="n">
        <v>0.05</v>
      </c>
      <c r="D45" s="22" t="n">
        <v>0.07000000000000001</v>
      </c>
      <c r="E45" s="22" t="n">
        <v>0.03</v>
      </c>
      <c r="F45" s="34">
        <f>($B45/12)*(1+INDEX($C45:$E45,1,Control!$B$10))^F5*INDEX($B$13:$M$13,1,MOD(1-1,12)+1)</f>
        <v/>
      </c>
      <c r="G45" s="34">
        <f>($B45/12)*(1+INDEX($C45:$E45,1,Control!$B$10))^G5*INDEX($B$13:$M$13,1,MOD(2-1,12)+1)</f>
        <v/>
      </c>
      <c r="H45" s="34">
        <f>($B45/12)*(1+INDEX($C45:$E45,1,Control!$B$10))^H5*INDEX($B$13:$M$13,1,MOD(3-1,12)+1)</f>
        <v/>
      </c>
      <c r="I45" s="34">
        <f>($B45/12)*(1+INDEX($C45:$E45,1,Control!$B$10))^I5*INDEX($B$13:$M$13,1,MOD(4-1,12)+1)</f>
        <v/>
      </c>
      <c r="J45" s="34">
        <f>($B45/12)*(1+INDEX($C45:$E45,1,Control!$B$10))^J5*INDEX($B$13:$M$13,1,MOD(5-1,12)+1)</f>
        <v/>
      </c>
      <c r="K45" s="34">
        <f>($B45/12)*(1+INDEX($C45:$E45,1,Control!$B$10))^K5*INDEX($B$13:$M$13,1,MOD(6-1,12)+1)</f>
        <v/>
      </c>
      <c r="L45" s="34">
        <f>($B45/12)*(1+INDEX($C45:$E45,1,Control!$B$10))^L5*INDEX($B$13:$M$13,1,MOD(7-1,12)+1)</f>
        <v/>
      </c>
      <c r="M45" s="34">
        <f>($B45/12)*(1+INDEX($C45:$E45,1,Control!$B$10))^M5*INDEX($B$13:$M$13,1,MOD(8-1,12)+1)</f>
        <v/>
      </c>
      <c r="N45" s="34">
        <f>($B45/12)*(1+INDEX($C45:$E45,1,Control!$B$10))^N5*INDEX($B$13:$M$13,1,MOD(9-1,12)+1)</f>
        <v/>
      </c>
      <c r="O45" s="34">
        <f>($B45/12)*(1+INDEX($C45:$E45,1,Control!$B$10))^O5*INDEX($B$13:$M$13,1,MOD(10-1,12)+1)</f>
        <v/>
      </c>
      <c r="P45" s="34">
        <f>($B45/12)*(1+INDEX($C45:$E45,1,Control!$B$10))^P5*INDEX($B$13:$M$13,1,MOD(11-1,12)+1)</f>
        <v/>
      </c>
      <c r="Q45" s="34">
        <f>($B45/12)*(1+INDEX($C45:$E45,1,Control!$B$10))^Q5*INDEX($B$13:$M$13,1,MOD(12-1,12)+1)</f>
        <v/>
      </c>
      <c r="R45" s="34">
        <f>($B45/12)*(1+INDEX($C45:$E45,1,Control!$B$10))^R5*INDEX($B$13:$M$13,1,MOD(13-1,12)+1)</f>
        <v/>
      </c>
      <c r="S45" s="34">
        <f>($B45/12)*(1+INDEX($C45:$E45,1,Control!$B$10))^S5*INDEX($B$13:$M$13,1,MOD(14-1,12)+1)</f>
        <v/>
      </c>
      <c r="T45" s="34">
        <f>($B45/12)*(1+INDEX($C45:$E45,1,Control!$B$10))^T5*INDEX($B$13:$M$13,1,MOD(15-1,12)+1)</f>
        <v/>
      </c>
      <c r="U45" s="34">
        <f>($B45/12)*(1+INDEX($C45:$E45,1,Control!$B$10))^U5*INDEX($B$13:$M$13,1,MOD(16-1,12)+1)</f>
        <v/>
      </c>
      <c r="V45" s="34">
        <f>($B45/12)*(1+INDEX($C45:$E45,1,Control!$B$10))^V5*INDEX($B$13:$M$13,1,MOD(17-1,12)+1)</f>
        <v/>
      </c>
      <c r="W45" s="34">
        <f>($B45/12)*(1+INDEX($C45:$E45,1,Control!$B$10))^W5*INDEX($B$13:$M$13,1,MOD(18-1,12)+1)</f>
        <v/>
      </c>
      <c r="X45" s="34">
        <f>($B45/12)*(1+INDEX($C45:$E45,1,Control!$B$10))^X5*INDEX($B$13:$M$13,1,MOD(19-1,12)+1)</f>
        <v/>
      </c>
      <c r="Y45" s="34">
        <f>($B45/12)*(1+INDEX($C45:$E45,1,Control!$B$10))^Y5*INDEX($B$13:$M$13,1,MOD(20-1,12)+1)</f>
        <v/>
      </c>
      <c r="Z45" s="34">
        <f>($B45/12)*(1+INDEX($C45:$E45,1,Control!$B$10))^Z5*INDEX($B$13:$M$13,1,MOD(21-1,12)+1)</f>
        <v/>
      </c>
      <c r="AA45" s="34">
        <f>($B45/12)*(1+INDEX($C45:$E45,1,Control!$B$10))^AA5*INDEX($B$13:$M$13,1,MOD(22-1,12)+1)</f>
        <v/>
      </c>
      <c r="AB45" s="34">
        <f>($B45/12)*(1+INDEX($C45:$E45,1,Control!$B$10))^AB5*INDEX($B$13:$M$13,1,MOD(23-1,12)+1)</f>
        <v/>
      </c>
      <c r="AC45" s="34">
        <f>($B45/12)*(1+INDEX($C45:$E45,1,Control!$B$10))^AC5*INDEX($B$13:$M$13,1,MOD(24-1,12)+1)</f>
        <v/>
      </c>
      <c r="AD45" s="34">
        <f>($B45/12)*(1+INDEX($C45:$E45,1,Control!$B$10))^AD5*INDEX($B$13:$M$13,1,MOD(25-1,12)+1)</f>
        <v/>
      </c>
      <c r="AE45" s="34">
        <f>($B45/12)*(1+INDEX($C45:$E45,1,Control!$B$10))^AE5*INDEX($B$13:$M$13,1,MOD(26-1,12)+1)</f>
        <v/>
      </c>
      <c r="AF45" s="34">
        <f>($B45/12)*(1+INDEX($C45:$E45,1,Control!$B$10))^AF5*INDEX($B$13:$M$13,1,MOD(27-1,12)+1)</f>
        <v/>
      </c>
      <c r="AG45" s="34">
        <f>($B45/12)*(1+INDEX($C45:$E45,1,Control!$B$10))^AG5*INDEX($B$13:$M$13,1,MOD(28-1,12)+1)</f>
        <v/>
      </c>
      <c r="AH45" s="34">
        <f>($B45/12)*(1+INDEX($C45:$E45,1,Control!$B$10))^AH5*INDEX($B$13:$M$13,1,MOD(29-1,12)+1)</f>
        <v/>
      </c>
      <c r="AI45" s="34">
        <f>($B45/12)*(1+INDEX($C45:$E45,1,Control!$B$10))^AI5*INDEX($B$13:$M$13,1,MOD(30-1,12)+1)</f>
        <v/>
      </c>
      <c r="AJ45" s="34">
        <f>($B45/12)*(1+INDEX($C45:$E45,1,Control!$B$10))^AJ5*INDEX($B$13:$M$13,1,MOD(31-1,12)+1)</f>
        <v/>
      </c>
      <c r="AK45" s="34">
        <f>($B45/12)*(1+INDEX($C45:$E45,1,Control!$B$10))^AK5*INDEX($B$13:$M$13,1,MOD(32-1,12)+1)</f>
        <v/>
      </c>
      <c r="AL45" s="34">
        <f>($B45/12)*(1+INDEX($C45:$E45,1,Control!$B$10))^AL5*INDEX($B$13:$M$13,1,MOD(33-1,12)+1)</f>
        <v/>
      </c>
      <c r="AM45" s="34">
        <f>($B45/12)*(1+INDEX($C45:$E45,1,Control!$B$10))^AM5*INDEX($B$13:$M$13,1,MOD(34-1,12)+1)</f>
        <v/>
      </c>
      <c r="AN45" s="34">
        <f>($B45/12)*(1+INDEX($C45:$E45,1,Control!$B$10))^AN5*INDEX($B$13:$M$13,1,MOD(35-1,12)+1)</f>
        <v/>
      </c>
      <c r="AO45" s="34">
        <f>($B45/12)*(1+INDEX($C45:$E45,1,Control!$B$10))^AO5*INDEX($B$13:$M$13,1,MOD(36-1,12)+1)</f>
        <v/>
      </c>
      <c r="AP45" s="34">
        <f>($B45/12)*(1+INDEX($C45:$E45,1,Control!$B$10))^AP5*INDEX($B$13:$M$13,1,MOD(37-1,12)+1)</f>
        <v/>
      </c>
      <c r="AQ45" s="34">
        <f>($B45/12)*(1+INDEX($C45:$E45,1,Control!$B$10))^AQ5*INDEX($B$13:$M$13,1,MOD(38-1,12)+1)</f>
        <v/>
      </c>
      <c r="AR45" s="34">
        <f>($B45/12)*(1+INDEX($C45:$E45,1,Control!$B$10))^AR5*INDEX($B$13:$M$13,1,MOD(39-1,12)+1)</f>
        <v/>
      </c>
      <c r="AS45" s="34">
        <f>($B45/12)*(1+INDEX($C45:$E45,1,Control!$B$10))^AS5*INDEX($B$13:$M$13,1,MOD(40-1,12)+1)</f>
        <v/>
      </c>
      <c r="AT45" s="34">
        <f>($B45/12)*(1+INDEX($C45:$E45,1,Control!$B$10))^AT5*INDEX($B$13:$M$13,1,MOD(41-1,12)+1)</f>
        <v/>
      </c>
      <c r="AU45" s="34">
        <f>($B45/12)*(1+INDEX($C45:$E45,1,Control!$B$10))^AU5*INDEX($B$13:$M$13,1,MOD(42-1,12)+1)</f>
        <v/>
      </c>
      <c r="AV45" s="34">
        <f>($B45/12)*(1+INDEX($C45:$E45,1,Control!$B$10))^AV5*INDEX($B$13:$M$13,1,MOD(43-1,12)+1)</f>
        <v/>
      </c>
      <c r="AW45" s="34">
        <f>($B45/12)*(1+INDEX($C45:$E45,1,Control!$B$10))^AW5*INDEX($B$13:$M$13,1,MOD(44-1,12)+1)</f>
        <v/>
      </c>
      <c r="AX45" s="34">
        <f>($B45/12)*(1+INDEX($C45:$E45,1,Control!$B$10))^AX5*INDEX($B$13:$M$13,1,MOD(45-1,12)+1)</f>
        <v/>
      </c>
      <c r="AY45" s="34">
        <f>($B45/12)*(1+INDEX($C45:$E45,1,Control!$B$10))^AY5*INDEX($B$13:$M$13,1,MOD(46-1,12)+1)</f>
        <v/>
      </c>
      <c r="AZ45" s="34">
        <f>($B45/12)*(1+INDEX($C45:$E45,1,Control!$B$10))^AZ5*INDEX($B$13:$M$13,1,MOD(47-1,12)+1)</f>
        <v/>
      </c>
      <c r="BA45" s="34">
        <f>($B45/12)*(1+INDEX($C45:$E45,1,Control!$B$10))^BA5*INDEX($B$13:$M$13,1,MOD(48-1,12)+1)</f>
        <v/>
      </c>
      <c r="BB45" s="34">
        <f>($B45/12)*(1+INDEX($C45:$E45,1,Control!$B$10))^BB5*INDEX($B$13:$M$13,1,MOD(49-1,12)+1)</f>
        <v/>
      </c>
      <c r="BC45" s="34">
        <f>($B45/12)*(1+INDEX($C45:$E45,1,Control!$B$10))^BC5*INDEX($B$13:$M$13,1,MOD(50-1,12)+1)</f>
        <v/>
      </c>
      <c r="BD45" s="34">
        <f>($B45/12)*(1+INDEX($C45:$E45,1,Control!$B$10))^BD5*INDEX($B$13:$M$13,1,MOD(51-1,12)+1)</f>
        <v/>
      </c>
      <c r="BE45" s="34">
        <f>($B45/12)*(1+INDEX($C45:$E45,1,Control!$B$10))^BE5*INDEX($B$13:$M$13,1,MOD(52-1,12)+1)</f>
        <v/>
      </c>
      <c r="BF45" s="34">
        <f>($B45/12)*(1+INDEX($C45:$E45,1,Control!$B$10))^BF5*INDEX($B$13:$M$13,1,MOD(53-1,12)+1)</f>
        <v/>
      </c>
      <c r="BG45" s="34">
        <f>($B45/12)*(1+INDEX($C45:$E45,1,Control!$B$10))^BG5*INDEX($B$13:$M$13,1,MOD(54-1,12)+1)</f>
        <v/>
      </c>
      <c r="BH45" s="34">
        <f>($B45/12)*(1+INDEX($C45:$E45,1,Control!$B$10))^BH5*INDEX($B$13:$M$13,1,MOD(55-1,12)+1)</f>
        <v/>
      </c>
      <c r="BI45" s="34">
        <f>($B45/12)*(1+INDEX($C45:$E45,1,Control!$B$10))^BI5*INDEX($B$13:$M$13,1,MOD(56-1,12)+1)</f>
        <v/>
      </c>
      <c r="BJ45" s="34">
        <f>($B45/12)*(1+INDEX($C45:$E45,1,Control!$B$10))^BJ5*INDEX($B$13:$M$13,1,MOD(57-1,12)+1)</f>
        <v/>
      </c>
      <c r="BK45" s="34">
        <f>($B45/12)*(1+INDEX($C45:$E45,1,Control!$B$10))^BK5*INDEX($B$13:$M$13,1,MOD(58-1,12)+1)</f>
        <v/>
      </c>
      <c r="BL45" s="34">
        <f>($B45/12)*(1+INDEX($C45:$E45,1,Control!$B$10))^BL5*INDEX($B$13:$M$13,1,MOD(59-1,12)+1)</f>
        <v/>
      </c>
      <c r="BM45" s="34">
        <f>($B45/12)*(1+INDEX($C45:$E45,1,Control!$B$10))^BM5*INDEX($B$13:$M$13,1,MOD(60-1,12)+1)</f>
        <v/>
      </c>
      <c r="BN45" s="34">
        <f>($B45/12)*(1+INDEX($C45:$E45,1,Control!$B$10))^BN5*INDEX($B$13:$M$13,1,MOD(61-1,12)+1)</f>
        <v/>
      </c>
      <c r="BO45" s="34">
        <f>($B45/12)*(1+INDEX($C45:$E45,1,Control!$B$10))^BO5*INDEX($B$13:$M$13,1,MOD(62-1,12)+1)</f>
        <v/>
      </c>
      <c r="BP45" s="34">
        <f>($B45/12)*(1+INDEX($C45:$E45,1,Control!$B$10))^BP5*INDEX($B$13:$M$13,1,MOD(63-1,12)+1)</f>
        <v/>
      </c>
      <c r="BQ45" s="34">
        <f>($B45/12)*(1+INDEX($C45:$E45,1,Control!$B$10))^BQ5*INDEX($B$13:$M$13,1,MOD(64-1,12)+1)</f>
        <v/>
      </c>
      <c r="BR45" s="34">
        <f>($B45/12)*(1+INDEX($C45:$E45,1,Control!$B$10))^BR5*INDEX($B$13:$M$13,1,MOD(65-1,12)+1)</f>
        <v/>
      </c>
      <c r="BS45" s="34">
        <f>($B45/12)*(1+INDEX($C45:$E45,1,Control!$B$10))^BS5*INDEX($B$13:$M$13,1,MOD(66-1,12)+1)</f>
        <v/>
      </c>
      <c r="BT45" s="34">
        <f>($B45/12)*(1+INDEX($C45:$E45,1,Control!$B$10))^BT5*INDEX($B$13:$M$13,1,MOD(67-1,12)+1)</f>
        <v/>
      </c>
      <c r="BU45" s="34">
        <f>($B45/12)*(1+INDEX($C45:$E45,1,Control!$B$10))^BU5*INDEX($B$13:$M$13,1,MOD(68-1,12)+1)</f>
        <v/>
      </c>
      <c r="BV45" s="34">
        <f>($B45/12)*(1+INDEX($C45:$E45,1,Control!$B$10))^BV5*INDEX($B$13:$M$13,1,MOD(69-1,12)+1)</f>
        <v/>
      </c>
      <c r="BW45" s="34">
        <f>($B45/12)*(1+INDEX($C45:$E45,1,Control!$B$10))^BW5*INDEX($B$13:$M$13,1,MOD(70-1,12)+1)</f>
        <v/>
      </c>
      <c r="BX45" s="34">
        <f>($B45/12)*(1+INDEX($C45:$E45,1,Control!$B$10))^BX5*INDEX($B$13:$M$13,1,MOD(71-1,12)+1)</f>
        <v/>
      </c>
      <c r="BY45" s="34">
        <f>($B45/12)*(1+INDEX($C45:$E45,1,Control!$B$10))^BY5*INDEX($B$13:$M$13,1,MOD(72-1,12)+1)</f>
        <v/>
      </c>
      <c r="BZ45" s="34">
        <f>($B45/12)*(1+INDEX($C45:$E45,1,Control!$B$10))^BZ5*INDEX($B$13:$M$13,1,MOD(73-1,12)+1)</f>
        <v/>
      </c>
      <c r="CA45" s="34">
        <f>($B45/12)*(1+INDEX($C45:$E45,1,Control!$B$10))^CA5*INDEX($B$13:$M$13,1,MOD(74-1,12)+1)</f>
        <v/>
      </c>
      <c r="CB45" s="34">
        <f>($B45/12)*(1+INDEX($C45:$E45,1,Control!$B$10))^CB5*INDEX($B$13:$M$13,1,MOD(75-1,12)+1)</f>
        <v/>
      </c>
      <c r="CC45" s="34">
        <f>($B45/12)*(1+INDEX($C45:$E45,1,Control!$B$10))^CC5*INDEX($B$13:$M$13,1,MOD(76-1,12)+1)</f>
        <v/>
      </c>
      <c r="CD45" s="34">
        <f>($B45/12)*(1+INDEX($C45:$E45,1,Control!$B$10))^CD5*INDEX($B$13:$M$13,1,MOD(77-1,12)+1)</f>
        <v/>
      </c>
      <c r="CE45" s="34">
        <f>($B45/12)*(1+INDEX($C45:$E45,1,Control!$B$10))^CE5*INDEX($B$13:$M$13,1,MOD(78-1,12)+1)</f>
        <v/>
      </c>
      <c r="CF45" s="34">
        <f>($B45/12)*(1+INDEX($C45:$E45,1,Control!$B$10))^CF5*INDEX($B$13:$M$13,1,MOD(79-1,12)+1)</f>
        <v/>
      </c>
      <c r="CG45" s="34">
        <f>($B45/12)*(1+INDEX($C45:$E45,1,Control!$B$10))^CG5*INDEX($B$13:$M$13,1,MOD(80-1,12)+1)</f>
        <v/>
      </c>
      <c r="CH45" s="34">
        <f>($B45/12)*(1+INDEX($C45:$E45,1,Control!$B$10))^CH5*INDEX($B$13:$M$13,1,MOD(81-1,12)+1)</f>
        <v/>
      </c>
      <c r="CI45" s="34">
        <f>($B45/12)*(1+INDEX($C45:$E45,1,Control!$B$10))^CI5*INDEX($B$13:$M$13,1,MOD(82-1,12)+1)</f>
        <v/>
      </c>
      <c r="CJ45" s="34">
        <f>($B45/12)*(1+INDEX($C45:$E45,1,Control!$B$10))^CJ5*INDEX($B$13:$M$13,1,MOD(83-1,12)+1)</f>
        <v/>
      </c>
      <c r="CK45" s="34">
        <f>($B45/12)*(1+INDEX($C45:$E45,1,Control!$B$10))^CK5*INDEX($B$13:$M$13,1,MOD(84-1,12)+1)</f>
        <v/>
      </c>
      <c r="CL45" s="34">
        <f>($B45/12)*(1+INDEX($C45:$E45,1,Control!$B$10))^CL5*INDEX($B$13:$M$13,1,MOD(85-1,12)+1)</f>
        <v/>
      </c>
      <c r="CM45" s="34">
        <f>($B45/12)*(1+INDEX($C45:$E45,1,Control!$B$10))^CM5*INDEX($B$13:$M$13,1,MOD(86-1,12)+1)</f>
        <v/>
      </c>
      <c r="CN45" s="34">
        <f>($B45/12)*(1+INDEX($C45:$E45,1,Control!$B$10))^CN5*INDEX($B$13:$M$13,1,MOD(87-1,12)+1)</f>
        <v/>
      </c>
      <c r="CO45" s="34">
        <f>($B45/12)*(1+INDEX($C45:$E45,1,Control!$B$10))^CO5*INDEX($B$13:$M$13,1,MOD(88-1,12)+1)</f>
        <v/>
      </c>
      <c r="CP45" s="34">
        <f>($B45/12)*(1+INDEX($C45:$E45,1,Control!$B$10))^CP5*INDEX($B$13:$M$13,1,MOD(89-1,12)+1)</f>
        <v/>
      </c>
      <c r="CQ45" s="34">
        <f>($B45/12)*(1+INDEX($C45:$E45,1,Control!$B$10))^CQ5*INDEX($B$13:$M$13,1,MOD(90-1,12)+1)</f>
        <v/>
      </c>
      <c r="CR45" s="34">
        <f>($B45/12)*(1+INDEX($C45:$E45,1,Control!$B$10))^CR5*INDEX($B$13:$M$13,1,MOD(91-1,12)+1)</f>
        <v/>
      </c>
      <c r="CS45" s="34">
        <f>($B45/12)*(1+INDEX($C45:$E45,1,Control!$B$10))^CS5*INDEX($B$13:$M$13,1,MOD(92-1,12)+1)</f>
        <v/>
      </c>
      <c r="CT45" s="34">
        <f>($B45/12)*(1+INDEX($C45:$E45,1,Control!$B$10))^CT5*INDEX($B$13:$M$13,1,MOD(93-1,12)+1)</f>
        <v/>
      </c>
      <c r="CU45" s="34">
        <f>($B45/12)*(1+INDEX($C45:$E45,1,Control!$B$10))^CU5*INDEX($B$13:$M$13,1,MOD(94-1,12)+1)</f>
        <v/>
      </c>
      <c r="CV45" s="34">
        <f>($B45/12)*(1+INDEX($C45:$E45,1,Control!$B$10))^CV5*INDEX($B$13:$M$13,1,MOD(95-1,12)+1)</f>
        <v/>
      </c>
      <c r="CW45" s="34">
        <f>($B45/12)*(1+INDEX($C45:$E45,1,Control!$B$10))^CW5*INDEX($B$13:$M$13,1,MOD(96-1,12)+1)</f>
        <v/>
      </c>
      <c r="CX45" s="34">
        <f>($B45/12)*(1+INDEX($C45:$E45,1,Control!$B$10))^CX5*INDEX($B$13:$M$13,1,MOD(97-1,12)+1)</f>
        <v/>
      </c>
      <c r="CY45" s="34">
        <f>($B45/12)*(1+INDEX($C45:$E45,1,Control!$B$10))^CY5*INDEX($B$13:$M$13,1,MOD(98-1,12)+1)</f>
        <v/>
      </c>
      <c r="CZ45" s="34">
        <f>($B45/12)*(1+INDEX($C45:$E45,1,Control!$B$10))^CZ5*INDEX($B$13:$M$13,1,MOD(99-1,12)+1)</f>
        <v/>
      </c>
      <c r="DA45" s="34">
        <f>($B45/12)*(1+INDEX($C45:$E45,1,Control!$B$10))^DA5*INDEX($B$13:$M$13,1,MOD(100-1,12)+1)</f>
        <v/>
      </c>
      <c r="DB45" s="34">
        <f>($B45/12)*(1+INDEX($C45:$E45,1,Control!$B$10))^DB5*INDEX($B$13:$M$13,1,MOD(101-1,12)+1)</f>
        <v/>
      </c>
      <c r="DC45" s="34">
        <f>($B45/12)*(1+INDEX($C45:$E45,1,Control!$B$10))^DC5*INDEX($B$13:$M$13,1,MOD(102-1,12)+1)</f>
        <v/>
      </c>
      <c r="DD45" s="34">
        <f>($B45/12)*(1+INDEX($C45:$E45,1,Control!$B$10))^DD5*INDEX($B$13:$M$13,1,MOD(103-1,12)+1)</f>
        <v/>
      </c>
      <c r="DE45" s="34">
        <f>($B45/12)*(1+INDEX($C45:$E45,1,Control!$B$10))^DE5*INDEX($B$13:$M$13,1,MOD(104-1,12)+1)</f>
        <v/>
      </c>
      <c r="DF45" s="34">
        <f>($B45/12)*(1+INDEX($C45:$E45,1,Control!$B$10))^DF5*INDEX($B$13:$M$13,1,MOD(105-1,12)+1)</f>
        <v/>
      </c>
      <c r="DG45" s="34">
        <f>($B45/12)*(1+INDEX($C45:$E45,1,Control!$B$10))^DG5*INDEX($B$13:$M$13,1,MOD(106-1,12)+1)</f>
        <v/>
      </c>
      <c r="DH45" s="34">
        <f>($B45/12)*(1+INDEX($C45:$E45,1,Control!$B$10))^DH5*INDEX($B$13:$M$13,1,MOD(107-1,12)+1)</f>
        <v/>
      </c>
      <c r="DI45" s="34">
        <f>($B45/12)*(1+INDEX($C45:$E45,1,Control!$B$10))^DI5*INDEX($B$13:$M$13,1,MOD(108-1,12)+1)</f>
        <v/>
      </c>
      <c r="DJ45" s="34">
        <f>($B45/12)*(1+INDEX($C45:$E45,1,Control!$B$10))^DJ5*INDEX($B$13:$M$13,1,MOD(109-1,12)+1)</f>
        <v/>
      </c>
      <c r="DK45" s="34">
        <f>($B45/12)*(1+INDEX($C45:$E45,1,Control!$B$10))^DK5*INDEX($B$13:$M$13,1,MOD(110-1,12)+1)</f>
        <v/>
      </c>
      <c r="DL45" s="34">
        <f>($B45/12)*(1+INDEX($C45:$E45,1,Control!$B$10))^DL5*INDEX($B$13:$M$13,1,MOD(111-1,12)+1)</f>
        <v/>
      </c>
      <c r="DM45" s="34">
        <f>($B45/12)*(1+INDEX($C45:$E45,1,Control!$B$10))^DM5*INDEX($B$13:$M$13,1,MOD(112-1,12)+1)</f>
        <v/>
      </c>
      <c r="DN45" s="34">
        <f>($B45/12)*(1+INDEX($C45:$E45,1,Control!$B$10))^DN5*INDEX($B$13:$M$13,1,MOD(113-1,12)+1)</f>
        <v/>
      </c>
      <c r="DO45" s="34">
        <f>($B45/12)*(1+INDEX($C45:$E45,1,Control!$B$10))^DO5*INDEX($B$13:$M$13,1,MOD(114-1,12)+1)</f>
        <v/>
      </c>
      <c r="DP45" s="34">
        <f>($B45/12)*(1+INDEX($C45:$E45,1,Control!$B$10))^DP5*INDEX($B$13:$M$13,1,MOD(115-1,12)+1)</f>
        <v/>
      </c>
      <c r="DQ45" s="34">
        <f>($B45/12)*(1+INDEX($C45:$E45,1,Control!$B$10))^DQ5*INDEX($B$13:$M$13,1,MOD(116-1,12)+1)</f>
        <v/>
      </c>
      <c r="DR45" s="34">
        <f>($B45/12)*(1+INDEX($C45:$E45,1,Control!$B$10))^DR5*INDEX($B$13:$M$13,1,MOD(117-1,12)+1)</f>
        <v/>
      </c>
      <c r="DS45" s="34">
        <f>($B45/12)*(1+INDEX($C45:$E45,1,Control!$B$10))^DS5*INDEX($B$13:$M$13,1,MOD(118-1,12)+1)</f>
        <v/>
      </c>
      <c r="DT45" s="34">
        <f>($B45/12)*(1+INDEX($C45:$E45,1,Control!$B$10))^DT5*INDEX($B$13:$M$13,1,MOD(119-1,12)+1)</f>
        <v/>
      </c>
      <c r="DU45" s="34">
        <f>($B45/12)*(1+INDEX($C45:$E45,1,Control!$B$10))^DU5*INDEX($B$13:$M$13,1,MOD(120-1,12)+1)</f>
        <v/>
      </c>
    </row>
    <row r="46">
      <c r="A46" t="inlineStr">
        <is>
          <t>HarborIPA-Cans-OffTrade</t>
        </is>
      </c>
      <c r="B46" s="33" t="n">
        <v>25000</v>
      </c>
      <c r="C46" s="22" t="n">
        <v>0.05</v>
      </c>
      <c r="D46" s="22" t="n">
        <v>0.07000000000000001</v>
      </c>
      <c r="E46" s="22" t="n">
        <v>0.03</v>
      </c>
      <c r="F46" s="34">
        <f>($B46/12)*(1+INDEX($C46:$E46,1,Control!$B$10))^F5*INDEX($B$13:$M$13,1,MOD(1-1,12)+1)</f>
        <v/>
      </c>
      <c r="G46" s="34">
        <f>($B46/12)*(1+INDEX($C46:$E46,1,Control!$B$10))^G5*INDEX($B$13:$M$13,1,MOD(2-1,12)+1)</f>
        <v/>
      </c>
      <c r="H46" s="34">
        <f>($B46/12)*(1+INDEX($C46:$E46,1,Control!$B$10))^H5*INDEX($B$13:$M$13,1,MOD(3-1,12)+1)</f>
        <v/>
      </c>
      <c r="I46" s="34">
        <f>($B46/12)*(1+INDEX($C46:$E46,1,Control!$B$10))^I5*INDEX($B$13:$M$13,1,MOD(4-1,12)+1)</f>
        <v/>
      </c>
      <c r="J46" s="34">
        <f>($B46/12)*(1+INDEX($C46:$E46,1,Control!$B$10))^J5*INDEX($B$13:$M$13,1,MOD(5-1,12)+1)</f>
        <v/>
      </c>
      <c r="K46" s="34">
        <f>($B46/12)*(1+INDEX($C46:$E46,1,Control!$B$10))^K5*INDEX($B$13:$M$13,1,MOD(6-1,12)+1)</f>
        <v/>
      </c>
      <c r="L46" s="34">
        <f>($B46/12)*(1+INDEX($C46:$E46,1,Control!$B$10))^L5*INDEX($B$13:$M$13,1,MOD(7-1,12)+1)</f>
        <v/>
      </c>
      <c r="M46" s="34">
        <f>($B46/12)*(1+INDEX($C46:$E46,1,Control!$B$10))^M5*INDEX($B$13:$M$13,1,MOD(8-1,12)+1)</f>
        <v/>
      </c>
      <c r="N46" s="34">
        <f>($B46/12)*(1+INDEX($C46:$E46,1,Control!$B$10))^N5*INDEX($B$13:$M$13,1,MOD(9-1,12)+1)</f>
        <v/>
      </c>
      <c r="O46" s="34">
        <f>($B46/12)*(1+INDEX($C46:$E46,1,Control!$B$10))^O5*INDEX($B$13:$M$13,1,MOD(10-1,12)+1)</f>
        <v/>
      </c>
      <c r="P46" s="34">
        <f>($B46/12)*(1+INDEX($C46:$E46,1,Control!$B$10))^P5*INDEX($B$13:$M$13,1,MOD(11-1,12)+1)</f>
        <v/>
      </c>
      <c r="Q46" s="34">
        <f>($B46/12)*(1+INDEX($C46:$E46,1,Control!$B$10))^Q5*INDEX($B$13:$M$13,1,MOD(12-1,12)+1)</f>
        <v/>
      </c>
      <c r="R46" s="34">
        <f>($B46/12)*(1+INDEX($C46:$E46,1,Control!$B$10))^R5*INDEX($B$13:$M$13,1,MOD(13-1,12)+1)</f>
        <v/>
      </c>
      <c r="S46" s="34">
        <f>($B46/12)*(1+INDEX($C46:$E46,1,Control!$B$10))^S5*INDEX($B$13:$M$13,1,MOD(14-1,12)+1)</f>
        <v/>
      </c>
      <c r="T46" s="34">
        <f>($B46/12)*(1+INDEX($C46:$E46,1,Control!$B$10))^T5*INDEX($B$13:$M$13,1,MOD(15-1,12)+1)</f>
        <v/>
      </c>
      <c r="U46" s="34">
        <f>($B46/12)*(1+INDEX($C46:$E46,1,Control!$B$10))^U5*INDEX($B$13:$M$13,1,MOD(16-1,12)+1)</f>
        <v/>
      </c>
      <c r="V46" s="34">
        <f>($B46/12)*(1+INDEX($C46:$E46,1,Control!$B$10))^V5*INDEX($B$13:$M$13,1,MOD(17-1,12)+1)</f>
        <v/>
      </c>
      <c r="W46" s="34">
        <f>($B46/12)*(1+INDEX($C46:$E46,1,Control!$B$10))^W5*INDEX($B$13:$M$13,1,MOD(18-1,12)+1)</f>
        <v/>
      </c>
      <c r="X46" s="34">
        <f>($B46/12)*(1+INDEX($C46:$E46,1,Control!$B$10))^X5*INDEX($B$13:$M$13,1,MOD(19-1,12)+1)</f>
        <v/>
      </c>
      <c r="Y46" s="34">
        <f>($B46/12)*(1+INDEX($C46:$E46,1,Control!$B$10))^Y5*INDEX($B$13:$M$13,1,MOD(20-1,12)+1)</f>
        <v/>
      </c>
      <c r="Z46" s="34">
        <f>($B46/12)*(1+INDEX($C46:$E46,1,Control!$B$10))^Z5*INDEX($B$13:$M$13,1,MOD(21-1,12)+1)</f>
        <v/>
      </c>
      <c r="AA46" s="34">
        <f>($B46/12)*(1+INDEX($C46:$E46,1,Control!$B$10))^AA5*INDEX($B$13:$M$13,1,MOD(22-1,12)+1)</f>
        <v/>
      </c>
      <c r="AB46" s="34">
        <f>($B46/12)*(1+INDEX($C46:$E46,1,Control!$B$10))^AB5*INDEX($B$13:$M$13,1,MOD(23-1,12)+1)</f>
        <v/>
      </c>
      <c r="AC46" s="34">
        <f>($B46/12)*(1+INDEX($C46:$E46,1,Control!$B$10))^AC5*INDEX($B$13:$M$13,1,MOD(24-1,12)+1)</f>
        <v/>
      </c>
      <c r="AD46" s="34">
        <f>($B46/12)*(1+INDEX($C46:$E46,1,Control!$B$10))^AD5*INDEX($B$13:$M$13,1,MOD(25-1,12)+1)</f>
        <v/>
      </c>
      <c r="AE46" s="34">
        <f>($B46/12)*(1+INDEX($C46:$E46,1,Control!$B$10))^AE5*INDEX($B$13:$M$13,1,MOD(26-1,12)+1)</f>
        <v/>
      </c>
      <c r="AF46" s="34">
        <f>($B46/12)*(1+INDEX($C46:$E46,1,Control!$B$10))^AF5*INDEX($B$13:$M$13,1,MOD(27-1,12)+1)</f>
        <v/>
      </c>
      <c r="AG46" s="34">
        <f>($B46/12)*(1+INDEX($C46:$E46,1,Control!$B$10))^AG5*INDEX($B$13:$M$13,1,MOD(28-1,12)+1)</f>
        <v/>
      </c>
      <c r="AH46" s="34">
        <f>($B46/12)*(1+INDEX($C46:$E46,1,Control!$B$10))^AH5*INDEX($B$13:$M$13,1,MOD(29-1,12)+1)</f>
        <v/>
      </c>
      <c r="AI46" s="34">
        <f>($B46/12)*(1+INDEX($C46:$E46,1,Control!$B$10))^AI5*INDEX($B$13:$M$13,1,MOD(30-1,12)+1)</f>
        <v/>
      </c>
      <c r="AJ46" s="34">
        <f>($B46/12)*(1+INDEX($C46:$E46,1,Control!$B$10))^AJ5*INDEX($B$13:$M$13,1,MOD(31-1,12)+1)</f>
        <v/>
      </c>
      <c r="AK46" s="34">
        <f>($B46/12)*(1+INDEX($C46:$E46,1,Control!$B$10))^AK5*INDEX($B$13:$M$13,1,MOD(32-1,12)+1)</f>
        <v/>
      </c>
      <c r="AL46" s="34">
        <f>($B46/12)*(1+INDEX($C46:$E46,1,Control!$B$10))^AL5*INDEX($B$13:$M$13,1,MOD(33-1,12)+1)</f>
        <v/>
      </c>
      <c r="AM46" s="34">
        <f>($B46/12)*(1+INDEX($C46:$E46,1,Control!$B$10))^AM5*INDEX($B$13:$M$13,1,MOD(34-1,12)+1)</f>
        <v/>
      </c>
      <c r="AN46" s="34">
        <f>($B46/12)*(1+INDEX($C46:$E46,1,Control!$B$10))^AN5*INDEX($B$13:$M$13,1,MOD(35-1,12)+1)</f>
        <v/>
      </c>
      <c r="AO46" s="34">
        <f>($B46/12)*(1+INDEX($C46:$E46,1,Control!$B$10))^AO5*INDEX($B$13:$M$13,1,MOD(36-1,12)+1)</f>
        <v/>
      </c>
      <c r="AP46" s="34">
        <f>($B46/12)*(1+INDEX($C46:$E46,1,Control!$B$10))^AP5*INDEX($B$13:$M$13,1,MOD(37-1,12)+1)</f>
        <v/>
      </c>
      <c r="AQ46" s="34">
        <f>($B46/12)*(1+INDEX($C46:$E46,1,Control!$B$10))^AQ5*INDEX($B$13:$M$13,1,MOD(38-1,12)+1)</f>
        <v/>
      </c>
      <c r="AR46" s="34">
        <f>($B46/12)*(1+INDEX($C46:$E46,1,Control!$B$10))^AR5*INDEX($B$13:$M$13,1,MOD(39-1,12)+1)</f>
        <v/>
      </c>
      <c r="AS46" s="34">
        <f>($B46/12)*(1+INDEX($C46:$E46,1,Control!$B$10))^AS5*INDEX($B$13:$M$13,1,MOD(40-1,12)+1)</f>
        <v/>
      </c>
      <c r="AT46" s="34">
        <f>($B46/12)*(1+INDEX($C46:$E46,1,Control!$B$10))^AT5*INDEX($B$13:$M$13,1,MOD(41-1,12)+1)</f>
        <v/>
      </c>
      <c r="AU46" s="34">
        <f>($B46/12)*(1+INDEX($C46:$E46,1,Control!$B$10))^AU5*INDEX($B$13:$M$13,1,MOD(42-1,12)+1)</f>
        <v/>
      </c>
      <c r="AV46" s="34">
        <f>($B46/12)*(1+INDEX($C46:$E46,1,Control!$B$10))^AV5*INDEX($B$13:$M$13,1,MOD(43-1,12)+1)</f>
        <v/>
      </c>
      <c r="AW46" s="34">
        <f>($B46/12)*(1+INDEX($C46:$E46,1,Control!$B$10))^AW5*INDEX($B$13:$M$13,1,MOD(44-1,12)+1)</f>
        <v/>
      </c>
      <c r="AX46" s="34">
        <f>($B46/12)*(1+INDEX($C46:$E46,1,Control!$B$10))^AX5*INDEX($B$13:$M$13,1,MOD(45-1,12)+1)</f>
        <v/>
      </c>
      <c r="AY46" s="34">
        <f>($B46/12)*(1+INDEX($C46:$E46,1,Control!$B$10))^AY5*INDEX($B$13:$M$13,1,MOD(46-1,12)+1)</f>
        <v/>
      </c>
      <c r="AZ46" s="34">
        <f>($B46/12)*(1+INDEX($C46:$E46,1,Control!$B$10))^AZ5*INDEX($B$13:$M$13,1,MOD(47-1,12)+1)</f>
        <v/>
      </c>
      <c r="BA46" s="34">
        <f>($B46/12)*(1+INDEX($C46:$E46,1,Control!$B$10))^BA5*INDEX($B$13:$M$13,1,MOD(48-1,12)+1)</f>
        <v/>
      </c>
      <c r="BB46" s="34">
        <f>($B46/12)*(1+INDEX($C46:$E46,1,Control!$B$10))^BB5*INDEX($B$13:$M$13,1,MOD(49-1,12)+1)</f>
        <v/>
      </c>
      <c r="BC46" s="34">
        <f>($B46/12)*(1+INDEX($C46:$E46,1,Control!$B$10))^BC5*INDEX($B$13:$M$13,1,MOD(50-1,12)+1)</f>
        <v/>
      </c>
      <c r="BD46" s="34">
        <f>($B46/12)*(1+INDEX($C46:$E46,1,Control!$B$10))^BD5*INDEX($B$13:$M$13,1,MOD(51-1,12)+1)</f>
        <v/>
      </c>
      <c r="BE46" s="34">
        <f>($B46/12)*(1+INDEX($C46:$E46,1,Control!$B$10))^BE5*INDEX($B$13:$M$13,1,MOD(52-1,12)+1)</f>
        <v/>
      </c>
      <c r="BF46" s="34">
        <f>($B46/12)*(1+INDEX($C46:$E46,1,Control!$B$10))^BF5*INDEX($B$13:$M$13,1,MOD(53-1,12)+1)</f>
        <v/>
      </c>
      <c r="BG46" s="34">
        <f>($B46/12)*(1+INDEX($C46:$E46,1,Control!$B$10))^BG5*INDEX($B$13:$M$13,1,MOD(54-1,12)+1)</f>
        <v/>
      </c>
      <c r="BH46" s="34">
        <f>($B46/12)*(1+INDEX($C46:$E46,1,Control!$B$10))^BH5*INDEX($B$13:$M$13,1,MOD(55-1,12)+1)</f>
        <v/>
      </c>
      <c r="BI46" s="34">
        <f>($B46/12)*(1+INDEX($C46:$E46,1,Control!$B$10))^BI5*INDEX($B$13:$M$13,1,MOD(56-1,12)+1)</f>
        <v/>
      </c>
      <c r="BJ46" s="34">
        <f>($B46/12)*(1+INDEX($C46:$E46,1,Control!$B$10))^BJ5*INDEX($B$13:$M$13,1,MOD(57-1,12)+1)</f>
        <v/>
      </c>
      <c r="BK46" s="34">
        <f>($B46/12)*(1+INDEX($C46:$E46,1,Control!$B$10))^BK5*INDEX($B$13:$M$13,1,MOD(58-1,12)+1)</f>
        <v/>
      </c>
      <c r="BL46" s="34">
        <f>($B46/12)*(1+INDEX($C46:$E46,1,Control!$B$10))^BL5*INDEX($B$13:$M$13,1,MOD(59-1,12)+1)</f>
        <v/>
      </c>
      <c r="BM46" s="34">
        <f>($B46/12)*(1+INDEX($C46:$E46,1,Control!$B$10))^BM5*INDEX($B$13:$M$13,1,MOD(60-1,12)+1)</f>
        <v/>
      </c>
      <c r="BN46" s="34">
        <f>($B46/12)*(1+INDEX($C46:$E46,1,Control!$B$10))^BN5*INDEX($B$13:$M$13,1,MOD(61-1,12)+1)</f>
        <v/>
      </c>
      <c r="BO46" s="34">
        <f>($B46/12)*(1+INDEX($C46:$E46,1,Control!$B$10))^BO5*INDEX($B$13:$M$13,1,MOD(62-1,12)+1)</f>
        <v/>
      </c>
      <c r="BP46" s="34">
        <f>($B46/12)*(1+INDEX($C46:$E46,1,Control!$B$10))^BP5*INDEX($B$13:$M$13,1,MOD(63-1,12)+1)</f>
        <v/>
      </c>
      <c r="BQ46" s="34">
        <f>($B46/12)*(1+INDEX($C46:$E46,1,Control!$B$10))^BQ5*INDEX($B$13:$M$13,1,MOD(64-1,12)+1)</f>
        <v/>
      </c>
      <c r="BR46" s="34">
        <f>($B46/12)*(1+INDEX($C46:$E46,1,Control!$B$10))^BR5*INDEX($B$13:$M$13,1,MOD(65-1,12)+1)</f>
        <v/>
      </c>
      <c r="BS46" s="34">
        <f>($B46/12)*(1+INDEX($C46:$E46,1,Control!$B$10))^BS5*INDEX($B$13:$M$13,1,MOD(66-1,12)+1)</f>
        <v/>
      </c>
      <c r="BT46" s="34">
        <f>($B46/12)*(1+INDEX($C46:$E46,1,Control!$B$10))^BT5*INDEX($B$13:$M$13,1,MOD(67-1,12)+1)</f>
        <v/>
      </c>
      <c r="BU46" s="34">
        <f>($B46/12)*(1+INDEX($C46:$E46,1,Control!$B$10))^BU5*INDEX($B$13:$M$13,1,MOD(68-1,12)+1)</f>
        <v/>
      </c>
      <c r="BV46" s="34">
        <f>($B46/12)*(1+INDEX($C46:$E46,1,Control!$B$10))^BV5*INDEX($B$13:$M$13,1,MOD(69-1,12)+1)</f>
        <v/>
      </c>
      <c r="BW46" s="34">
        <f>($B46/12)*(1+INDEX($C46:$E46,1,Control!$B$10))^BW5*INDEX($B$13:$M$13,1,MOD(70-1,12)+1)</f>
        <v/>
      </c>
      <c r="BX46" s="34">
        <f>($B46/12)*(1+INDEX($C46:$E46,1,Control!$B$10))^BX5*INDEX($B$13:$M$13,1,MOD(71-1,12)+1)</f>
        <v/>
      </c>
      <c r="BY46" s="34">
        <f>($B46/12)*(1+INDEX($C46:$E46,1,Control!$B$10))^BY5*INDEX($B$13:$M$13,1,MOD(72-1,12)+1)</f>
        <v/>
      </c>
      <c r="BZ46" s="34">
        <f>($B46/12)*(1+INDEX($C46:$E46,1,Control!$B$10))^BZ5*INDEX($B$13:$M$13,1,MOD(73-1,12)+1)</f>
        <v/>
      </c>
      <c r="CA46" s="34">
        <f>($B46/12)*(1+INDEX($C46:$E46,1,Control!$B$10))^CA5*INDEX($B$13:$M$13,1,MOD(74-1,12)+1)</f>
        <v/>
      </c>
      <c r="CB46" s="34">
        <f>($B46/12)*(1+INDEX($C46:$E46,1,Control!$B$10))^CB5*INDEX($B$13:$M$13,1,MOD(75-1,12)+1)</f>
        <v/>
      </c>
      <c r="CC46" s="34">
        <f>($B46/12)*(1+INDEX($C46:$E46,1,Control!$B$10))^CC5*INDEX($B$13:$M$13,1,MOD(76-1,12)+1)</f>
        <v/>
      </c>
      <c r="CD46" s="34">
        <f>($B46/12)*(1+INDEX($C46:$E46,1,Control!$B$10))^CD5*INDEX($B$13:$M$13,1,MOD(77-1,12)+1)</f>
        <v/>
      </c>
      <c r="CE46" s="34">
        <f>($B46/12)*(1+INDEX($C46:$E46,1,Control!$B$10))^CE5*INDEX($B$13:$M$13,1,MOD(78-1,12)+1)</f>
        <v/>
      </c>
      <c r="CF46" s="34">
        <f>($B46/12)*(1+INDEX($C46:$E46,1,Control!$B$10))^CF5*INDEX($B$13:$M$13,1,MOD(79-1,12)+1)</f>
        <v/>
      </c>
      <c r="CG46" s="34">
        <f>($B46/12)*(1+INDEX($C46:$E46,1,Control!$B$10))^CG5*INDEX($B$13:$M$13,1,MOD(80-1,12)+1)</f>
        <v/>
      </c>
      <c r="CH46" s="34">
        <f>($B46/12)*(1+INDEX($C46:$E46,1,Control!$B$10))^CH5*INDEX($B$13:$M$13,1,MOD(81-1,12)+1)</f>
        <v/>
      </c>
      <c r="CI46" s="34">
        <f>($B46/12)*(1+INDEX($C46:$E46,1,Control!$B$10))^CI5*INDEX($B$13:$M$13,1,MOD(82-1,12)+1)</f>
        <v/>
      </c>
      <c r="CJ46" s="34">
        <f>($B46/12)*(1+INDEX($C46:$E46,1,Control!$B$10))^CJ5*INDEX($B$13:$M$13,1,MOD(83-1,12)+1)</f>
        <v/>
      </c>
      <c r="CK46" s="34">
        <f>($B46/12)*(1+INDEX($C46:$E46,1,Control!$B$10))^CK5*INDEX($B$13:$M$13,1,MOD(84-1,12)+1)</f>
        <v/>
      </c>
      <c r="CL46" s="34">
        <f>($B46/12)*(1+INDEX($C46:$E46,1,Control!$B$10))^CL5*INDEX($B$13:$M$13,1,MOD(85-1,12)+1)</f>
        <v/>
      </c>
      <c r="CM46" s="34">
        <f>($B46/12)*(1+INDEX($C46:$E46,1,Control!$B$10))^CM5*INDEX($B$13:$M$13,1,MOD(86-1,12)+1)</f>
        <v/>
      </c>
      <c r="CN46" s="34">
        <f>($B46/12)*(1+INDEX($C46:$E46,1,Control!$B$10))^CN5*INDEX($B$13:$M$13,1,MOD(87-1,12)+1)</f>
        <v/>
      </c>
      <c r="CO46" s="34">
        <f>($B46/12)*(1+INDEX($C46:$E46,1,Control!$B$10))^CO5*INDEX($B$13:$M$13,1,MOD(88-1,12)+1)</f>
        <v/>
      </c>
      <c r="CP46" s="34">
        <f>($B46/12)*(1+INDEX($C46:$E46,1,Control!$B$10))^CP5*INDEX($B$13:$M$13,1,MOD(89-1,12)+1)</f>
        <v/>
      </c>
      <c r="CQ46" s="34">
        <f>($B46/12)*(1+INDEX($C46:$E46,1,Control!$B$10))^CQ5*INDEX($B$13:$M$13,1,MOD(90-1,12)+1)</f>
        <v/>
      </c>
      <c r="CR46" s="34">
        <f>($B46/12)*(1+INDEX($C46:$E46,1,Control!$B$10))^CR5*INDEX($B$13:$M$13,1,MOD(91-1,12)+1)</f>
        <v/>
      </c>
      <c r="CS46" s="34">
        <f>($B46/12)*(1+INDEX($C46:$E46,1,Control!$B$10))^CS5*INDEX($B$13:$M$13,1,MOD(92-1,12)+1)</f>
        <v/>
      </c>
      <c r="CT46" s="34">
        <f>($B46/12)*(1+INDEX($C46:$E46,1,Control!$B$10))^CT5*INDEX($B$13:$M$13,1,MOD(93-1,12)+1)</f>
        <v/>
      </c>
      <c r="CU46" s="34">
        <f>($B46/12)*(1+INDEX($C46:$E46,1,Control!$B$10))^CU5*INDEX($B$13:$M$13,1,MOD(94-1,12)+1)</f>
        <v/>
      </c>
      <c r="CV46" s="34">
        <f>($B46/12)*(1+INDEX($C46:$E46,1,Control!$B$10))^CV5*INDEX($B$13:$M$13,1,MOD(95-1,12)+1)</f>
        <v/>
      </c>
      <c r="CW46" s="34">
        <f>($B46/12)*(1+INDEX($C46:$E46,1,Control!$B$10))^CW5*INDEX($B$13:$M$13,1,MOD(96-1,12)+1)</f>
        <v/>
      </c>
      <c r="CX46" s="34">
        <f>($B46/12)*(1+INDEX($C46:$E46,1,Control!$B$10))^CX5*INDEX($B$13:$M$13,1,MOD(97-1,12)+1)</f>
        <v/>
      </c>
      <c r="CY46" s="34">
        <f>($B46/12)*(1+INDEX($C46:$E46,1,Control!$B$10))^CY5*INDEX($B$13:$M$13,1,MOD(98-1,12)+1)</f>
        <v/>
      </c>
      <c r="CZ46" s="34">
        <f>($B46/12)*(1+INDEX($C46:$E46,1,Control!$B$10))^CZ5*INDEX($B$13:$M$13,1,MOD(99-1,12)+1)</f>
        <v/>
      </c>
      <c r="DA46" s="34">
        <f>($B46/12)*(1+INDEX($C46:$E46,1,Control!$B$10))^DA5*INDEX($B$13:$M$13,1,MOD(100-1,12)+1)</f>
        <v/>
      </c>
      <c r="DB46" s="34">
        <f>($B46/12)*(1+INDEX($C46:$E46,1,Control!$B$10))^DB5*INDEX($B$13:$M$13,1,MOD(101-1,12)+1)</f>
        <v/>
      </c>
      <c r="DC46" s="34">
        <f>($B46/12)*(1+INDEX($C46:$E46,1,Control!$B$10))^DC5*INDEX($B$13:$M$13,1,MOD(102-1,12)+1)</f>
        <v/>
      </c>
      <c r="DD46" s="34">
        <f>($B46/12)*(1+INDEX($C46:$E46,1,Control!$B$10))^DD5*INDEX($B$13:$M$13,1,MOD(103-1,12)+1)</f>
        <v/>
      </c>
      <c r="DE46" s="34">
        <f>($B46/12)*(1+INDEX($C46:$E46,1,Control!$B$10))^DE5*INDEX($B$13:$M$13,1,MOD(104-1,12)+1)</f>
        <v/>
      </c>
      <c r="DF46" s="34">
        <f>($B46/12)*(1+INDEX($C46:$E46,1,Control!$B$10))^DF5*INDEX($B$13:$M$13,1,MOD(105-1,12)+1)</f>
        <v/>
      </c>
      <c r="DG46" s="34">
        <f>($B46/12)*(1+INDEX($C46:$E46,1,Control!$B$10))^DG5*INDEX($B$13:$M$13,1,MOD(106-1,12)+1)</f>
        <v/>
      </c>
      <c r="DH46" s="34">
        <f>($B46/12)*(1+INDEX($C46:$E46,1,Control!$B$10))^DH5*INDEX($B$13:$M$13,1,MOD(107-1,12)+1)</f>
        <v/>
      </c>
      <c r="DI46" s="34">
        <f>($B46/12)*(1+INDEX($C46:$E46,1,Control!$B$10))^DI5*INDEX($B$13:$M$13,1,MOD(108-1,12)+1)</f>
        <v/>
      </c>
      <c r="DJ46" s="34">
        <f>($B46/12)*(1+INDEX($C46:$E46,1,Control!$B$10))^DJ5*INDEX($B$13:$M$13,1,MOD(109-1,12)+1)</f>
        <v/>
      </c>
      <c r="DK46" s="34">
        <f>($B46/12)*(1+INDEX($C46:$E46,1,Control!$B$10))^DK5*INDEX($B$13:$M$13,1,MOD(110-1,12)+1)</f>
        <v/>
      </c>
      <c r="DL46" s="34">
        <f>($B46/12)*(1+INDEX($C46:$E46,1,Control!$B$10))^DL5*INDEX($B$13:$M$13,1,MOD(111-1,12)+1)</f>
        <v/>
      </c>
      <c r="DM46" s="34">
        <f>($B46/12)*(1+INDEX($C46:$E46,1,Control!$B$10))^DM5*INDEX($B$13:$M$13,1,MOD(112-1,12)+1)</f>
        <v/>
      </c>
      <c r="DN46" s="34">
        <f>($B46/12)*(1+INDEX($C46:$E46,1,Control!$B$10))^DN5*INDEX($B$13:$M$13,1,MOD(113-1,12)+1)</f>
        <v/>
      </c>
      <c r="DO46" s="34">
        <f>($B46/12)*(1+INDEX($C46:$E46,1,Control!$B$10))^DO5*INDEX($B$13:$M$13,1,MOD(114-1,12)+1)</f>
        <v/>
      </c>
      <c r="DP46" s="34">
        <f>($B46/12)*(1+INDEX($C46:$E46,1,Control!$B$10))^DP5*INDEX($B$13:$M$13,1,MOD(115-1,12)+1)</f>
        <v/>
      </c>
      <c r="DQ46" s="34">
        <f>($B46/12)*(1+INDEX($C46:$E46,1,Control!$B$10))^DQ5*INDEX($B$13:$M$13,1,MOD(116-1,12)+1)</f>
        <v/>
      </c>
      <c r="DR46" s="34">
        <f>($B46/12)*(1+INDEX($C46:$E46,1,Control!$B$10))^DR5*INDEX($B$13:$M$13,1,MOD(117-1,12)+1)</f>
        <v/>
      </c>
      <c r="DS46" s="34">
        <f>($B46/12)*(1+INDEX($C46:$E46,1,Control!$B$10))^DS5*INDEX($B$13:$M$13,1,MOD(118-1,12)+1)</f>
        <v/>
      </c>
      <c r="DT46" s="34">
        <f>($B46/12)*(1+INDEX($C46:$E46,1,Control!$B$10))^DT5*INDEX($B$13:$M$13,1,MOD(119-1,12)+1)</f>
        <v/>
      </c>
      <c r="DU46" s="34">
        <f>($B46/12)*(1+INDEX($C46:$E46,1,Control!$B$10))^DU5*INDEX($B$13:$M$13,1,MOD(120-1,12)+1)</f>
        <v/>
      </c>
    </row>
    <row r="47">
      <c r="A47" t="inlineStr">
        <is>
          <t>HarborIPA-Kegs-OnTrade</t>
        </is>
      </c>
      <c r="B47" s="33" t="n">
        <v>15000</v>
      </c>
      <c r="C47" s="22" t="n">
        <v>0.05</v>
      </c>
      <c r="D47" s="22" t="n">
        <v>0.07000000000000001</v>
      </c>
      <c r="E47" s="22" t="n">
        <v>0.03</v>
      </c>
      <c r="F47" s="34">
        <f>($B47/12)*(1+INDEX($C47:$E47,1,Control!$B$10))^F5*INDEX($B$13:$M$13,1,MOD(1-1,12)+1)</f>
        <v/>
      </c>
      <c r="G47" s="34">
        <f>($B47/12)*(1+INDEX($C47:$E47,1,Control!$B$10))^G5*INDEX($B$13:$M$13,1,MOD(2-1,12)+1)</f>
        <v/>
      </c>
      <c r="H47" s="34">
        <f>($B47/12)*(1+INDEX($C47:$E47,1,Control!$B$10))^H5*INDEX($B$13:$M$13,1,MOD(3-1,12)+1)</f>
        <v/>
      </c>
      <c r="I47" s="34">
        <f>($B47/12)*(1+INDEX($C47:$E47,1,Control!$B$10))^I5*INDEX($B$13:$M$13,1,MOD(4-1,12)+1)</f>
        <v/>
      </c>
      <c r="J47" s="34">
        <f>($B47/12)*(1+INDEX($C47:$E47,1,Control!$B$10))^J5*INDEX($B$13:$M$13,1,MOD(5-1,12)+1)</f>
        <v/>
      </c>
      <c r="K47" s="34">
        <f>($B47/12)*(1+INDEX($C47:$E47,1,Control!$B$10))^K5*INDEX($B$13:$M$13,1,MOD(6-1,12)+1)</f>
        <v/>
      </c>
      <c r="L47" s="34">
        <f>($B47/12)*(1+INDEX($C47:$E47,1,Control!$B$10))^L5*INDEX($B$13:$M$13,1,MOD(7-1,12)+1)</f>
        <v/>
      </c>
      <c r="M47" s="34">
        <f>($B47/12)*(1+INDEX($C47:$E47,1,Control!$B$10))^M5*INDEX($B$13:$M$13,1,MOD(8-1,12)+1)</f>
        <v/>
      </c>
      <c r="N47" s="34">
        <f>($B47/12)*(1+INDEX($C47:$E47,1,Control!$B$10))^N5*INDEX($B$13:$M$13,1,MOD(9-1,12)+1)</f>
        <v/>
      </c>
      <c r="O47" s="34">
        <f>($B47/12)*(1+INDEX($C47:$E47,1,Control!$B$10))^O5*INDEX($B$13:$M$13,1,MOD(10-1,12)+1)</f>
        <v/>
      </c>
      <c r="P47" s="34">
        <f>($B47/12)*(1+INDEX($C47:$E47,1,Control!$B$10))^P5*INDEX($B$13:$M$13,1,MOD(11-1,12)+1)</f>
        <v/>
      </c>
      <c r="Q47" s="34">
        <f>($B47/12)*(1+INDEX($C47:$E47,1,Control!$B$10))^Q5*INDEX($B$13:$M$13,1,MOD(12-1,12)+1)</f>
        <v/>
      </c>
      <c r="R47" s="34">
        <f>($B47/12)*(1+INDEX($C47:$E47,1,Control!$B$10))^R5*INDEX($B$13:$M$13,1,MOD(13-1,12)+1)</f>
        <v/>
      </c>
      <c r="S47" s="34">
        <f>($B47/12)*(1+INDEX($C47:$E47,1,Control!$B$10))^S5*INDEX($B$13:$M$13,1,MOD(14-1,12)+1)</f>
        <v/>
      </c>
      <c r="T47" s="34">
        <f>($B47/12)*(1+INDEX($C47:$E47,1,Control!$B$10))^T5*INDEX($B$13:$M$13,1,MOD(15-1,12)+1)</f>
        <v/>
      </c>
      <c r="U47" s="34">
        <f>($B47/12)*(1+INDEX($C47:$E47,1,Control!$B$10))^U5*INDEX($B$13:$M$13,1,MOD(16-1,12)+1)</f>
        <v/>
      </c>
      <c r="V47" s="34">
        <f>($B47/12)*(1+INDEX($C47:$E47,1,Control!$B$10))^V5*INDEX($B$13:$M$13,1,MOD(17-1,12)+1)</f>
        <v/>
      </c>
      <c r="W47" s="34">
        <f>($B47/12)*(1+INDEX($C47:$E47,1,Control!$B$10))^W5*INDEX($B$13:$M$13,1,MOD(18-1,12)+1)</f>
        <v/>
      </c>
      <c r="X47" s="34">
        <f>($B47/12)*(1+INDEX($C47:$E47,1,Control!$B$10))^X5*INDEX($B$13:$M$13,1,MOD(19-1,12)+1)</f>
        <v/>
      </c>
      <c r="Y47" s="34">
        <f>($B47/12)*(1+INDEX($C47:$E47,1,Control!$B$10))^Y5*INDEX($B$13:$M$13,1,MOD(20-1,12)+1)</f>
        <v/>
      </c>
      <c r="Z47" s="34">
        <f>($B47/12)*(1+INDEX($C47:$E47,1,Control!$B$10))^Z5*INDEX($B$13:$M$13,1,MOD(21-1,12)+1)</f>
        <v/>
      </c>
      <c r="AA47" s="34">
        <f>($B47/12)*(1+INDEX($C47:$E47,1,Control!$B$10))^AA5*INDEX($B$13:$M$13,1,MOD(22-1,12)+1)</f>
        <v/>
      </c>
      <c r="AB47" s="34">
        <f>($B47/12)*(1+INDEX($C47:$E47,1,Control!$B$10))^AB5*INDEX($B$13:$M$13,1,MOD(23-1,12)+1)</f>
        <v/>
      </c>
      <c r="AC47" s="34">
        <f>($B47/12)*(1+INDEX($C47:$E47,1,Control!$B$10))^AC5*INDEX($B$13:$M$13,1,MOD(24-1,12)+1)</f>
        <v/>
      </c>
      <c r="AD47" s="34">
        <f>($B47/12)*(1+INDEX($C47:$E47,1,Control!$B$10))^AD5*INDEX($B$13:$M$13,1,MOD(25-1,12)+1)</f>
        <v/>
      </c>
      <c r="AE47" s="34">
        <f>($B47/12)*(1+INDEX($C47:$E47,1,Control!$B$10))^AE5*INDEX($B$13:$M$13,1,MOD(26-1,12)+1)</f>
        <v/>
      </c>
      <c r="AF47" s="34">
        <f>($B47/12)*(1+INDEX($C47:$E47,1,Control!$B$10))^AF5*INDEX($B$13:$M$13,1,MOD(27-1,12)+1)</f>
        <v/>
      </c>
      <c r="AG47" s="34">
        <f>($B47/12)*(1+INDEX($C47:$E47,1,Control!$B$10))^AG5*INDEX($B$13:$M$13,1,MOD(28-1,12)+1)</f>
        <v/>
      </c>
      <c r="AH47" s="34">
        <f>($B47/12)*(1+INDEX($C47:$E47,1,Control!$B$10))^AH5*INDEX($B$13:$M$13,1,MOD(29-1,12)+1)</f>
        <v/>
      </c>
      <c r="AI47" s="34">
        <f>($B47/12)*(1+INDEX($C47:$E47,1,Control!$B$10))^AI5*INDEX($B$13:$M$13,1,MOD(30-1,12)+1)</f>
        <v/>
      </c>
      <c r="AJ47" s="34">
        <f>($B47/12)*(1+INDEX($C47:$E47,1,Control!$B$10))^AJ5*INDEX($B$13:$M$13,1,MOD(31-1,12)+1)</f>
        <v/>
      </c>
      <c r="AK47" s="34">
        <f>($B47/12)*(1+INDEX($C47:$E47,1,Control!$B$10))^AK5*INDEX($B$13:$M$13,1,MOD(32-1,12)+1)</f>
        <v/>
      </c>
      <c r="AL47" s="34">
        <f>($B47/12)*(1+INDEX($C47:$E47,1,Control!$B$10))^AL5*INDEX($B$13:$M$13,1,MOD(33-1,12)+1)</f>
        <v/>
      </c>
      <c r="AM47" s="34">
        <f>($B47/12)*(1+INDEX($C47:$E47,1,Control!$B$10))^AM5*INDEX($B$13:$M$13,1,MOD(34-1,12)+1)</f>
        <v/>
      </c>
      <c r="AN47" s="34">
        <f>($B47/12)*(1+INDEX($C47:$E47,1,Control!$B$10))^AN5*INDEX($B$13:$M$13,1,MOD(35-1,12)+1)</f>
        <v/>
      </c>
      <c r="AO47" s="34">
        <f>($B47/12)*(1+INDEX($C47:$E47,1,Control!$B$10))^AO5*INDEX($B$13:$M$13,1,MOD(36-1,12)+1)</f>
        <v/>
      </c>
      <c r="AP47" s="34">
        <f>($B47/12)*(1+INDEX($C47:$E47,1,Control!$B$10))^AP5*INDEX($B$13:$M$13,1,MOD(37-1,12)+1)</f>
        <v/>
      </c>
      <c r="AQ47" s="34">
        <f>($B47/12)*(1+INDEX($C47:$E47,1,Control!$B$10))^AQ5*INDEX($B$13:$M$13,1,MOD(38-1,12)+1)</f>
        <v/>
      </c>
      <c r="AR47" s="34">
        <f>($B47/12)*(1+INDEX($C47:$E47,1,Control!$B$10))^AR5*INDEX($B$13:$M$13,1,MOD(39-1,12)+1)</f>
        <v/>
      </c>
      <c r="AS47" s="34">
        <f>($B47/12)*(1+INDEX($C47:$E47,1,Control!$B$10))^AS5*INDEX($B$13:$M$13,1,MOD(40-1,12)+1)</f>
        <v/>
      </c>
      <c r="AT47" s="34">
        <f>($B47/12)*(1+INDEX($C47:$E47,1,Control!$B$10))^AT5*INDEX($B$13:$M$13,1,MOD(41-1,12)+1)</f>
        <v/>
      </c>
      <c r="AU47" s="34">
        <f>($B47/12)*(1+INDEX($C47:$E47,1,Control!$B$10))^AU5*INDEX($B$13:$M$13,1,MOD(42-1,12)+1)</f>
        <v/>
      </c>
      <c r="AV47" s="34">
        <f>($B47/12)*(1+INDEX($C47:$E47,1,Control!$B$10))^AV5*INDEX($B$13:$M$13,1,MOD(43-1,12)+1)</f>
        <v/>
      </c>
      <c r="AW47" s="34">
        <f>($B47/12)*(1+INDEX($C47:$E47,1,Control!$B$10))^AW5*INDEX($B$13:$M$13,1,MOD(44-1,12)+1)</f>
        <v/>
      </c>
      <c r="AX47" s="34">
        <f>($B47/12)*(1+INDEX($C47:$E47,1,Control!$B$10))^AX5*INDEX($B$13:$M$13,1,MOD(45-1,12)+1)</f>
        <v/>
      </c>
      <c r="AY47" s="34">
        <f>($B47/12)*(1+INDEX($C47:$E47,1,Control!$B$10))^AY5*INDEX($B$13:$M$13,1,MOD(46-1,12)+1)</f>
        <v/>
      </c>
      <c r="AZ47" s="34">
        <f>($B47/12)*(1+INDEX($C47:$E47,1,Control!$B$10))^AZ5*INDEX($B$13:$M$13,1,MOD(47-1,12)+1)</f>
        <v/>
      </c>
      <c r="BA47" s="34">
        <f>($B47/12)*(1+INDEX($C47:$E47,1,Control!$B$10))^BA5*INDEX($B$13:$M$13,1,MOD(48-1,12)+1)</f>
        <v/>
      </c>
      <c r="BB47" s="34">
        <f>($B47/12)*(1+INDEX($C47:$E47,1,Control!$B$10))^BB5*INDEX($B$13:$M$13,1,MOD(49-1,12)+1)</f>
        <v/>
      </c>
      <c r="BC47" s="34">
        <f>($B47/12)*(1+INDEX($C47:$E47,1,Control!$B$10))^BC5*INDEX($B$13:$M$13,1,MOD(50-1,12)+1)</f>
        <v/>
      </c>
      <c r="BD47" s="34">
        <f>($B47/12)*(1+INDEX($C47:$E47,1,Control!$B$10))^BD5*INDEX($B$13:$M$13,1,MOD(51-1,12)+1)</f>
        <v/>
      </c>
      <c r="BE47" s="34">
        <f>($B47/12)*(1+INDEX($C47:$E47,1,Control!$B$10))^BE5*INDEX($B$13:$M$13,1,MOD(52-1,12)+1)</f>
        <v/>
      </c>
      <c r="BF47" s="34">
        <f>($B47/12)*(1+INDEX($C47:$E47,1,Control!$B$10))^BF5*INDEX($B$13:$M$13,1,MOD(53-1,12)+1)</f>
        <v/>
      </c>
      <c r="BG47" s="34">
        <f>($B47/12)*(1+INDEX($C47:$E47,1,Control!$B$10))^BG5*INDEX($B$13:$M$13,1,MOD(54-1,12)+1)</f>
        <v/>
      </c>
      <c r="BH47" s="34">
        <f>($B47/12)*(1+INDEX($C47:$E47,1,Control!$B$10))^BH5*INDEX($B$13:$M$13,1,MOD(55-1,12)+1)</f>
        <v/>
      </c>
      <c r="BI47" s="34">
        <f>($B47/12)*(1+INDEX($C47:$E47,1,Control!$B$10))^BI5*INDEX($B$13:$M$13,1,MOD(56-1,12)+1)</f>
        <v/>
      </c>
      <c r="BJ47" s="34">
        <f>($B47/12)*(1+INDEX($C47:$E47,1,Control!$B$10))^BJ5*INDEX($B$13:$M$13,1,MOD(57-1,12)+1)</f>
        <v/>
      </c>
      <c r="BK47" s="34">
        <f>($B47/12)*(1+INDEX($C47:$E47,1,Control!$B$10))^BK5*INDEX($B$13:$M$13,1,MOD(58-1,12)+1)</f>
        <v/>
      </c>
      <c r="BL47" s="34">
        <f>($B47/12)*(1+INDEX($C47:$E47,1,Control!$B$10))^BL5*INDEX($B$13:$M$13,1,MOD(59-1,12)+1)</f>
        <v/>
      </c>
      <c r="BM47" s="34">
        <f>($B47/12)*(1+INDEX($C47:$E47,1,Control!$B$10))^BM5*INDEX($B$13:$M$13,1,MOD(60-1,12)+1)</f>
        <v/>
      </c>
      <c r="BN47" s="34">
        <f>($B47/12)*(1+INDEX($C47:$E47,1,Control!$B$10))^BN5*INDEX($B$13:$M$13,1,MOD(61-1,12)+1)</f>
        <v/>
      </c>
      <c r="BO47" s="34">
        <f>($B47/12)*(1+INDEX($C47:$E47,1,Control!$B$10))^BO5*INDEX($B$13:$M$13,1,MOD(62-1,12)+1)</f>
        <v/>
      </c>
      <c r="BP47" s="34">
        <f>($B47/12)*(1+INDEX($C47:$E47,1,Control!$B$10))^BP5*INDEX($B$13:$M$13,1,MOD(63-1,12)+1)</f>
        <v/>
      </c>
      <c r="BQ47" s="34">
        <f>($B47/12)*(1+INDEX($C47:$E47,1,Control!$B$10))^BQ5*INDEX($B$13:$M$13,1,MOD(64-1,12)+1)</f>
        <v/>
      </c>
      <c r="BR47" s="34">
        <f>($B47/12)*(1+INDEX($C47:$E47,1,Control!$B$10))^BR5*INDEX($B$13:$M$13,1,MOD(65-1,12)+1)</f>
        <v/>
      </c>
      <c r="BS47" s="34">
        <f>($B47/12)*(1+INDEX($C47:$E47,1,Control!$B$10))^BS5*INDEX($B$13:$M$13,1,MOD(66-1,12)+1)</f>
        <v/>
      </c>
      <c r="BT47" s="34">
        <f>($B47/12)*(1+INDEX($C47:$E47,1,Control!$B$10))^BT5*INDEX($B$13:$M$13,1,MOD(67-1,12)+1)</f>
        <v/>
      </c>
      <c r="BU47" s="34">
        <f>($B47/12)*(1+INDEX($C47:$E47,1,Control!$B$10))^BU5*INDEX($B$13:$M$13,1,MOD(68-1,12)+1)</f>
        <v/>
      </c>
      <c r="BV47" s="34">
        <f>($B47/12)*(1+INDEX($C47:$E47,1,Control!$B$10))^BV5*INDEX($B$13:$M$13,1,MOD(69-1,12)+1)</f>
        <v/>
      </c>
      <c r="BW47" s="34">
        <f>($B47/12)*(1+INDEX($C47:$E47,1,Control!$B$10))^BW5*INDEX($B$13:$M$13,1,MOD(70-1,12)+1)</f>
        <v/>
      </c>
      <c r="BX47" s="34">
        <f>($B47/12)*(1+INDEX($C47:$E47,1,Control!$B$10))^BX5*INDEX($B$13:$M$13,1,MOD(71-1,12)+1)</f>
        <v/>
      </c>
      <c r="BY47" s="34">
        <f>($B47/12)*(1+INDEX($C47:$E47,1,Control!$B$10))^BY5*INDEX($B$13:$M$13,1,MOD(72-1,12)+1)</f>
        <v/>
      </c>
      <c r="BZ47" s="34">
        <f>($B47/12)*(1+INDEX($C47:$E47,1,Control!$B$10))^BZ5*INDEX($B$13:$M$13,1,MOD(73-1,12)+1)</f>
        <v/>
      </c>
      <c r="CA47" s="34">
        <f>($B47/12)*(1+INDEX($C47:$E47,1,Control!$B$10))^CA5*INDEX($B$13:$M$13,1,MOD(74-1,12)+1)</f>
        <v/>
      </c>
      <c r="CB47" s="34">
        <f>($B47/12)*(1+INDEX($C47:$E47,1,Control!$B$10))^CB5*INDEX($B$13:$M$13,1,MOD(75-1,12)+1)</f>
        <v/>
      </c>
      <c r="CC47" s="34">
        <f>($B47/12)*(1+INDEX($C47:$E47,1,Control!$B$10))^CC5*INDEX($B$13:$M$13,1,MOD(76-1,12)+1)</f>
        <v/>
      </c>
      <c r="CD47" s="34">
        <f>($B47/12)*(1+INDEX($C47:$E47,1,Control!$B$10))^CD5*INDEX($B$13:$M$13,1,MOD(77-1,12)+1)</f>
        <v/>
      </c>
      <c r="CE47" s="34">
        <f>($B47/12)*(1+INDEX($C47:$E47,1,Control!$B$10))^CE5*INDEX($B$13:$M$13,1,MOD(78-1,12)+1)</f>
        <v/>
      </c>
      <c r="CF47" s="34">
        <f>($B47/12)*(1+INDEX($C47:$E47,1,Control!$B$10))^CF5*INDEX($B$13:$M$13,1,MOD(79-1,12)+1)</f>
        <v/>
      </c>
      <c r="CG47" s="34">
        <f>($B47/12)*(1+INDEX($C47:$E47,1,Control!$B$10))^CG5*INDEX($B$13:$M$13,1,MOD(80-1,12)+1)</f>
        <v/>
      </c>
      <c r="CH47" s="34">
        <f>($B47/12)*(1+INDEX($C47:$E47,1,Control!$B$10))^CH5*INDEX($B$13:$M$13,1,MOD(81-1,12)+1)</f>
        <v/>
      </c>
      <c r="CI47" s="34">
        <f>($B47/12)*(1+INDEX($C47:$E47,1,Control!$B$10))^CI5*INDEX($B$13:$M$13,1,MOD(82-1,12)+1)</f>
        <v/>
      </c>
      <c r="CJ47" s="34">
        <f>($B47/12)*(1+INDEX($C47:$E47,1,Control!$B$10))^CJ5*INDEX($B$13:$M$13,1,MOD(83-1,12)+1)</f>
        <v/>
      </c>
      <c r="CK47" s="34">
        <f>($B47/12)*(1+INDEX($C47:$E47,1,Control!$B$10))^CK5*INDEX($B$13:$M$13,1,MOD(84-1,12)+1)</f>
        <v/>
      </c>
      <c r="CL47" s="34">
        <f>($B47/12)*(1+INDEX($C47:$E47,1,Control!$B$10))^CL5*INDEX($B$13:$M$13,1,MOD(85-1,12)+1)</f>
        <v/>
      </c>
      <c r="CM47" s="34">
        <f>($B47/12)*(1+INDEX($C47:$E47,1,Control!$B$10))^CM5*INDEX($B$13:$M$13,1,MOD(86-1,12)+1)</f>
        <v/>
      </c>
      <c r="CN47" s="34">
        <f>($B47/12)*(1+INDEX($C47:$E47,1,Control!$B$10))^CN5*INDEX($B$13:$M$13,1,MOD(87-1,12)+1)</f>
        <v/>
      </c>
      <c r="CO47" s="34">
        <f>($B47/12)*(1+INDEX($C47:$E47,1,Control!$B$10))^CO5*INDEX($B$13:$M$13,1,MOD(88-1,12)+1)</f>
        <v/>
      </c>
      <c r="CP47" s="34">
        <f>($B47/12)*(1+INDEX($C47:$E47,1,Control!$B$10))^CP5*INDEX($B$13:$M$13,1,MOD(89-1,12)+1)</f>
        <v/>
      </c>
      <c r="CQ47" s="34">
        <f>($B47/12)*(1+INDEX($C47:$E47,1,Control!$B$10))^CQ5*INDEX($B$13:$M$13,1,MOD(90-1,12)+1)</f>
        <v/>
      </c>
      <c r="CR47" s="34">
        <f>($B47/12)*(1+INDEX($C47:$E47,1,Control!$B$10))^CR5*INDEX($B$13:$M$13,1,MOD(91-1,12)+1)</f>
        <v/>
      </c>
      <c r="CS47" s="34">
        <f>($B47/12)*(1+INDEX($C47:$E47,1,Control!$B$10))^CS5*INDEX($B$13:$M$13,1,MOD(92-1,12)+1)</f>
        <v/>
      </c>
      <c r="CT47" s="34">
        <f>($B47/12)*(1+INDEX($C47:$E47,1,Control!$B$10))^CT5*INDEX($B$13:$M$13,1,MOD(93-1,12)+1)</f>
        <v/>
      </c>
      <c r="CU47" s="34">
        <f>($B47/12)*(1+INDEX($C47:$E47,1,Control!$B$10))^CU5*INDEX($B$13:$M$13,1,MOD(94-1,12)+1)</f>
        <v/>
      </c>
      <c r="CV47" s="34">
        <f>($B47/12)*(1+INDEX($C47:$E47,1,Control!$B$10))^CV5*INDEX($B$13:$M$13,1,MOD(95-1,12)+1)</f>
        <v/>
      </c>
      <c r="CW47" s="34">
        <f>($B47/12)*(1+INDEX($C47:$E47,1,Control!$B$10))^CW5*INDEX($B$13:$M$13,1,MOD(96-1,12)+1)</f>
        <v/>
      </c>
      <c r="CX47" s="34">
        <f>($B47/12)*(1+INDEX($C47:$E47,1,Control!$B$10))^CX5*INDEX($B$13:$M$13,1,MOD(97-1,12)+1)</f>
        <v/>
      </c>
      <c r="CY47" s="34">
        <f>($B47/12)*(1+INDEX($C47:$E47,1,Control!$B$10))^CY5*INDEX($B$13:$M$13,1,MOD(98-1,12)+1)</f>
        <v/>
      </c>
      <c r="CZ47" s="34">
        <f>($B47/12)*(1+INDEX($C47:$E47,1,Control!$B$10))^CZ5*INDEX($B$13:$M$13,1,MOD(99-1,12)+1)</f>
        <v/>
      </c>
      <c r="DA47" s="34">
        <f>($B47/12)*(1+INDEX($C47:$E47,1,Control!$B$10))^DA5*INDEX($B$13:$M$13,1,MOD(100-1,12)+1)</f>
        <v/>
      </c>
      <c r="DB47" s="34">
        <f>($B47/12)*(1+INDEX($C47:$E47,1,Control!$B$10))^DB5*INDEX($B$13:$M$13,1,MOD(101-1,12)+1)</f>
        <v/>
      </c>
      <c r="DC47" s="34">
        <f>($B47/12)*(1+INDEX($C47:$E47,1,Control!$B$10))^DC5*INDEX($B$13:$M$13,1,MOD(102-1,12)+1)</f>
        <v/>
      </c>
      <c r="DD47" s="34">
        <f>($B47/12)*(1+INDEX($C47:$E47,1,Control!$B$10))^DD5*INDEX($B$13:$M$13,1,MOD(103-1,12)+1)</f>
        <v/>
      </c>
      <c r="DE47" s="34">
        <f>($B47/12)*(1+INDEX($C47:$E47,1,Control!$B$10))^DE5*INDEX($B$13:$M$13,1,MOD(104-1,12)+1)</f>
        <v/>
      </c>
      <c r="DF47" s="34">
        <f>($B47/12)*(1+INDEX($C47:$E47,1,Control!$B$10))^DF5*INDEX($B$13:$M$13,1,MOD(105-1,12)+1)</f>
        <v/>
      </c>
      <c r="DG47" s="34">
        <f>($B47/12)*(1+INDEX($C47:$E47,1,Control!$B$10))^DG5*INDEX($B$13:$M$13,1,MOD(106-1,12)+1)</f>
        <v/>
      </c>
      <c r="DH47" s="34">
        <f>($B47/12)*(1+INDEX($C47:$E47,1,Control!$B$10))^DH5*INDEX($B$13:$M$13,1,MOD(107-1,12)+1)</f>
        <v/>
      </c>
      <c r="DI47" s="34">
        <f>($B47/12)*(1+INDEX($C47:$E47,1,Control!$B$10))^DI5*INDEX($B$13:$M$13,1,MOD(108-1,12)+1)</f>
        <v/>
      </c>
      <c r="DJ47" s="34">
        <f>($B47/12)*(1+INDEX($C47:$E47,1,Control!$B$10))^DJ5*INDEX($B$13:$M$13,1,MOD(109-1,12)+1)</f>
        <v/>
      </c>
      <c r="DK47" s="34">
        <f>($B47/12)*(1+INDEX($C47:$E47,1,Control!$B$10))^DK5*INDEX($B$13:$M$13,1,MOD(110-1,12)+1)</f>
        <v/>
      </c>
      <c r="DL47" s="34">
        <f>($B47/12)*(1+INDEX($C47:$E47,1,Control!$B$10))^DL5*INDEX($B$13:$M$13,1,MOD(111-1,12)+1)</f>
        <v/>
      </c>
      <c r="DM47" s="34">
        <f>($B47/12)*(1+INDEX($C47:$E47,1,Control!$B$10))^DM5*INDEX($B$13:$M$13,1,MOD(112-1,12)+1)</f>
        <v/>
      </c>
      <c r="DN47" s="34">
        <f>($B47/12)*(1+INDEX($C47:$E47,1,Control!$B$10))^DN5*INDEX($B$13:$M$13,1,MOD(113-1,12)+1)</f>
        <v/>
      </c>
      <c r="DO47" s="34">
        <f>($B47/12)*(1+INDEX($C47:$E47,1,Control!$B$10))^DO5*INDEX($B$13:$M$13,1,MOD(114-1,12)+1)</f>
        <v/>
      </c>
      <c r="DP47" s="34">
        <f>($B47/12)*(1+INDEX($C47:$E47,1,Control!$B$10))^DP5*INDEX($B$13:$M$13,1,MOD(115-1,12)+1)</f>
        <v/>
      </c>
      <c r="DQ47" s="34">
        <f>($B47/12)*(1+INDEX($C47:$E47,1,Control!$B$10))^DQ5*INDEX($B$13:$M$13,1,MOD(116-1,12)+1)</f>
        <v/>
      </c>
      <c r="DR47" s="34">
        <f>($B47/12)*(1+INDEX($C47:$E47,1,Control!$B$10))^DR5*INDEX($B$13:$M$13,1,MOD(117-1,12)+1)</f>
        <v/>
      </c>
      <c r="DS47" s="34">
        <f>($B47/12)*(1+INDEX($C47:$E47,1,Control!$B$10))^DS5*INDEX($B$13:$M$13,1,MOD(118-1,12)+1)</f>
        <v/>
      </c>
      <c r="DT47" s="34">
        <f>($B47/12)*(1+INDEX($C47:$E47,1,Control!$B$10))^DT5*INDEX($B$13:$M$13,1,MOD(119-1,12)+1)</f>
        <v/>
      </c>
      <c r="DU47" s="34">
        <f>($B47/12)*(1+INDEX($C47:$E47,1,Control!$B$10))^DU5*INDEX($B$13:$M$13,1,MOD(120-1,12)+1)</f>
        <v/>
      </c>
    </row>
    <row r="48">
      <c r="A48" t="inlineStr">
        <is>
          <t>HarborIPA-Kegs-OffTrade</t>
        </is>
      </c>
      <c r="B48" s="33" t="n">
        <v>0</v>
      </c>
      <c r="C48" s="22" t="n">
        <v>0.05</v>
      </c>
      <c r="D48" s="22" t="n">
        <v>0.07000000000000001</v>
      </c>
      <c r="E48" s="22" t="n">
        <v>0.03</v>
      </c>
      <c r="F48" s="34">
        <f>($B48/12)*(1+INDEX($C48:$E48,1,Control!$B$10))^F5*INDEX($B$13:$M$13,1,MOD(1-1,12)+1)</f>
        <v/>
      </c>
      <c r="G48" s="34">
        <f>($B48/12)*(1+INDEX($C48:$E48,1,Control!$B$10))^G5*INDEX($B$13:$M$13,1,MOD(2-1,12)+1)</f>
        <v/>
      </c>
      <c r="H48" s="34">
        <f>($B48/12)*(1+INDEX($C48:$E48,1,Control!$B$10))^H5*INDEX($B$13:$M$13,1,MOD(3-1,12)+1)</f>
        <v/>
      </c>
      <c r="I48" s="34">
        <f>($B48/12)*(1+INDEX($C48:$E48,1,Control!$B$10))^I5*INDEX($B$13:$M$13,1,MOD(4-1,12)+1)</f>
        <v/>
      </c>
      <c r="J48" s="34">
        <f>($B48/12)*(1+INDEX($C48:$E48,1,Control!$B$10))^J5*INDEX($B$13:$M$13,1,MOD(5-1,12)+1)</f>
        <v/>
      </c>
      <c r="K48" s="34">
        <f>($B48/12)*(1+INDEX($C48:$E48,1,Control!$B$10))^K5*INDEX($B$13:$M$13,1,MOD(6-1,12)+1)</f>
        <v/>
      </c>
      <c r="L48" s="34">
        <f>($B48/12)*(1+INDEX($C48:$E48,1,Control!$B$10))^L5*INDEX($B$13:$M$13,1,MOD(7-1,12)+1)</f>
        <v/>
      </c>
      <c r="M48" s="34">
        <f>($B48/12)*(1+INDEX($C48:$E48,1,Control!$B$10))^M5*INDEX($B$13:$M$13,1,MOD(8-1,12)+1)</f>
        <v/>
      </c>
      <c r="N48" s="34">
        <f>($B48/12)*(1+INDEX($C48:$E48,1,Control!$B$10))^N5*INDEX($B$13:$M$13,1,MOD(9-1,12)+1)</f>
        <v/>
      </c>
      <c r="O48" s="34">
        <f>($B48/12)*(1+INDEX($C48:$E48,1,Control!$B$10))^O5*INDEX($B$13:$M$13,1,MOD(10-1,12)+1)</f>
        <v/>
      </c>
      <c r="P48" s="34">
        <f>($B48/12)*(1+INDEX($C48:$E48,1,Control!$B$10))^P5*INDEX($B$13:$M$13,1,MOD(11-1,12)+1)</f>
        <v/>
      </c>
      <c r="Q48" s="34">
        <f>($B48/12)*(1+INDEX($C48:$E48,1,Control!$B$10))^Q5*INDEX($B$13:$M$13,1,MOD(12-1,12)+1)</f>
        <v/>
      </c>
      <c r="R48" s="34">
        <f>($B48/12)*(1+INDEX($C48:$E48,1,Control!$B$10))^R5*INDEX($B$13:$M$13,1,MOD(13-1,12)+1)</f>
        <v/>
      </c>
      <c r="S48" s="34">
        <f>($B48/12)*(1+INDEX($C48:$E48,1,Control!$B$10))^S5*INDEX($B$13:$M$13,1,MOD(14-1,12)+1)</f>
        <v/>
      </c>
      <c r="T48" s="34">
        <f>($B48/12)*(1+INDEX($C48:$E48,1,Control!$B$10))^T5*INDEX($B$13:$M$13,1,MOD(15-1,12)+1)</f>
        <v/>
      </c>
      <c r="U48" s="34">
        <f>($B48/12)*(1+INDEX($C48:$E48,1,Control!$B$10))^U5*INDEX($B$13:$M$13,1,MOD(16-1,12)+1)</f>
        <v/>
      </c>
      <c r="V48" s="34">
        <f>($B48/12)*(1+INDEX($C48:$E48,1,Control!$B$10))^V5*INDEX($B$13:$M$13,1,MOD(17-1,12)+1)</f>
        <v/>
      </c>
      <c r="W48" s="34">
        <f>($B48/12)*(1+INDEX($C48:$E48,1,Control!$B$10))^W5*INDEX($B$13:$M$13,1,MOD(18-1,12)+1)</f>
        <v/>
      </c>
      <c r="X48" s="34">
        <f>($B48/12)*(1+INDEX($C48:$E48,1,Control!$B$10))^X5*INDEX($B$13:$M$13,1,MOD(19-1,12)+1)</f>
        <v/>
      </c>
      <c r="Y48" s="34">
        <f>($B48/12)*(1+INDEX($C48:$E48,1,Control!$B$10))^Y5*INDEX($B$13:$M$13,1,MOD(20-1,12)+1)</f>
        <v/>
      </c>
      <c r="Z48" s="34">
        <f>($B48/12)*(1+INDEX($C48:$E48,1,Control!$B$10))^Z5*INDEX($B$13:$M$13,1,MOD(21-1,12)+1)</f>
        <v/>
      </c>
      <c r="AA48" s="34">
        <f>($B48/12)*(1+INDEX($C48:$E48,1,Control!$B$10))^AA5*INDEX($B$13:$M$13,1,MOD(22-1,12)+1)</f>
        <v/>
      </c>
      <c r="AB48" s="34">
        <f>($B48/12)*(1+INDEX($C48:$E48,1,Control!$B$10))^AB5*INDEX($B$13:$M$13,1,MOD(23-1,12)+1)</f>
        <v/>
      </c>
      <c r="AC48" s="34">
        <f>($B48/12)*(1+INDEX($C48:$E48,1,Control!$B$10))^AC5*INDEX($B$13:$M$13,1,MOD(24-1,12)+1)</f>
        <v/>
      </c>
      <c r="AD48" s="34">
        <f>($B48/12)*(1+INDEX($C48:$E48,1,Control!$B$10))^AD5*INDEX($B$13:$M$13,1,MOD(25-1,12)+1)</f>
        <v/>
      </c>
      <c r="AE48" s="34">
        <f>($B48/12)*(1+INDEX($C48:$E48,1,Control!$B$10))^AE5*INDEX($B$13:$M$13,1,MOD(26-1,12)+1)</f>
        <v/>
      </c>
      <c r="AF48" s="34">
        <f>($B48/12)*(1+INDEX($C48:$E48,1,Control!$B$10))^AF5*INDEX($B$13:$M$13,1,MOD(27-1,12)+1)</f>
        <v/>
      </c>
      <c r="AG48" s="34">
        <f>($B48/12)*(1+INDEX($C48:$E48,1,Control!$B$10))^AG5*INDEX($B$13:$M$13,1,MOD(28-1,12)+1)</f>
        <v/>
      </c>
      <c r="AH48" s="34">
        <f>($B48/12)*(1+INDEX($C48:$E48,1,Control!$B$10))^AH5*INDEX($B$13:$M$13,1,MOD(29-1,12)+1)</f>
        <v/>
      </c>
      <c r="AI48" s="34">
        <f>($B48/12)*(1+INDEX($C48:$E48,1,Control!$B$10))^AI5*INDEX($B$13:$M$13,1,MOD(30-1,12)+1)</f>
        <v/>
      </c>
      <c r="AJ48" s="34">
        <f>($B48/12)*(1+INDEX($C48:$E48,1,Control!$B$10))^AJ5*INDEX($B$13:$M$13,1,MOD(31-1,12)+1)</f>
        <v/>
      </c>
      <c r="AK48" s="34">
        <f>($B48/12)*(1+INDEX($C48:$E48,1,Control!$B$10))^AK5*INDEX($B$13:$M$13,1,MOD(32-1,12)+1)</f>
        <v/>
      </c>
      <c r="AL48" s="34">
        <f>($B48/12)*(1+INDEX($C48:$E48,1,Control!$B$10))^AL5*INDEX($B$13:$M$13,1,MOD(33-1,12)+1)</f>
        <v/>
      </c>
      <c r="AM48" s="34">
        <f>($B48/12)*(1+INDEX($C48:$E48,1,Control!$B$10))^AM5*INDEX($B$13:$M$13,1,MOD(34-1,12)+1)</f>
        <v/>
      </c>
      <c r="AN48" s="34">
        <f>($B48/12)*(1+INDEX($C48:$E48,1,Control!$B$10))^AN5*INDEX($B$13:$M$13,1,MOD(35-1,12)+1)</f>
        <v/>
      </c>
      <c r="AO48" s="34">
        <f>($B48/12)*(1+INDEX($C48:$E48,1,Control!$B$10))^AO5*INDEX($B$13:$M$13,1,MOD(36-1,12)+1)</f>
        <v/>
      </c>
      <c r="AP48" s="34">
        <f>($B48/12)*(1+INDEX($C48:$E48,1,Control!$B$10))^AP5*INDEX($B$13:$M$13,1,MOD(37-1,12)+1)</f>
        <v/>
      </c>
      <c r="AQ48" s="34">
        <f>($B48/12)*(1+INDEX($C48:$E48,1,Control!$B$10))^AQ5*INDEX($B$13:$M$13,1,MOD(38-1,12)+1)</f>
        <v/>
      </c>
      <c r="AR48" s="34">
        <f>($B48/12)*(1+INDEX($C48:$E48,1,Control!$B$10))^AR5*INDEX($B$13:$M$13,1,MOD(39-1,12)+1)</f>
        <v/>
      </c>
      <c r="AS48" s="34">
        <f>($B48/12)*(1+INDEX($C48:$E48,1,Control!$B$10))^AS5*INDEX($B$13:$M$13,1,MOD(40-1,12)+1)</f>
        <v/>
      </c>
      <c r="AT48" s="34">
        <f>($B48/12)*(1+INDEX($C48:$E48,1,Control!$B$10))^AT5*INDEX($B$13:$M$13,1,MOD(41-1,12)+1)</f>
        <v/>
      </c>
      <c r="AU48" s="34">
        <f>($B48/12)*(1+INDEX($C48:$E48,1,Control!$B$10))^AU5*INDEX($B$13:$M$13,1,MOD(42-1,12)+1)</f>
        <v/>
      </c>
      <c r="AV48" s="34">
        <f>($B48/12)*(1+INDEX($C48:$E48,1,Control!$B$10))^AV5*INDEX($B$13:$M$13,1,MOD(43-1,12)+1)</f>
        <v/>
      </c>
      <c r="AW48" s="34">
        <f>($B48/12)*(1+INDEX($C48:$E48,1,Control!$B$10))^AW5*INDEX($B$13:$M$13,1,MOD(44-1,12)+1)</f>
        <v/>
      </c>
      <c r="AX48" s="34">
        <f>($B48/12)*(1+INDEX($C48:$E48,1,Control!$B$10))^AX5*INDEX($B$13:$M$13,1,MOD(45-1,12)+1)</f>
        <v/>
      </c>
      <c r="AY48" s="34">
        <f>($B48/12)*(1+INDEX($C48:$E48,1,Control!$B$10))^AY5*INDEX($B$13:$M$13,1,MOD(46-1,12)+1)</f>
        <v/>
      </c>
      <c r="AZ48" s="34">
        <f>($B48/12)*(1+INDEX($C48:$E48,1,Control!$B$10))^AZ5*INDEX($B$13:$M$13,1,MOD(47-1,12)+1)</f>
        <v/>
      </c>
      <c r="BA48" s="34">
        <f>($B48/12)*(1+INDEX($C48:$E48,1,Control!$B$10))^BA5*INDEX($B$13:$M$13,1,MOD(48-1,12)+1)</f>
        <v/>
      </c>
      <c r="BB48" s="34">
        <f>($B48/12)*(1+INDEX($C48:$E48,1,Control!$B$10))^BB5*INDEX($B$13:$M$13,1,MOD(49-1,12)+1)</f>
        <v/>
      </c>
      <c r="BC48" s="34">
        <f>($B48/12)*(1+INDEX($C48:$E48,1,Control!$B$10))^BC5*INDEX($B$13:$M$13,1,MOD(50-1,12)+1)</f>
        <v/>
      </c>
      <c r="BD48" s="34">
        <f>($B48/12)*(1+INDEX($C48:$E48,1,Control!$B$10))^BD5*INDEX($B$13:$M$13,1,MOD(51-1,12)+1)</f>
        <v/>
      </c>
      <c r="BE48" s="34">
        <f>($B48/12)*(1+INDEX($C48:$E48,1,Control!$B$10))^BE5*INDEX($B$13:$M$13,1,MOD(52-1,12)+1)</f>
        <v/>
      </c>
      <c r="BF48" s="34">
        <f>($B48/12)*(1+INDEX($C48:$E48,1,Control!$B$10))^BF5*INDEX($B$13:$M$13,1,MOD(53-1,12)+1)</f>
        <v/>
      </c>
      <c r="BG48" s="34">
        <f>($B48/12)*(1+INDEX($C48:$E48,1,Control!$B$10))^BG5*INDEX($B$13:$M$13,1,MOD(54-1,12)+1)</f>
        <v/>
      </c>
      <c r="BH48" s="34">
        <f>($B48/12)*(1+INDEX($C48:$E48,1,Control!$B$10))^BH5*INDEX($B$13:$M$13,1,MOD(55-1,12)+1)</f>
        <v/>
      </c>
      <c r="BI48" s="34">
        <f>($B48/12)*(1+INDEX($C48:$E48,1,Control!$B$10))^BI5*INDEX($B$13:$M$13,1,MOD(56-1,12)+1)</f>
        <v/>
      </c>
      <c r="BJ48" s="34">
        <f>($B48/12)*(1+INDEX($C48:$E48,1,Control!$B$10))^BJ5*INDEX($B$13:$M$13,1,MOD(57-1,12)+1)</f>
        <v/>
      </c>
      <c r="BK48" s="34">
        <f>($B48/12)*(1+INDEX($C48:$E48,1,Control!$B$10))^BK5*INDEX($B$13:$M$13,1,MOD(58-1,12)+1)</f>
        <v/>
      </c>
      <c r="BL48" s="34">
        <f>($B48/12)*(1+INDEX($C48:$E48,1,Control!$B$10))^BL5*INDEX($B$13:$M$13,1,MOD(59-1,12)+1)</f>
        <v/>
      </c>
      <c r="BM48" s="34">
        <f>($B48/12)*(1+INDEX($C48:$E48,1,Control!$B$10))^BM5*INDEX($B$13:$M$13,1,MOD(60-1,12)+1)</f>
        <v/>
      </c>
      <c r="BN48" s="34">
        <f>($B48/12)*(1+INDEX($C48:$E48,1,Control!$B$10))^BN5*INDEX($B$13:$M$13,1,MOD(61-1,12)+1)</f>
        <v/>
      </c>
      <c r="BO48" s="34">
        <f>($B48/12)*(1+INDEX($C48:$E48,1,Control!$B$10))^BO5*INDEX($B$13:$M$13,1,MOD(62-1,12)+1)</f>
        <v/>
      </c>
      <c r="BP48" s="34">
        <f>($B48/12)*(1+INDEX($C48:$E48,1,Control!$B$10))^BP5*INDEX($B$13:$M$13,1,MOD(63-1,12)+1)</f>
        <v/>
      </c>
      <c r="BQ48" s="34">
        <f>($B48/12)*(1+INDEX($C48:$E48,1,Control!$B$10))^BQ5*INDEX($B$13:$M$13,1,MOD(64-1,12)+1)</f>
        <v/>
      </c>
      <c r="BR48" s="34">
        <f>($B48/12)*(1+INDEX($C48:$E48,1,Control!$B$10))^BR5*INDEX($B$13:$M$13,1,MOD(65-1,12)+1)</f>
        <v/>
      </c>
      <c r="BS48" s="34">
        <f>($B48/12)*(1+INDEX($C48:$E48,1,Control!$B$10))^BS5*INDEX($B$13:$M$13,1,MOD(66-1,12)+1)</f>
        <v/>
      </c>
      <c r="BT48" s="34">
        <f>($B48/12)*(1+INDEX($C48:$E48,1,Control!$B$10))^BT5*INDEX($B$13:$M$13,1,MOD(67-1,12)+1)</f>
        <v/>
      </c>
      <c r="BU48" s="34">
        <f>($B48/12)*(1+INDEX($C48:$E48,1,Control!$B$10))^BU5*INDEX($B$13:$M$13,1,MOD(68-1,12)+1)</f>
        <v/>
      </c>
      <c r="BV48" s="34">
        <f>($B48/12)*(1+INDEX($C48:$E48,1,Control!$B$10))^BV5*INDEX($B$13:$M$13,1,MOD(69-1,12)+1)</f>
        <v/>
      </c>
      <c r="BW48" s="34">
        <f>($B48/12)*(1+INDEX($C48:$E48,1,Control!$B$10))^BW5*INDEX($B$13:$M$13,1,MOD(70-1,12)+1)</f>
        <v/>
      </c>
      <c r="BX48" s="34">
        <f>($B48/12)*(1+INDEX($C48:$E48,1,Control!$B$10))^BX5*INDEX($B$13:$M$13,1,MOD(71-1,12)+1)</f>
        <v/>
      </c>
      <c r="BY48" s="34">
        <f>($B48/12)*(1+INDEX($C48:$E48,1,Control!$B$10))^BY5*INDEX($B$13:$M$13,1,MOD(72-1,12)+1)</f>
        <v/>
      </c>
      <c r="BZ48" s="34">
        <f>($B48/12)*(1+INDEX($C48:$E48,1,Control!$B$10))^BZ5*INDEX($B$13:$M$13,1,MOD(73-1,12)+1)</f>
        <v/>
      </c>
      <c r="CA48" s="34">
        <f>($B48/12)*(1+INDEX($C48:$E48,1,Control!$B$10))^CA5*INDEX($B$13:$M$13,1,MOD(74-1,12)+1)</f>
        <v/>
      </c>
      <c r="CB48" s="34">
        <f>($B48/12)*(1+INDEX($C48:$E48,1,Control!$B$10))^CB5*INDEX($B$13:$M$13,1,MOD(75-1,12)+1)</f>
        <v/>
      </c>
      <c r="CC48" s="34">
        <f>($B48/12)*(1+INDEX($C48:$E48,1,Control!$B$10))^CC5*INDEX($B$13:$M$13,1,MOD(76-1,12)+1)</f>
        <v/>
      </c>
      <c r="CD48" s="34">
        <f>($B48/12)*(1+INDEX($C48:$E48,1,Control!$B$10))^CD5*INDEX($B$13:$M$13,1,MOD(77-1,12)+1)</f>
        <v/>
      </c>
      <c r="CE48" s="34">
        <f>($B48/12)*(1+INDEX($C48:$E48,1,Control!$B$10))^CE5*INDEX($B$13:$M$13,1,MOD(78-1,12)+1)</f>
        <v/>
      </c>
      <c r="CF48" s="34">
        <f>($B48/12)*(1+INDEX($C48:$E48,1,Control!$B$10))^CF5*INDEX($B$13:$M$13,1,MOD(79-1,12)+1)</f>
        <v/>
      </c>
      <c r="CG48" s="34">
        <f>($B48/12)*(1+INDEX($C48:$E48,1,Control!$B$10))^CG5*INDEX($B$13:$M$13,1,MOD(80-1,12)+1)</f>
        <v/>
      </c>
      <c r="CH48" s="34">
        <f>($B48/12)*(1+INDEX($C48:$E48,1,Control!$B$10))^CH5*INDEX($B$13:$M$13,1,MOD(81-1,12)+1)</f>
        <v/>
      </c>
      <c r="CI48" s="34">
        <f>($B48/12)*(1+INDEX($C48:$E48,1,Control!$B$10))^CI5*INDEX($B$13:$M$13,1,MOD(82-1,12)+1)</f>
        <v/>
      </c>
      <c r="CJ48" s="34">
        <f>($B48/12)*(1+INDEX($C48:$E48,1,Control!$B$10))^CJ5*INDEX($B$13:$M$13,1,MOD(83-1,12)+1)</f>
        <v/>
      </c>
      <c r="CK48" s="34">
        <f>($B48/12)*(1+INDEX($C48:$E48,1,Control!$B$10))^CK5*INDEX($B$13:$M$13,1,MOD(84-1,12)+1)</f>
        <v/>
      </c>
      <c r="CL48" s="34">
        <f>($B48/12)*(1+INDEX($C48:$E48,1,Control!$B$10))^CL5*INDEX($B$13:$M$13,1,MOD(85-1,12)+1)</f>
        <v/>
      </c>
      <c r="CM48" s="34">
        <f>($B48/12)*(1+INDEX($C48:$E48,1,Control!$B$10))^CM5*INDEX($B$13:$M$13,1,MOD(86-1,12)+1)</f>
        <v/>
      </c>
      <c r="CN48" s="34">
        <f>($B48/12)*(1+INDEX($C48:$E48,1,Control!$B$10))^CN5*INDEX($B$13:$M$13,1,MOD(87-1,12)+1)</f>
        <v/>
      </c>
      <c r="CO48" s="34">
        <f>($B48/12)*(1+INDEX($C48:$E48,1,Control!$B$10))^CO5*INDEX($B$13:$M$13,1,MOD(88-1,12)+1)</f>
        <v/>
      </c>
      <c r="CP48" s="34">
        <f>($B48/12)*(1+INDEX($C48:$E48,1,Control!$B$10))^CP5*INDEX($B$13:$M$13,1,MOD(89-1,12)+1)</f>
        <v/>
      </c>
      <c r="CQ48" s="34">
        <f>($B48/12)*(1+INDEX($C48:$E48,1,Control!$B$10))^CQ5*INDEX($B$13:$M$13,1,MOD(90-1,12)+1)</f>
        <v/>
      </c>
      <c r="CR48" s="34">
        <f>($B48/12)*(1+INDEX($C48:$E48,1,Control!$B$10))^CR5*INDEX($B$13:$M$13,1,MOD(91-1,12)+1)</f>
        <v/>
      </c>
      <c r="CS48" s="34">
        <f>($B48/12)*(1+INDEX($C48:$E48,1,Control!$B$10))^CS5*INDEX($B$13:$M$13,1,MOD(92-1,12)+1)</f>
        <v/>
      </c>
      <c r="CT48" s="34">
        <f>($B48/12)*(1+INDEX($C48:$E48,1,Control!$B$10))^CT5*INDEX($B$13:$M$13,1,MOD(93-1,12)+1)</f>
        <v/>
      </c>
      <c r="CU48" s="34">
        <f>($B48/12)*(1+INDEX($C48:$E48,1,Control!$B$10))^CU5*INDEX($B$13:$M$13,1,MOD(94-1,12)+1)</f>
        <v/>
      </c>
      <c r="CV48" s="34">
        <f>($B48/12)*(1+INDEX($C48:$E48,1,Control!$B$10))^CV5*INDEX($B$13:$M$13,1,MOD(95-1,12)+1)</f>
        <v/>
      </c>
      <c r="CW48" s="34">
        <f>($B48/12)*(1+INDEX($C48:$E48,1,Control!$B$10))^CW5*INDEX($B$13:$M$13,1,MOD(96-1,12)+1)</f>
        <v/>
      </c>
      <c r="CX48" s="34">
        <f>($B48/12)*(1+INDEX($C48:$E48,1,Control!$B$10))^CX5*INDEX($B$13:$M$13,1,MOD(97-1,12)+1)</f>
        <v/>
      </c>
      <c r="CY48" s="34">
        <f>($B48/12)*(1+INDEX($C48:$E48,1,Control!$B$10))^CY5*INDEX($B$13:$M$13,1,MOD(98-1,12)+1)</f>
        <v/>
      </c>
      <c r="CZ48" s="34">
        <f>($B48/12)*(1+INDEX($C48:$E48,1,Control!$B$10))^CZ5*INDEX($B$13:$M$13,1,MOD(99-1,12)+1)</f>
        <v/>
      </c>
      <c r="DA48" s="34">
        <f>($B48/12)*(1+INDEX($C48:$E48,1,Control!$B$10))^DA5*INDEX($B$13:$M$13,1,MOD(100-1,12)+1)</f>
        <v/>
      </c>
      <c r="DB48" s="34">
        <f>($B48/12)*(1+INDEX($C48:$E48,1,Control!$B$10))^DB5*INDEX($B$13:$M$13,1,MOD(101-1,12)+1)</f>
        <v/>
      </c>
      <c r="DC48" s="34">
        <f>($B48/12)*(1+INDEX($C48:$E48,1,Control!$B$10))^DC5*INDEX($B$13:$M$13,1,MOD(102-1,12)+1)</f>
        <v/>
      </c>
      <c r="DD48" s="34">
        <f>($B48/12)*(1+INDEX($C48:$E48,1,Control!$B$10))^DD5*INDEX($B$13:$M$13,1,MOD(103-1,12)+1)</f>
        <v/>
      </c>
      <c r="DE48" s="34">
        <f>($B48/12)*(1+INDEX($C48:$E48,1,Control!$B$10))^DE5*INDEX($B$13:$M$13,1,MOD(104-1,12)+1)</f>
        <v/>
      </c>
      <c r="DF48" s="34">
        <f>($B48/12)*(1+INDEX($C48:$E48,1,Control!$B$10))^DF5*INDEX($B$13:$M$13,1,MOD(105-1,12)+1)</f>
        <v/>
      </c>
      <c r="DG48" s="34">
        <f>($B48/12)*(1+INDEX($C48:$E48,1,Control!$B$10))^DG5*INDEX($B$13:$M$13,1,MOD(106-1,12)+1)</f>
        <v/>
      </c>
      <c r="DH48" s="34">
        <f>($B48/12)*(1+INDEX($C48:$E48,1,Control!$B$10))^DH5*INDEX($B$13:$M$13,1,MOD(107-1,12)+1)</f>
        <v/>
      </c>
      <c r="DI48" s="34">
        <f>($B48/12)*(1+INDEX($C48:$E48,1,Control!$B$10))^DI5*INDEX($B$13:$M$13,1,MOD(108-1,12)+1)</f>
        <v/>
      </c>
      <c r="DJ48" s="34">
        <f>($B48/12)*(1+INDEX($C48:$E48,1,Control!$B$10))^DJ5*INDEX($B$13:$M$13,1,MOD(109-1,12)+1)</f>
        <v/>
      </c>
      <c r="DK48" s="34">
        <f>($B48/12)*(1+INDEX($C48:$E48,1,Control!$B$10))^DK5*INDEX($B$13:$M$13,1,MOD(110-1,12)+1)</f>
        <v/>
      </c>
      <c r="DL48" s="34">
        <f>($B48/12)*(1+INDEX($C48:$E48,1,Control!$B$10))^DL5*INDEX($B$13:$M$13,1,MOD(111-1,12)+1)</f>
        <v/>
      </c>
      <c r="DM48" s="34">
        <f>($B48/12)*(1+INDEX($C48:$E48,1,Control!$B$10))^DM5*INDEX($B$13:$M$13,1,MOD(112-1,12)+1)</f>
        <v/>
      </c>
      <c r="DN48" s="34">
        <f>($B48/12)*(1+INDEX($C48:$E48,1,Control!$B$10))^DN5*INDEX($B$13:$M$13,1,MOD(113-1,12)+1)</f>
        <v/>
      </c>
      <c r="DO48" s="34">
        <f>($B48/12)*(1+INDEX($C48:$E48,1,Control!$B$10))^DO5*INDEX($B$13:$M$13,1,MOD(114-1,12)+1)</f>
        <v/>
      </c>
      <c r="DP48" s="34">
        <f>($B48/12)*(1+INDEX($C48:$E48,1,Control!$B$10))^DP5*INDEX($B$13:$M$13,1,MOD(115-1,12)+1)</f>
        <v/>
      </c>
      <c r="DQ48" s="34">
        <f>($B48/12)*(1+INDEX($C48:$E48,1,Control!$B$10))^DQ5*INDEX($B$13:$M$13,1,MOD(116-1,12)+1)</f>
        <v/>
      </c>
      <c r="DR48" s="34">
        <f>($B48/12)*(1+INDEX($C48:$E48,1,Control!$B$10))^DR5*INDEX($B$13:$M$13,1,MOD(117-1,12)+1)</f>
        <v/>
      </c>
      <c r="DS48" s="34">
        <f>($B48/12)*(1+INDEX($C48:$E48,1,Control!$B$10))^DS5*INDEX($B$13:$M$13,1,MOD(118-1,12)+1)</f>
        <v/>
      </c>
      <c r="DT48" s="34">
        <f>($B48/12)*(1+INDEX($C48:$E48,1,Control!$B$10))^DT5*INDEX($B$13:$M$13,1,MOD(119-1,12)+1)</f>
        <v/>
      </c>
      <c r="DU48" s="34">
        <f>($B48/12)*(1+INDEX($C48:$E48,1,Control!$B$10))^DU5*INDEX($B$13:$M$13,1,MOD(120-1,12)+1)</f>
        <v/>
      </c>
    </row>
    <row r="50">
      <c r="A50" s="35" t="inlineStr">
        <is>
          <t>TOTAL HL SOLD</t>
        </is>
      </c>
      <c r="F50" s="36">
        <f>SUM(F19:F48)</f>
        <v/>
      </c>
      <c r="G50" s="36">
        <f>SUM(G19:G48)</f>
        <v/>
      </c>
      <c r="H50" s="36">
        <f>SUM(H19:H48)</f>
        <v/>
      </c>
      <c r="I50" s="36">
        <f>SUM(I19:I48)</f>
        <v/>
      </c>
      <c r="J50" s="36">
        <f>SUM(J19:J48)</f>
        <v/>
      </c>
      <c r="K50" s="36">
        <f>SUM(K19:K48)</f>
        <v/>
      </c>
      <c r="L50" s="36">
        <f>SUM(L19:L48)</f>
        <v/>
      </c>
      <c r="M50" s="36">
        <f>SUM(M19:M48)</f>
        <v/>
      </c>
      <c r="N50" s="36">
        <f>SUM(N19:N48)</f>
        <v/>
      </c>
      <c r="O50" s="36">
        <f>SUM(O19:O48)</f>
        <v/>
      </c>
      <c r="P50" s="36">
        <f>SUM(P19:P48)</f>
        <v/>
      </c>
      <c r="Q50" s="36">
        <f>SUM(Q19:Q48)</f>
        <v/>
      </c>
      <c r="R50" s="36">
        <f>SUM(R19:R48)</f>
        <v/>
      </c>
      <c r="S50" s="36">
        <f>SUM(S19:S48)</f>
        <v/>
      </c>
      <c r="T50" s="36">
        <f>SUM(T19:T48)</f>
        <v/>
      </c>
      <c r="U50" s="36">
        <f>SUM(U19:U48)</f>
        <v/>
      </c>
      <c r="V50" s="36">
        <f>SUM(V19:V48)</f>
        <v/>
      </c>
      <c r="W50" s="36">
        <f>SUM(W19:W48)</f>
        <v/>
      </c>
      <c r="X50" s="36">
        <f>SUM(X19:X48)</f>
        <v/>
      </c>
      <c r="Y50" s="36">
        <f>SUM(Y19:Y48)</f>
        <v/>
      </c>
      <c r="Z50" s="36">
        <f>SUM(Z19:Z48)</f>
        <v/>
      </c>
      <c r="AA50" s="36">
        <f>SUM(AA19:AA48)</f>
        <v/>
      </c>
      <c r="AB50" s="36">
        <f>SUM(AB19:AB48)</f>
        <v/>
      </c>
      <c r="AC50" s="36">
        <f>SUM(AC19:AC48)</f>
        <v/>
      </c>
      <c r="AD50" s="36">
        <f>SUM(AD19:AD48)</f>
        <v/>
      </c>
      <c r="AE50" s="36">
        <f>SUM(AE19:AE48)</f>
        <v/>
      </c>
      <c r="AF50" s="36">
        <f>SUM(AF19:AF48)</f>
        <v/>
      </c>
      <c r="AG50" s="36">
        <f>SUM(AG19:AG48)</f>
        <v/>
      </c>
      <c r="AH50" s="36">
        <f>SUM(AH19:AH48)</f>
        <v/>
      </c>
      <c r="AI50" s="36">
        <f>SUM(AI19:AI48)</f>
        <v/>
      </c>
      <c r="AJ50" s="36">
        <f>SUM(AJ19:AJ48)</f>
        <v/>
      </c>
      <c r="AK50" s="36">
        <f>SUM(AK19:AK48)</f>
        <v/>
      </c>
      <c r="AL50" s="36">
        <f>SUM(AL19:AL48)</f>
        <v/>
      </c>
      <c r="AM50" s="36">
        <f>SUM(AM19:AM48)</f>
        <v/>
      </c>
      <c r="AN50" s="36">
        <f>SUM(AN19:AN48)</f>
        <v/>
      </c>
      <c r="AO50" s="36">
        <f>SUM(AO19:AO48)</f>
        <v/>
      </c>
      <c r="AP50" s="36">
        <f>SUM(AP19:AP48)</f>
        <v/>
      </c>
      <c r="AQ50" s="36">
        <f>SUM(AQ19:AQ48)</f>
        <v/>
      </c>
      <c r="AR50" s="36">
        <f>SUM(AR19:AR48)</f>
        <v/>
      </c>
      <c r="AS50" s="36">
        <f>SUM(AS19:AS48)</f>
        <v/>
      </c>
      <c r="AT50" s="36">
        <f>SUM(AT19:AT48)</f>
        <v/>
      </c>
      <c r="AU50" s="36">
        <f>SUM(AU19:AU48)</f>
        <v/>
      </c>
      <c r="AV50" s="36">
        <f>SUM(AV19:AV48)</f>
        <v/>
      </c>
      <c r="AW50" s="36">
        <f>SUM(AW19:AW48)</f>
        <v/>
      </c>
      <c r="AX50" s="36">
        <f>SUM(AX19:AX48)</f>
        <v/>
      </c>
      <c r="AY50" s="36">
        <f>SUM(AY19:AY48)</f>
        <v/>
      </c>
      <c r="AZ50" s="36">
        <f>SUM(AZ19:AZ48)</f>
        <v/>
      </c>
      <c r="BA50" s="36">
        <f>SUM(BA19:BA48)</f>
        <v/>
      </c>
      <c r="BB50" s="36">
        <f>SUM(BB19:BB48)</f>
        <v/>
      </c>
      <c r="BC50" s="36">
        <f>SUM(BC19:BC48)</f>
        <v/>
      </c>
      <c r="BD50" s="36">
        <f>SUM(BD19:BD48)</f>
        <v/>
      </c>
      <c r="BE50" s="36">
        <f>SUM(BE19:BE48)</f>
        <v/>
      </c>
      <c r="BF50" s="36">
        <f>SUM(BF19:BF48)</f>
        <v/>
      </c>
      <c r="BG50" s="36">
        <f>SUM(BG19:BG48)</f>
        <v/>
      </c>
      <c r="BH50" s="36">
        <f>SUM(BH19:BH48)</f>
        <v/>
      </c>
      <c r="BI50" s="36">
        <f>SUM(BI19:BI48)</f>
        <v/>
      </c>
      <c r="BJ50" s="36">
        <f>SUM(BJ19:BJ48)</f>
        <v/>
      </c>
      <c r="BK50" s="36">
        <f>SUM(BK19:BK48)</f>
        <v/>
      </c>
      <c r="BL50" s="36">
        <f>SUM(BL19:BL48)</f>
        <v/>
      </c>
      <c r="BM50" s="36">
        <f>SUM(BM19:BM48)</f>
        <v/>
      </c>
      <c r="BN50" s="36">
        <f>SUM(BN19:BN48)</f>
        <v/>
      </c>
      <c r="BO50" s="36">
        <f>SUM(BO19:BO48)</f>
        <v/>
      </c>
      <c r="BP50" s="36">
        <f>SUM(BP19:BP48)</f>
        <v/>
      </c>
      <c r="BQ50" s="36">
        <f>SUM(BQ19:BQ48)</f>
        <v/>
      </c>
      <c r="BR50" s="36">
        <f>SUM(BR19:BR48)</f>
        <v/>
      </c>
      <c r="BS50" s="36">
        <f>SUM(BS19:BS48)</f>
        <v/>
      </c>
      <c r="BT50" s="36">
        <f>SUM(BT19:BT48)</f>
        <v/>
      </c>
      <c r="BU50" s="36">
        <f>SUM(BU19:BU48)</f>
        <v/>
      </c>
      <c r="BV50" s="36">
        <f>SUM(BV19:BV48)</f>
        <v/>
      </c>
      <c r="BW50" s="36">
        <f>SUM(BW19:BW48)</f>
        <v/>
      </c>
      <c r="BX50" s="36">
        <f>SUM(BX19:BX48)</f>
        <v/>
      </c>
      <c r="BY50" s="36">
        <f>SUM(BY19:BY48)</f>
        <v/>
      </c>
      <c r="BZ50" s="36">
        <f>SUM(BZ19:BZ48)</f>
        <v/>
      </c>
      <c r="CA50" s="36">
        <f>SUM(CA19:CA48)</f>
        <v/>
      </c>
      <c r="CB50" s="36">
        <f>SUM(CB19:CB48)</f>
        <v/>
      </c>
      <c r="CC50" s="36">
        <f>SUM(CC19:CC48)</f>
        <v/>
      </c>
      <c r="CD50" s="36">
        <f>SUM(CD19:CD48)</f>
        <v/>
      </c>
      <c r="CE50" s="36">
        <f>SUM(CE19:CE48)</f>
        <v/>
      </c>
      <c r="CF50" s="36">
        <f>SUM(CF19:CF48)</f>
        <v/>
      </c>
      <c r="CG50" s="36">
        <f>SUM(CG19:CG48)</f>
        <v/>
      </c>
      <c r="CH50" s="36">
        <f>SUM(CH19:CH48)</f>
        <v/>
      </c>
      <c r="CI50" s="36">
        <f>SUM(CI19:CI48)</f>
        <v/>
      </c>
      <c r="CJ50" s="36">
        <f>SUM(CJ19:CJ48)</f>
        <v/>
      </c>
      <c r="CK50" s="36">
        <f>SUM(CK19:CK48)</f>
        <v/>
      </c>
      <c r="CL50" s="36">
        <f>SUM(CL19:CL48)</f>
        <v/>
      </c>
      <c r="CM50" s="36">
        <f>SUM(CM19:CM48)</f>
        <v/>
      </c>
      <c r="CN50" s="36">
        <f>SUM(CN19:CN48)</f>
        <v/>
      </c>
      <c r="CO50" s="36">
        <f>SUM(CO19:CO48)</f>
        <v/>
      </c>
      <c r="CP50" s="36">
        <f>SUM(CP19:CP48)</f>
        <v/>
      </c>
      <c r="CQ50" s="36">
        <f>SUM(CQ19:CQ48)</f>
        <v/>
      </c>
      <c r="CR50" s="36">
        <f>SUM(CR19:CR48)</f>
        <v/>
      </c>
      <c r="CS50" s="36">
        <f>SUM(CS19:CS48)</f>
        <v/>
      </c>
      <c r="CT50" s="36">
        <f>SUM(CT19:CT48)</f>
        <v/>
      </c>
      <c r="CU50" s="36">
        <f>SUM(CU19:CU48)</f>
        <v/>
      </c>
      <c r="CV50" s="36">
        <f>SUM(CV19:CV48)</f>
        <v/>
      </c>
      <c r="CW50" s="36">
        <f>SUM(CW19:CW48)</f>
        <v/>
      </c>
      <c r="CX50" s="36">
        <f>SUM(CX19:CX48)</f>
        <v/>
      </c>
      <c r="CY50" s="36">
        <f>SUM(CY19:CY48)</f>
        <v/>
      </c>
      <c r="CZ50" s="36">
        <f>SUM(CZ19:CZ48)</f>
        <v/>
      </c>
      <c r="DA50" s="36">
        <f>SUM(DA19:DA48)</f>
        <v/>
      </c>
      <c r="DB50" s="36">
        <f>SUM(DB19:DB48)</f>
        <v/>
      </c>
      <c r="DC50" s="36">
        <f>SUM(DC19:DC48)</f>
        <v/>
      </c>
      <c r="DD50" s="36">
        <f>SUM(DD19:DD48)</f>
        <v/>
      </c>
      <c r="DE50" s="36">
        <f>SUM(DE19:DE48)</f>
        <v/>
      </c>
      <c r="DF50" s="36">
        <f>SUM(DF19:DF48)</f>
        <v/>
      </c>
      <c r="DG50" s="36">
        <f>SUM(DG19:DG48)</f>
        <v/>
      </c>
      <c r="DH50" s="36">
        <f>SUM(DH19:DH48)</f>
        <v/>
      </c>
      <c r="DI50" s="36">
        <f>SUM(DI19:DI48)</f>
        <v/>
      </c>
      <c r="DJ50" s="36">
        <f>SUM(DJ19:DJ48)</f>
        <v/>
      </c>
      <c r="DK50" s="36">
        <f>SUM(DK19:DK48)</f>
        <v/>
      </c>
      <c r="DL50" s="36">
        <f>SUM(DL19:DL48)</f>
        <v/>
      </c>
      <c r="DM50" s="36">
        <f>SUM(DM19:DM48)</f>
        <v/>
      </c>
      <c r="DN50" s="36">
        <f>SUM(DN19:DN48)</f>
        <v/>
      </c>
      <c r="DO50" s="36">
        <f>SUM(DO19:DO48)</f>
        <v/>
      </c>
      <c r="DP50" s="36">
        <f>SUM(DP19:DP48)</f>
        <v/>
      </c>
      <c r="DQ50" s="36">
        <f>SUM(DQ19:DQ48)</f>
        <v/>
      </c>
      <c r="DR50" s="36">
        <f>SUM(DR19:DR48)</f>
        <v/>
      </c>
      <c r="DS50" s="36">
        <f>SUM(DS19:DS48)</f>
        <v/>
      </c>
      <c r="DT50" s="36">
        <f>SUM(DT19:DT48)</f>
        <v/>
      </c>
      <c r="DU50" s="36">
        <f>SUM(DU19:DU48)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U42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25" customHeight="1">
      <c r="A1" s="1" t="inlineStr">
        <is>
          <t>PRICING &amp; REVENUE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6">
      <c r="A6" t="inlineStr">
        <is>
          <t>FY</t>
        </is>
      </c>
      <c r="F6" s="8">
        <f>YEAR(F4)</f>
        <v/>
      </c>
      <c r="G6" s="8">
        <f>YEAR(G4)</f>
        <v/>
      </c>
      <c r="H6" s="8">
        <f>YEAR(H4)</f>
        <v/>
      </c>
      <c r="I6" s="8">
        <f>YEAR(I4)</f>
        <v/>
      </c>
      <c r="J6" s="8">
        <f>YEAR(J4)</f>
        <v/>
      </c>
      <c r="K6" s="8">
        <f>YEAR(K4)</f>
        <v/>
      </c>
      <c r="L6" s="8">
        <f>YEAR(L4)</f>
        <v/>
      </c>
      <c r="M6" s="8">
        <f>YEAR(M4)</f>
        <v/>
      </c>
      <c r="N6" s="8">
        <f>YEAR(N4)</f>
        <v/>
      </c>
      <c r="O6" s="8">
        <f>YEAR(O4)</f>
        <v/>
      </c>
      <c r="P6" s="8">
        <f>YEAR(P4)</f>
        <v/>
      </c>
      <c r="Q6" s="8">
        <f>YEAR(Q4)</f>
        <v/>
      </c>
      <c r="R6" s="8">
        <f>YEAR(R4)</f>
        <v/>
      </c>
      <c r="S6" s="8">
        <f>YEAR(S4)</f>
        <v/>
      </c>
      <c r="T6" s="8">
        <f>YEAR(T4)</f>
        <v/>
      </c>
      <c r="U6" s="8">
        <f>YEAR(U4)</f>
        <v/>
      </c>
      <c r="V6" s="8">
        <f>YEAR(V4)</f>
        <v/>
      </c>
      <c r="W6" s="8">
        <f>YEAR(W4)</f>
        <v/>
      </c>
      <c r="X6" s="8">
        <f>YEAR(X4)</f>
        <v/>
      </c>
      <c r="Y6" s="8">
        <f>YEAR(Y4)</f>
        <v/>
      </c>
      <c r="Z6" s="8">
        <f>YEAR(Z4)</f>
        <v/>
      </c>
      <c r="AA6" s="8">
        <f>YEAR(AA4)</f>
        <v/>
      </c>
      <c r="AB6" s="8">
        <f>YEAR(AB4)</f>
        <v/>
      </c>
      <c r="AC6" s="8">
        <f>YEAR(AC4)</f>
        <v/>
      </c>
      <c r="AD6" s="8">
        <f>YEAR(AD4)</f>
        <v/>
      </c>
      <c r="AE6" s="8">
        <f>YEAR(AE4)</f>
        <v/>
      </c>
      <c r="AF6" s="8">
        <f>YEAR(AF4)</f>
        <v/>
      </c>
      <c r="AG6" s="8">
        <f>YEAR(AG4)</f>
        <v/>
      </c>
      <c r="AH6" s="8">
        <f>YEAR(AH4)</f>
        <v/>
      </c>
      <c r="AI6" s="8">
        <f>YEAR(AI4)</f>
        <v/>
      </c>
      <c r="AJ6" s="8">
        <f>YEAR(AJ4)</f>
        <v/>
      </c>
      <c r="AK6" s="8">
        <f>YEAR(AK4)</f>
        <v/>
      </c>
      <c r="AL6" s="8">
        <f>YEAR(AL4)</f>
        <v/>
      </c>
      <c r="AM6" s="8">
        <f>YEAR(AM4)</f>
        <v/>
      </c>
      <c r="AN6" s="8">
        <f>YEAR(AN4)</f>
        <v/>
      </c>
      <c r="AO6" s="8">
        <f>YEAR(AO4)</f>
        <v/>
      </c>
      <c r="AP6" s="8">
        <f>YEAR(AP4)</f>
        <v/>
      </c>
      <c r="AQ6" s="8">
        <f>YEAR(AQ4)</f>
        <v/>
      </c>
      <c r="AR6" s="8">
        <f>YEAR(AR4)</f>
        <v/>
      </c>
      <c r="AS6" s="8">
        <f>YEAR(AS4)</f>
        <v/>
      </c>
      <c r="AT6" s="8">
        <f>YEAR(AT4)</f>
        <v/>
      </c>
      <c r="AU6" s="8">
        <f>YEAR(AU4)</f>
        <v/>
      </c>
      <c r="AV6" s="8">
        <f>YEAR(AV4)</f>
        <v/>
      </c>
      <c r="AW6" s="8">
        <f>YEAR(AW4)</f>
        <v/>
      </c>
      <c r="AX6" s="8">
        <f>YEAR(AX4)</f>
        <v/>
      </c>
      <c r="AY6" s="8">
        <f>YEAR(AY4)</f>
        <v/>
      </c>
      <c r="AZ6" s="8">
        <f>YEAR(AZ4)</f>
        <v/>
      </c>
      <c r="BA6" s="8">
        <f>YEAR(BA4)</f>
        <v/>
      </c>
      <c r="BB6" s="8">
        <f>YEAR(BB4)</f>
        <v/>
      </c>
      <c r="BC6" s="8">
        <f>YEAR(BC4)</f>
        <v/>
      </c>
      <c r="BD6" s="8">
        <f>YEAR(BD4)</f>
        <v/>
      </c>
      <c r="BE6" s="8">
        <f>YEAR(BE4)</f>
        <v/>
      </c>
      <c r="BF6" s="8">
        <f>YEAR(BF4)</f>
        <v/>
      </c>
      <c r="BG6" s="8">
        <f>YEAR(BG4)</f>
        <v/>
      </c>
      <c r="BH6" s="8">
        <f>YEAR(BH4)</f>
        <v/>
      </c>
      <c r="BI6" s="8">
        <f>YEAR(BI4)</f>
        <v/>
      </c>
      <c r="BJ6" s="8">
        <f>YEAR(BJ4)</f>
        <v/>
      </c>
      <c r="BK6" s="8">
        <f>YEAR(BK4)</f>
        <v/>
      </c>
      <c r="BL6" s="8">
        <f>YEAR(BL4)</f>
        <v/>
      </c>
      <c r="BM6" s="8">
        <f>YEAR(BM4)</f>
        <v/>
      </c>
      <c r="BN6" s="8">
        <f>YEAR(BN4)</f>
        <v/>
      </c>
      <c r="BO6" s="8">
        <f>YEAR(BO4)</f>
        <v/>
      </c>
      <c r="BP6" s="8">
        <f>YEAR(BP4)</f>
        <v/>
      </c>
      <c r="BQ6" s="8">
        <f>YEAR(BQ4)</f>
        <v/>
      </c>
      <c r="BR6" s="8">
        <f>YEAR(BR4)</f>
        <v/>
      </c>
      <c r="BS6" s="8">
        <f>YEAR(BS4)</f>
        <v/>
      </c>
      <c r="BT6" s="8">
        <f>YEAR(BT4)</f>
        <v/>
      </c>
      <c r="BU6" s="8">
        <f>YEAR(BU4)</f>
        <v/>
      </c>
      <c r="BV6" s="8">
        <f>YEAR(BV4)</f>
        <v/>
      </c>
      <c r="BW6" s="8">
        <f>YEAR(BW4)</f>
        <v/>
      </c>
      <c r="BX6" s="8">
        <f>YEAR(BX4)</f>
        <v/>
      </c>
      <c r="BY6" s="8">
        <f>YEAR(BY4)</f>
        <v/>
      </c>
      <c r="BZ6" s="8">
        <f>YEAR(BZ4)</f>
        <v/>
      </c>
      <c r="CA6" s="8">
        <f>YEAR(CA4)</f>
        <v/>
      </c>
      <c r="CB6" s="8">
        <f>YEAR(CB4)</f>
        <v/>
      </c>
      <c r="CC6" s="8">
        <f>YEAR(CC4)</f>
        <v/>
      </c>
      <c r="CD6" s="8">
        <f>YEAR(CD4)</f>
        <v/>
      </c>
      <c r="CE6" s="8">
        <f>YEAR(CE4)</f>
        <v/>
      </c>
      <c r="CF6" s="8">
        <f>YEAR(CF4)</f>
        <v/>
      </c>
      <c r="CG6" s="8">
        <f>YEAR(CG4)</f>
        <v/>
      </c>
      <c r="CH6" s="8">
        <f>YEAR(CH4)</f>
        <v/>
      </c>
      <c r="CI6" s="8">
        <f>YEAR(CI4)</f>
        <v/>
      </c>
      <c r="CJ6" s="8">
        <f>YEAR(CJ4)</f>
        <v/>
      </c>
      <c r="CK6" s="8">
        <f>YEAR(CK4)</f>
        <v/>
      </c>
      <c r="CL6" s="8">
        <f>YEAR(CL4)</f>
        <v/>
      </c>
      <c r="CM6" s="8">
        <f>YEAR(CM4)</f>
        <v/>
      </c>
      <c r="CN6" s="8">
        <f>YEAR(CN4)</f>
        <v/>
      </c>
      <c r="CO6" s="8">
        <f>YEAR(CO4)</f>
        <v/>
      </c>
      <c r="CP6" s="8">
        <f>YEAR(CP4)</f>
        <v/>
      </c>
      <c r="CQ6" s="8">
        <f>YEAR(CQ4)</f>
        <v/>
      </c>
      <c r="CR6" s="8">
        <f>YEAR(CR4)</f>
        <v/>
      </c>
      <c r="CS6" s="8">
        <f>YEAR(CS4)</f>
        <v/>
      </c>
      <c r="CT6" s="8">
        <f>YEAR(CT4)</f>
        <v/>
      </c>
      <c r="CU6" s="8">
        <f>YEAR(CU4)</f>
        <v/>
      </c>
      <c r="CV6" s="8">
        <f>YEAR(CV4)</f>
        <v/>
      </c>
      <c r="CW6" s="8">
        <f>YEAR(CW4)</f>
        <v/>
      </c>
      <c r="CX6" s="8">
        <f>YEAR(CX4)</f>
        <v/>
      </c>
      <c r="CY6" s="8">
        <f>YEAR(CY4)</f>
        <v/>
      </c>
      <c r="CZ6" s="8">
        <f>YEAR(CZ4)</f>
        <v/>
      </c>
      <c r="DA6" s="8">
        <f>YEAR(DA4)</f>
        <v/>
      </c>
      <c r="DB6" s="8">
        <f>YEAR(DB4)</f>
        <v/>
      </c>
      <c r="DC6" s="8">
        <f>YEAR(DC4)</f>
        <v/>
      </c>
      <c r="DD6" s="8">
        <f>YEAR(DD4)</f>
        <v/>
      </c>
      <c r="DE6" s="8">
        <f>YEAR(DE4)</f>
        <v/>
      </c>
      <c r="DF6" s="8">
        <f>YEAR(DF4)</f>
        <v/>
      </c>
      <c r="DG6" s="8">
        <f>YEAR(DG4)</f>
        <v/>
      </c>
      <c r="DH6" s="8">
        <f>YEAR(DH4)</f>
        <v/>
      </c>
      <c r="DI6" s="8">
        <f>YEAR(DI4)</f>
        <v/>
      </c>
      <c r="DJ6" s="8">
        <f>YEAR(DJ4)</f>
        <v/>
      </c>
      <c r="DK6" s="8">
        <f>YEAR(DK4)</f>
        <v/>
      </c>
      <c r="DL6" s="8">
        <f>YEAR(DL4)</f>
        <v/>
      </c>
      <c r="DM6" s="8">
        <f>YEAR(DM4)</f>
        <v/>
      </c>
      <c r="DN6" s="8">
        <f>YEAR(DN4)</f>
        <v/>
      </c>
      <c r="DO6" s="8">
        <f>YEAR(DO4)</f>
        <v/>
      </c>
      <c r="DP6" s="8">
        <f>YEAR(DP4)</f>
        <v/>
      </c>
      <c r="DQ6" s="8">
        <f>YEAR(DQ4)</f>
        <v/>
      </c>
      <c r="DR6" s="8">
        <f>YEAR(DR4)</f>
        <v/>
      </c>
      <c r="DS6" s="8">
        <f>YEAR(DS4)</f>
        <v/>
      </c>
      <c r="DT6" s="8">
        <f>YEAR(DT4)</f>
        <v/>
      </c>
      <c r="DU6" s="8">
        <f>YEAR(DU4)</f>
        <v/>
      </c>
    </row>
    <row r="7">
      <c r="A7" t="inlineStr">
        <is>
          <t>Quarter</t>
        </is>
      </c>
      <c r="F7" s="8">
        <f>"Q"&amp;ROUNDUP(MONTH(F4)/3,0)</f>
        <v/>
      </c>
      <c r="G7" s="8">
        <f>"Q"&amp;ROUNDUP(MONTH(G4)/3,0)</f>
        <v/>
      </c>
      <c r="H7" s="8">
        <f>"Q"&amp;ROUNDUP(MONTH(H4)/3,0)</f>
        <v/>
      </c>
      <c r="I7" s="8">
        <f>"Q"&amp;ROUNDUP(MONTH(I4)/3,0)</f>
        <v/>
      </c>
      <c r="J7" s="8">
        <f>"Q"&amp;ROUNDUP(MONTH(J4)/3,0)</f>
        <v/>
      </c>
      <c r="K7" s="8">
        <f>"Q"&amp;ROUNDUP(MONTH(K4)/3,0)</f>
        <v/>
      </c>
      <c r="L7" s="8">
        <f>"Q"&amp;ROUNDUP(MONTH(L4)/3,0)</f>
        <v/>
      </c>
      <c r="M7" s="8">
        <f>"Q"&amp;ROUNDUP(MONTH(M4)/3,0)</f>
        <v/>
      </c>
      <c r="N7" s="8">
        <f>"Q"&amp;ROUNDUP(MONTH(N4)/3,0)</f>
        <v/>
      </c>
      <c r="O7" s="8">
        <f>"Q"&amp;ROUNDUP(MONTH(O4)/3,0)</f>
        <v/>
      </c>
      <c r="P7" s="8">
        <f>"Q"&amp;ROUNDUP(MONTH(P4)/3,0)</f>
        <v/>
      </c>
      <c r="Q7" s="8">
        <f>"Q"&amp;ROUNDUP(MONTH(Q4)/3,0)</f>
        <v/>
      </c>
      <c r="R7" s="8">
        <f>"Q"&amp;ROUNDUP(MONTH(R4)/3,0)</f>
        <v/>
      </c>
      <c r="S7" s="8">
        <f>"Q"&amp;ROUNDUP(MONTH(S4)/3,0)</f>
        <v/>
      </c>
      <c r="T7" s="8">
        <f>"Q"&amp;ROUNDUP(MONTH(T4)/3,0)</f>
        <v/>
      </c>
      <c r="U7" s="8">
        <f>"Q"&amp;ROUNDUP(MONTH(U4)/3,0)</f>
        <v/>
      </c>
      <c r="V7" s="8">
        <f>"Q"&amp;ROUNDUP(MONTH(V4)/3,0)</f>
        <v/>
      </c>
      <c r="W7" s="8">
        <f>"Q"&amp;ROUNDUP(MONTH(W4)/3,0)</f>
        <v/>
      </c>
      <c r="X7" s="8">
        <f>"Q"&amp;ROUNDUP(MONTH(X4)/3,0)</f>
        <v/>
      </c>
      <c r="Y7" s="8">
        <f>"Q"&amp;ROUNDUP(MONTH(Y4)/3,0)</f>
        <v/>
      </c>
      <c r="Z7" s="8">
        <f>"Q"&amp;ROUNDUP(MONTH(Z4)/3,0)</f>
        <v/>
      </c>
      <c r="AA7" s="8">
        <f>"Q"&amp;ROUNDUP(MONTH(AA4)/3,0)</f>
        <v/>
      </c>
      <c r="AB7" s="8">
        <f>"Q"&amp;ROUNDUP(MONTH(AB4)/3,0)</f>
        <v/>
      </c>
      <c r="AC7" s="8">
        <f>"Q"&amp;ROUNDUP(MONTH(AC4)/3,0)</f>
        <v/>
      </c>
      <c r="AD7" s="8">
        <f>"Q"&amp;ROUNDUP(MONTH(AD4)/3,0)</f>
        <v/>
      </c>
      <c r="AE7" s="8">
        <f>"Q"&amp;ROUNDUP(MONTH(AE4)/3,0)</f>
        <v/>
      </c>
      <c r="AF7" s="8">
        <f>"Q"&amp;ROUNDUP(MONTH(AF4)/3,0)</f>
        <v/>
      </c>
      <c r="AG7" s="8">
        <f>"Q"&amp;ROUNDUP(MONTH(AG4)/3,0)</f>
        <v/>
      </c>
      <c r="AH7" s="8">
        <f>"Q"&amp;ROUNDUP(MONTH(AH4)/3,0)</f>
        <v/>
      </c>
      <c r="AI7" s="8">
        <f>"Q"&amp;ROUNDUP(MONTH(AI4)/3,0)</f>
        <v/>
      </c>
      <c r="AJ7" s="8">
        <f>"Q"&amp;ROUNDUP(MONTH(AJ4)/3,0)</f>
        <v/>
      </c>
      <c r="AK7" s="8">
        <f>"Q"&amp;ROUNDUP(MONTH(AK4)/3,0)</f>
        <v/>
      </c>
      <c r="AL7" s="8">
        <f>"Q"&amp;ROUNDUP(MONTH(AL4)/3,0)</f>
        <v/>
      </c>
      <c r="AM7" s="8">
        <f>"Q"&amp;ROUNDUP(MONTH(AM4)/3,0)</f>
        <v/>
      </c>
      <c r="AN7" s="8">
        <f>"Q"&amp;ROUNDUP(MONTH(AN4)/3,0)</f>
        <v/>
      </c>
      <c r="AO7" s="8">
        <f>"Q"&amp;ROUNDUP(MONTH(AO4)/3,0)</f>
        <v/>
      </c>
      <c r="AP7" s="8">
        <f>"Q"&amp;ROUNDUP(MONTH(AP4)/3,0)</f>
        <v/>
      </c>
      <c r="AQ7" s="8">
        <f>"Q"&amp;ROUNDUP(MONTH(AQ4)/3,0)</f>
        <v/>
      </c>
      <c r="AR7" s="8">
        <f>"Q"&amp;ROUNDUP(MONTH(AR4)/3,0)</f>
        <v/>
      </c>
      <c r="AS7" s="8">
        <f>"Q"&amp;ROUNDUP(MONTH(AS4)/3,0)</f>
        <v/>
      </c>
      <c r="AT7" s="8">
        <f>"Q"&amp;ROUNDUP(MONTH(AT4)/3,0)</f>
        <v/>
      </c>
      <c r="AU7" s="8">
        <f>"Q"&amp;ROUNDUP(MONTH(AU4)/3,0)</f>
        <v/>
      </c>
      <c r="AV7" s="8">
        <f>"Q"&amp;ROUNDUP(MONTH(AV4)/3,0)</f>
        <v/>
      </c>
      <c r="AW7" s="8">
        <f>"Q"&amp;ROUNDUP(MONTH(AW4)/3,0)</f>
        <v/>
      </c>
      <c r="AX7" s="8">
        <f>"Q"&amp;ROUNDUP(MONTH(AX4)/3,0)</f>
        <v/>
      </c>
      <c r="AY7" s="8">
        <f>"Q"&amp;ROUNDUP(MONTH(AY4)/3,0)</f>
        <v/>
      </c>
      <c r="AZ7" s="8">
        <f>"Q"&amp;ROUNDUP(MONTH(AZ4)/3,0)</f>
        <v/>
      </c>
      <c r="BA7" s="8">
        <f>"Q"&amp;ROUNDUP(MONTH(BA4)/3,0)</f>
        <v/>
      </c>
      <c r="BB7" s="8">
        <f>"Q"&amp;ROUNDUP(MONTH(BB4)/3,0)</f>
        <v/>
      </c>
      <c r="BC7" s="8">
        <f>"Q"&amp;ROUNDUP(MONTH(BC4)/3,0)</f>
        <v/>
      </c>
      <c r="BD7" s="8">
        <f>"Q"&amp;ROUNDUP(MONTH(BD4)/3,0)</f>
        <v/>
      </c>
      <c r="BE7" s="8">
        <f>"Q"&amp;ROUNDUP(MONTH(BE4)/3,0)</f>
        <v/>
      </c>
      <c r="BF7" s="8">
        <f>"Q"&amp;ROUNDUP(MONTH(BF4)/3,0)</f>
        <v/>
      </c>
      <c r="BG7" s="8">
        <f>"Q"&amp;ROUNDUP(MONTH(BG4)/3,0)</f>
        <v/>
      </c>
      <c r="BH7" s="8">
        <f>"Q"&amp;ROUNDUP(MONTH(BH4)/3,0)</f>
        <v/>
      </c>
      <c r="BI7" s="8">
        <f>"Q"&amp;ROUNDUP(MONTH(BI4)/3,0)</f>
        <v/>
      </c>
      <c r="BJ7" s="8">
        <f>"Q"&amp;ROUNDUP(MONTH(BJ4)/3,0)</f>
        <v/>
      </c>
      <c r="BK7" s="8">
        <f>"Q"&amp;ROUNDUP(MONTH(BK4)/3,0)</f>
        <v/>
      </c>
      <c r="BL7" s="8">
        <f>"Q"&amp;ROUNDUP(MONTH(BL4)/3,0)</f>
        <v/>
      </c>
      <c r="BM7" s="8">
        <f>"Q"&amp;ROUNDUP(MONTH(BM4)/3,0)</f>
        <v/>
      </c>
      <c r="BN7" s="8">
        <f>"Q"&amp;ROUNDUP(MONTH(BN4)/3,0)</f>
        <v/>
      </c>
      <c r="BO7" s="8">
        <f>"Q"&amp;ROUNDUP(MONTH(BO4)/3,0)</f>
        <v/>
      </c>
      <c r="BP7" s="8">
        <f>"Q"&amp;ROUNDUP(MONTH(BP4)/3,0)</f>
        <v/>
      </c>
      <c r="BQ7" s="8">
        <f>"Q"&amp;ROUNDUP(MONTH(BQ4)/3,0)</f>
        <v/>
      </c>
      <c r="BR7" s="8">
        <f>"Q"&amp;ROUNDUP(MONTH(BR4)/3,0)</f>
        <v/>
      </c>
      <c r="BS7" s="8">
        <f>"Q"&amp;ROUNDUP(MONTH(BS4)/3,0)</f>
        <v/>
      </c>
      <c r="BT7" s="8">
        <f>"Q"&amp;ROUNDUP(MONTH(BT4)/3,0)</f>
        <v/>
      </c>
      <c r="BU7" s="8">
        <f>"Q"&amp;ROUNDUP(MONTH(BU4)/3,0)</f>
        <v/>
      </c>
      <c r="BV7" s="8">
        <f>"Q"&amp;ROUNDUP(MONTH(BV4)/3,0)</f>
        <v/>
      </c>
      <c r="BW7" s="8">
        <f>"Q"&amp;ROUNDUP(MONTH(BW4)/3,0)</f>
        <v/>
      </c>
      <c r="BX7" s="8">
        <f>"Q"&amp;ROUNDUP(MONTH(BX4)/3,0)</f>
        <v/>
      </c>
      <c r="BY7" s="8">
        <f>"Q"&amp;ROUNDUP(MONTH(BY4)/3,0)</f>
        <v/>
      </c>
      <c r="BZ7" s="8">
        <f>"Q"&amp;ROUNDUP(MONTH(BZ4)/3,0)</f>
        <v/>
      </c>
      <c r="CA7" s="8">
        <f>"Q"&amp;ROUNDUP(MONTH(CA4)/3,0)</f>
        <v/>
      </c>
      <c r="CB7" s="8">
        <f>"Q"&amp;ROUNDUP(MONTH(CB4)/3,0)</f>
        <v/>
      </c>
      <c r="CC7" s="8">
        <f>"Q"&amp;ROUNDUP(MONTH(CC4)/3,0)</f>
        <v/>
      </c>
      <c r="CD7" s="8">
        <f>"Q"&amp;ROUNDUP(MONTH(CD4)/3,0)</f>
        <v/>
      </c>
      <c r="CE7" s="8">
        <f>"Q"&amp;ROUNDUP(MONTH(CE4)/3,0)</f>
        <v/>
      </c>
      <c r="CF7" s="8">
        <f>"Q"&amp;ROUNDUP(MONTH(CF4)/3,0)</f>
        <v/>
      </c>
      <c r="CG7" s="8">
        <f>"Q"&amp;ROUNDUP(MONTH(CG4)/3,0)</f>
        <v/>
      </c>
      <c r="CH7" s="8">
        <f>"Q"&amp;ROUNDUP(MONTH(CH4)/3,0)</f>
        <v/>
      </c>
      <c r="CI7" s="8">
        <f>"Q"&amp;ROUNDUP(MONTH(CI4)/3,0)</f>
        <v/>
      </c>
      <c r="CJ7" s="8">
        <f>"Q"&amp;ROUNDUP(MONTH(CJ4)/3,0)</f>
        <v/>
      </c>
      <c r="CK7" s="8">
        <f>"Q"&amp;ROUNDUP(MONTH(CK4)/3,0)</f>
        <v/>
      </c>
      <c r="CL7" s="8">
        <f>"Q"&amp;ROUNDUP(MONTH(CL4)/3,0)</f>
        <v/>
      </c>
      <c r="CM7" s="8">
        <f>"Q"&amp;ROUNDUP(MONTH(CM4)/3,0)</f>
        <v/>
      </c>
      <c r="CN7" s="8">
        <f>"Q"&amp;ROUNDUP(MONTH(CN4)/3,0)</f>
        <v/>
      </c>
      <c r="CO7" s="8">
        <f>"Q"&amp;ROUNDUP(MONTH(CO4)/3,0)</f>
        <v/>
      </c>
      <c r="CP7" s="8">
        <f>"Q"&amp;ROUNDUP(MONTH(CP4)/3,0)</f>
        <v/>
      </c>
      <c r="CQ7" s="8">
        <f>"Q"&amp;ROUNDUP(MONTH(CQ4)/3,0)</f>
        <v/>
      </c>
      <c r="CR7" s="8">
        <f>"Q"&amp;ROUNDUP(MONTH(CR4)/3,0)</f>
        <v/>
      </c>
      <c r="CS7" s="8">
        <f>"Q"&amp;ROUNDUP(MONTH(CS4)/3,0)</f>
        <v/>
      </c>
      <c r="CT7" s="8">
        <f>"Q"&amp;ROUNDUP(MONTH(CT4)/3,0)</f>
        <v/>
      </c>
      <c r="CU7" s="8">
        <f>"Q"&amp;ROUNDUP(MONTH(CU4)/3,0)</f>
        <v/>
      </c>
      <c r="CV7" s="8">
        <f>"Q"&amp;ROUNDUP(MONTH(CV4)/3,0)</f>
        <v/>
      </c>
      <c r="CW7" s="8">
        <f>"Q"&amp;ROUNDUP(MONTH(CW4)/3,0)</f>
        <v/>
      </c>
      <c r="CX7" s="8">
        <f>"Q"&amp;ROUNDUP(MONTH(CX4)/3,0)</f>
        <v/>
      </c>
      <c r="CY7" s="8">
        <f>"Q"&amp;ROUNDUP(MONTH(CY4)/3,0)</f>
        <v/>
      </c>
      <c r="CZ7" s="8">
        <f>"Q"&amp;ROUNDUP(MONTH(CZ4)/3,0)</f>
        <v/>
      </c>
      <c r="DA7" s="8">
        <f>"Q"&amp;ROUNDUP(MONTH(DA4)/3,0)</f>
        <v/>
      </c>
      <c r="DB7" s="8">
        <f>"Q"&amp;ROUNDUP(MONTH(DB4)/3,0)</f>
        <v/>
      </c>
      <c r="DC7" s="8">
        <f>"Q"&amp;ROUNDUP(MONTH(DC4)/3,0)</f>
        <v/>
      </c>
      <c r="DD7" s="8">
        <f>"Q"&amp;ROUNDUP(MONTH(DD4)/3,0)</f>
        <v/>
      </c>
      <c r="DE7" s="8">
        <f>"Q"&amp;ROUNDUP(MONTH(DE4)/3,0)</f>
        <v/>
      </c>
      <c r="DF7" s="8">
        <f>"Q"&amp;ROUNDUP(MONTH(DF4)/3,0)</f>
        <v/>
      </c>
      <c r="DG7" s="8">
        <f>"Q"&amp;ROUNDUP(MONTH(DG4)/3,0)</f>
        <v/>
      </c>
      <c r="DH7" s="8">
        <f>"Q"&amp;ROUNDUP(MONTH(DH4)/3,0)</f>
        <v/>
      </c>
      <c r="DI7" s="8">
        <f>"Q"&amp;ROUNDUP(MONTH(DI4)/3,0)</f>
        <v/>
      </c>
      <c r="DJ7" s="8">
        <f>"Q"&amp;ROUNDUP(MONTH(DJ4)/3,0)</f>
        <v/>
      </c>
      <c r="DK7" s="8">
        <f>"Q"&amp;ROUNDUP(MONTH(DK4)/3,0)</f>
        <v/>
      </c>
      <c r="DL7" s="8">
        <f>"Q"&amp;ROUNDUP(MONTH(DL4)/3,0)</f>
        <v/>
      </c>
      <c r="DM7" s="8">
        <f>"Q"&amp;ROUNDUP(MONTH(DM4)/3,0)</f>
        <v/>
      </c>
      <c r="DN7" s="8">
        <f>"Q"&amp;ROUNDUP(MONTH(DN4)/3,0)</f>
        <v/>
      </c>
      <c r="DO7" s="8">
        <f>"Q"&amp;ROUNDUP(MONTH(DO4)/3,0)</f>
        <v/>
      </c>
      <c r="DP7" s="8">
        <f>"Q"&amp;ROUNDUP(MONTH(DP4)/3,0)</f>
        <v/>
      </c>
      <c r="DQ7" s="8">
        <f>"Q"&amp;ROUNDUP(MONTH(DQ4)/3,0)</f>
        <v/>
      </c>
      <c r="DR7" s="8">
        <f>"Q"&amp;ROUNDUP(MONTH(DR4)/3,0)</f>
        <v/>
      </c>
      <c r="DS7" s="8">
        <f>"Q"&amp;ROUNDUP(MONTH(DS4)/3,0)</f>
        <v/>
      </c>
      <c r="DT7" s="8">
        <f>"Q"&amp;ROUNDUP(MONTH(DT4)/3,0)</f>
        <v/>
      </c>
      <c r="DU7" s="8">
        <f>"Q"&amp;ROUNDUP(MONTH(DU4)/3,0)</f>
        <v/>
      </c>
    </row>
    <row r="10">
      <c r="A10" s="11" t="inlineStr">
        <is>
          <t>Gross Price ($/HL)</t>
        </is>
      </c>
    </row>
    <row r="11">
      <c r="A11" s="12" t="inlineStr">
        <is>
          <t>Brand-Pack-Channel</t>
        </is>
      </c>
      <c r="B11" s="12" t="inlineStr">
        <is>
          <t>Year 1 $/HL</t>
        </is>
      </c>
      <c r="C11" s="12" t="inlineStr">
        <is>
          <t>Esc % Base</t>
        </is>
      </c>
      <c r="D11" s="12" t="inlineStr">
        <is>
          <t>Upside</t>
        </is>
      </c>
      <c r="E11" s="12" t="inlineStr">
        <is>
          <t>Downside</t>
        </is>
      </c>
    </row>
    <row r="12">
      <c r="A12" t="inlineStr">
        <is>
          <t>SkyBrew-Bottles-OnTrade</t>
        </is>
      </c>
      <c r="B12" s="37" t="n">
        <v>180</v>
      </c>
      <c r="C12" s="22" t="n">
        <v>0.025</v>
      </c>
      <c r="D12" s="22" t="n">
        <v>0.035</v>
      </c>
      <c r="E12" s="22" t="n">
        <v>0.015</v>
      </c>
    </row>
    <row r="13">
      <c r="A13" t="inlineStr">
        <is>
          <t>SkyBrew-Bottles-OffTrade</t>
        </is>
      </c>
      <c r="B13" s="37" t="n">
        <v>160</v>
      </c>
      <c r="C13" s="22" t="n">
        <v>0.025</v>
      </c>
      <c r="D13" s="22" t="n">
        <v>0.035</v>
      </c>
      <c r="E13" s="22" t="n">
        <v>0.015</v>
      </c>
    </row>
    <row r="14">
      <c r="A14" t="inlineStr">
        <is>
          <t>SkyBrew-Cans-OnTrade</t>
        </is>
      </c>
      <c r="B14" s="37" t="n">
        <v>175</v>
      </c>
      <c r="C14" s="22" t="n">
        <v>0.025</v>
      </c>
      <c r="D14" s="22" t="n">
        <v>0.035</v>
      </c>
      <c r="E14" s="22" t="n">
        <v>0.015</v>
      </c>
    </row>
    <row r="15">
      <c r="A15" t="inlineStr">
        <is>
          <t>SkyBrew-Cans-OffTrade</t>
        </is>
      </c>
      <c r="B15" s="37" t="n">
        <v>155</v>
      </c>
      <c r="C15" s="22" t="n">
        <v>0.025</v>
      </c>
      <c r="D15" s="22" t="n">
        <v>0.035</v>
      </c>
      <c r="E15" s="22" t="n">
        <v>0.015</v>
      </c>
    </row>
    <row r="16">
      <c r="A16" t="inlineStr">
        <is>
          <t>SkyBrew-Kegs-OnTrade</t>
        </is>
      </c>
      <c r="B16" s="37" t="n">
        <v>170</v>
      </c>
      <c r="C16" s="22" t="n">
        <v>0.025</v>
      </c>
      <c r="D16" s="22" t="n">
        <v>0.035</v>
      </c>
      <c r="E16" s="22" t="n">
        <v>0.015</v>
      </c>
    </row>
    <row r="17">
      <c r="A17" t="inlineStr">
        <is>
          <t>AllDark-Bottles-OnTrade</t>
        </is>
      </c>
      <c r="B17" s="37" t="n">
        <v>200</v>
      </c>
      <c r="C17" s="22" t="n">
        <v>0.025</v>
      </c>
      <c r="D17" s="22" t="n">
        <v>0.035</v>
      </c>
      <c r="E17" s="22" t="n">
        <v>0.015</v>
      </c>
    </row>
    <row r="18">
      <c r="A18" t="inlineStr">
        <is>
          <t>AllDark-Bottles-OffTrade</t>
        </is>
      </c>
      <c r="B18" s="37" t="n">
        <v>180</v>
      </c>
      <c r="C18" s="22" t="n">
        <v>0.025</v>
      </c>
      <c r="D18" s="22" t="n">
        <v>0.035</v>
      </c>
      <c r="E18" s="22" t="n">
        <v>0.015</v>
      </c>
    </row>
    <row r="19">
      <c r="A19" t="inlineStr">
        <is>
          <t>AllDark-Cans-OnTrade</t>
        </is>
      </c>
      <c r="B19" s="37" t="n">
        <v>195</v>
      </c>
      <c r="C19" s="22" t="n">
        <v>0.025</v>
      </c>
      <c r="D19" s="22" t="n">
        <v>0.035</v>
      </c>
      <c r="E19" s="22" t="n">
        <v>0.015</v>
      </c>
    </row>
    <row r="20">
      <c r="A20" t="inlineStr">
        <is>
          <t>AllDark-Cans-OffTrade</t>
        </is>
      </c>
      <c r="B20" s="37" t="n">
        <v>175</v>
      </c>
      <c r="C20" s="22" t="n">
        <v>0.025</v>
      </c>
      <c r="D20" s="22" t="n">
        <v>0.035</v>
      </c>
      <c r="E20" s="22" t="n">
        <v>0.015</v>
      </c>
    </row>
    <row r="21">
      <c r="A21" t="inlineStr">
        <is>
          <t>AllDark-Kegs-OnTrade</t>
        </is>
      </c>
      <c r="B21" s="37" t="n">
        <v>190</v>
      </c>
      <c r="C21" s="22" t="n">
        <v>0.025</v>
      </c>
      <c r="D21" s="22" t="n">
        <v>0.035</v>
      </c>
      <c r="E21" s="22" t="n">
        <v>0.015</v>
      </c>
    </row>
    <row r="22">
      <c r="A22" t="inlineStr">
        <is>
          <t>GoldCoast-Bottles-OnTrade</t>
        </is>
      </c>
      <c r="B22" s="37" t="n">
        <v>210</v>
      </c>
      <c r="C22" s="22" t="n">
        <v>0.025</v>
      </c>
      <c r="D22" s="22" t="n">
        <v>0.035</v>
      </c>
      <c r="E22" s="22" t="n">
        <v>0.015</v>
      </c>
    </row>
    <row r="23">
      <c r="A23" t="inlineStr">
        <is>
          <t>GoldCoast-Bottles-OffTrade</t>
        </is>
      </c>
      <c r="B23" s="37" t="n">
        <v>190</v>
      </c>
      <c r="C23" s="22" t="n">
        <v>0.025</v>
      </c>
      <c r="D23" s="22" t="n">
        <v>0.035</v>
      </c>
      <c r="E23" s="22" t="n">
        <v>0.015</v>
      </c>
    </row>
    <row r="24">
      <c r="A24" t="inlineStr">
        <is>
          <t>GoldCoast-Cans-OnTrade</t>
        </is>
      </c>
      <c r="B24" s="37" t="n">
        <v>205</v>
      </c>
      <c r="C24" s="22" t="n">
        <v>0.025</v>
      </c>
      <c r="D24" s="22" t="n">
        <v>0.035</v>
      </c>
      <c r="E24" s="22" t="n">
        <v>0.015</v>
      </c>
    </row>
    <row r="25">
      <c r="A25" t="inlineStr">
        <is>
          <t>GoldCoast-Cans-OffTrade</t>
        </is>
      </c>
      <c r="B25" s="37" t="n">
        <v>185</v>
      </c>
      <c r="C25" s="22" t="n">
        <v>0.025</v>
      </c>
      <c r="D25" s="22" t="n">
        <v>0.035</v>
      </c>
      <c r="E25" s="22" t="n">
        <v>0.015</v>
      </c>
    </row>
    <row r="26">
      <c r="A26" t="inlineStr">
        <is>
          <t>GoldCoast-Kegs-OnTrade</t>
        </is>
      </c>
      <c r="B26" s="37" t="n">
        <v>200</v>
      </c>
      <c r="C26" s="22" t="n">
        <v>0.025</v>
      </c>
      <c r="D26" s="22" t="n">
        <v>0.035</v>
      </c>
      <c r="E26" s="22" t="n">
        <v>0.015</v>
      </c>
    </row>
    <row r="27">
      <c r="A27" t="inlineStr">
        <is>
          <t>CityLight-Bottles-OnTrade</t>
        </is>
      </c>
      <c r="B27" s="37" t="n">
        <v>160</v>
      </c>
      <c r="C27" s="22" t="n">
        <v>0.025</v>
      </c>
      <c r="D27" s="22" t="n">
        <v>0.035</v>
      </c>
      <c r="E27" s="22" t="n">
        <v>0.015</v>
      </c>
    </row>
    <row r="28">
      <c r="A28" t="inlineStr">
        <is>
          <t>CityLight-Bottles-OffTrade</t>
        </is>
      </c>
      <c r="B28" s="37" t="n">
        <v>140</v>
      </c>
      <c r="C28" s="22" t="n">
        <v>0.025</v>
      </c>
      <c r="D28" s="22" t="n">
        <v>0.035</v>
      </c>
      <c r="E28" s="22" t="n">
        <v>0.015</v>
      </c>
    </row>
    <row r="29">
      <c r="A29" t="inlineStr">
        <is>
          <t>CityLight-Cans-OnTrade</t>
        </is>
      </c>
      <c r="B29" s="37" t="n">
        <v>155</v>
      </c>
      <c r="C29" s="22" t="n">
        <v>0.025</v>
      </c>
      <c r="D29" s="22" t="n">
        <v>0.035</v>
      </c>
      <c r="E29" s="22" t="n">
        <v>0.015</v>
      </c>
    </row>
    <row r="30">
      <c r="A30" t="inlineStr">
        <is>
          <t>CityLight-Cans-OffTrade</t>
        </is>
      </c>
      <c r="B30" s="37" t="n">
        <v>135</v>
      </c>
      <c r="C30" s="22" t="n">
        <v>0.025</v>
      </c>
      <c r="D30" s="22" t="n">
        <v>0.035</v>
      </c>
      <c r="E30" s="22" t="n">
        <v>0.015</v>
      </c>
    </row>
    <row r="31">
      <c r="A31" t="inlineStr">
        <is>
          <t>CityLight-Kegs-OnTrade</t>
        </is>
      </c>
      <c r="B31" s="37" t="n">
        <v>150</v>
      </c>
      <c r="C31" s="22" t="n">
        <v>0.025</v>
      </c>
      <c r="D31" s="22" t="n">
        <v>0.035</v>
      </c>
      <c r="E31" s="22" t="n">
        <v>0.015</v>
      </c>
    </row>
    <row r="32">
      <c r="A32" t="inlineStr">
        <is>
          <t>HarborIPA-Bottles-OnTrade</t>
        </is>
      </c>
      <c r="B32" s="37" t="n">
        <v>240</v>
      </c>
      <c r="C32" s="22" t="n">
        <v>0.025</v>
      </c>
      <c r="D32" s="22" t="n">
        <v>0.035</v>
      </c>
      <c r="E32" s="22" t="n">
        <v>0.015</v>
      </c>
    </row>
    <row r="33">
      <c r="A33" t="inlineStr">
        <is>
          <t>HarborIPA-Bottles-OffTrade</t>
        </is>
      </c>
      <c r="B33" s="37" t="n">
        <v>220</v>
      </c>
      <c r="C33" s="22" t="n">
        <v>0.025</v>
      </c>
      <c r="D33" s="22" t="n">
        <v>0.035</v>
      </c>
      <c r="E33" s="22" t="n">
        <v>0.015</v>
      </c>
    </row>
    <row r="34">
      <c r="A34" t="inlineStr">
        <is>
          <t>HarborIPA-Cans-OnTrade</t>
        </is>
      </c>
      <c r="B34" s="37" t="n">
        <v>235</v>
      </c>
      <c r="C34" s="22" t="n">
        <v>0.025</v>
      </c>
      <c r="D34" s="22" t="n">
        <v>0.035</v>
      </c>
      <c r="E34" s="22" t="n">
        <v>0.015</v>
      </c>
    </row>
    <row r="35">
      <c r="A35" t="inlineStr">
        <is>
          <t>HarborIPA-Cans-OffTrade</t>
        </is>
      </c>
      <c r="B35" s="37" t="n">
        <v>215</v>
      </c>
      <c r="C35" s="22" t="n">
        <v>0.025</v>
      </c>
      <c r="D35" s="22" t="n">
        <v>0.035</v>
      </c>
      <c r="E35" s="22" t="n">
        <v>0.015</v>
      </c>
    </row>
    <row r="36">
      <c r="A36" t="inlineStr">
        <is>
          <t>HarborIPA-Kegs-OnTrade</t>
        </is>
      </c>
      <c r="B36" s="37" t="n">
        <v>230</v>
      </c>
      <c r="C36" s="22" t="n">
        <v>0.025</v>
      </c>
      <c r="D36" s="22" t="n">
        <v>0.035</v>
      </c>
      <c r="E36" s="22" t="n">
        <v>0.015</v>
      </c>
    </row>
    <row r="39">
      <c r="A39" s="11" t="inlineStr">
        <is>
          <t>Trade Discounts &amp; Promos</t>
        </is>
      </c>
    </row>
    <row r="40">
      <c r="A40" s="12" t="inlineStr">
        <is>
          <t>Channel</t>
        </is>
      </c>
      <c r="B40" s="12" t="inlineStr">
        <is>
          <t>Trade Discount %</t>
        </is>
      </c>
      <c r="C40" s="12" t="inlineStr">
        <is>
          <t>Promo %</t>
        </is>
      </c>
      <c r="D40" s="12" t="inlineStr">
        <is>
          <t>Total Deduction %</t>
        </is>
      </c>
    </row>
    <row r="41">
      <c r="A41" t="inlineStr">
        <is>
          <t>OnTrade</t>
        </is>
      </c>
      <c r="B41" s="38" t="n">
        <v>0.15</v>
      </c>
      <c r="C41" s="38" t="n">
        <v>0.05</v>
      </c>
      <c r="D41" s="39">
        <f>B41+C41</f>
        <v/>
      </c>
    </row>
    <row r="42">
      <c r="A42" t="inlineStr">
        <is>
          <t>OffTrade</t>
        </is>
      </c>
      <c r="B42" s="38" t="n">
        <v>0.2</v>
      </c>
      <c r="C42" s="38" t="n">
        <v>0.06</v>
      </c>
      <c r="D42" s="39">
        <f>B42+C42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U28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25" customHeight="1">
      <c r="A1" s="1" t="inlineStr">
        <is>
          <t>PRODUCTION CAPACITY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6">
      <c r="A6" t="inlineStr">
        <is>
          <t>FY</t>
        </is>
      </c>
      <c r="F6" s="8">
        <f>YEAR(F4)</f>
        <v/>
      </c>
      <c r="G6" s="8">
        <f>YEAR(G4)</f>
        <v/>
      </c>
      <c r="H6" s="8">
        <f>YEAR(H4)</f>
        <v/>
      </c>
      <c r="I6" s="8">
        <f>YEAR(I4)</f>
        <v/>
      </c>
      <c r="J6" s="8">
        <f>YEAR(J4)</f>
        <v/>
      </c>
      <c r="K6" s="8">
        <f>YEAR(K4)</f>
        <v/>
      </c>
      <c r="L6" s="8">
        <f>YEAR(L4)</f>
        <v/>
      </c>
      <c r="M6" s="8">
        <f>YEAR(M4)</f>
        <v/>
      </c>
      <c r="N6" s="8">
        <f>YEAR(N4)</f>
        <v/>
      </c>
      <c r="O6" s="8">
        <f>YEAR(O4)</f>
        <v/>
      </c>
      <c r="P6" s="8">
        <f>YEAR(P4)</f>
        <v/>
      </c>
      <c r="Q6" s="8">
        <f>YEAR(Q4)</f>
        <v/>
      </c>
      <c r="R6" s="8">
        <f>YEAR(R4)</f>
        <v/>
      </c>
      <c r="S6" s="8">
        <f>YEAR(S4)</f>
        <v/>
      </c>
      <c r="T6" s="8">
        <f>YEAR(T4)</f>
        <v/>
      </c>
      <c r="U6" s="8">
        <f>YEAR(U4)</f>
        <v/>
      </c>
      <c r="V6" s="8">
        <f>YEAR(V4)</f>
        <v/>
      </c>
      <c r="W6" s="8">
        <f>YEAR(W4)</f>
        <v/>
      </c>
      <c r="X6" s="8">
        <f>YEAR(X4)</f>
        <v/>
      </c>
      <c r="Y6" s="8">
        <f>YEAR(Y4)</f>
        <v/>
      </c>
      <c r="Z6" s="8">
        <f>YEAR(Z4)</f>
        <v/>
      </c>
      <c r="AA6" s="8">
        <f>YEAR(AA4)</f>
        <v/>
      </c>
      <c r="AB6" s="8">
        <f>YEAR(AB4)</f>
        <v/>
      </c>
      <c r="AC6" s="8">
        <f>YEAR(AC4)</f>
        <v/>
      </c>
      <c r="AD6" s="8">
        <f>YEAR(AD4)</f>
        <v/>
      </c>
      <c r="AE6" s="8">
        <f>YEAR(AE4)</f>
        <v/>
      </c>
      <c r="AF6" s="8">
        <f>YEAR(AF4)</f>
        <v/>
      </c>
      <c r="AG6" s="8">
        <f>YEAR(AG4)</f>
        <v/>
      </c>
      <c r="AH6" s="8">
        <f>YEAR(AH4)</f>
        <v/>
      </c>
      <c r="AI6" s="8">
        <f>YEAR(AI4)</f>
        <v/>
      </c>
      <c r="AJ6" s="8">
        <f>YEAR(AJ4)</f>
        <v/>
      </c>
      <c r="AK6" s="8">
        <f>YEAR(AK4)</f>
        <v/>
      </c>
      <c r="AL6" s="8">
        <f>YEAR(AL4)</f>
        <v/>
      </c>
      <c r="AM6" s="8">
        <f>YEAR(AM4)</f>
        <v/>
      </c>
      <c r="AN6" s="8">
        <f>YEAR(AN4)</f>
        <v/>
      </c>
      <c r="AO6" s="8">
        <f>YEAR(AO4)</f>
        <v/>
      </c>
      <c r="AP6" s="8">
        <f>YEAR(AP4)</f>
        <v/>
      </c>
      <c r="AQ6" s="8">
        <f>YEAR(AQ4)</f>
        <v/>
      </c>
      <c r="AR6" s="8">
        <f>YEAR(AR4)</f>
        <v/>
      </c>
      <c r="AS6" s="8">
        <f>YEAR(AS4)</f>
        <v/>
      </c>
      <c r="AT6" s="8">
        <f>YEAR(AT4)</f>
        <v/>
      </c>
      <c r="AU6" s="8">
        <f>YEAR(AU4)</f>
        <v/>
      </c>
      <c r="AV6" s="8">
        <f>YEAR(AV4)</f>
        <v/>
      </c>
      <c r="AW6" s="8">
        <f>YEAR(AW4)</f>
        <v/>
      </c>
      <c r="AX6" s="8">
        <f>YEAR(AX4)</f>
        <v/>
      </c>
      <c r="AY6" s="8">
        <f>YEAR(AY4)</f>
        <v/>
      </c>
      <c r="AZ6" s="8">
        <f>YEAR(AZ4)</f>
        <v/>
      </c>
      <c r="BA6" s="8">
        <f>YEAR(BA4)</f>
        <v/>
      </c>
      <c r="BB6" s="8">
        <f>YEAR(BB4)</f>
        <v/>
      </c>
      <c r="BC6" s="8">
        <f>YEAR(BC4)</f>
        <v/>
      </c>
      <c r="BD6" s="8">
        <f>YEAR(BD4)</f>
        <v/>
      </c>
      <c r="BE6" s="8">
        <f>YEAR(BE4)</f>
        <v/>
      </c>
      <c r="BF6" s="8">
        <f>YEAR(BF4)</f>
        <v/>
      </c>
      <c r="BG6" s="8">
        <f>YEAR(BG4)</f>
        <v/>
      </c>
      <c r="BH6" s="8">
        <f>YEAR(BH4)</f>
        <v/>
      </c>
      <c r="BI6" s="8">
        <f>YEAR(BI4)</f>
        <v/>
      </c>
      <c r="BJ6" s="8">
        <f>YEAR(BJ4)</f>
        <v/>
      </c>
      <c r="BK6" s="8">
        <f>YEAR(BK4)</f>
        <v/>
      </c>
      <c r="BL6" s="8">
        <f>YEAR(BL4)</f>
        <v/>
      </c>
      <c r="BM6" s="8">
        <f>YEAR(BM4)</f>
        <v/>
      </c>
      <c r="BN6" s="8">
        <f>YEAR(BN4)</f>
        <v/>
      </c>
      <c r="BO6" s="8">
        <f>YEAR(BO4)</f>
        <v/>
      </c>
      <c r="BP6" s="8">
        <f>YEAR(BP4)</f>
        <v/>
      </c>
      <c r="BQ6" s="8">
        <f>YEAR(BQ4)</f>
        <v/>
      </c>
      <c r="BR6" s="8">
        <f>YEAR(BR4)</f>
        <v/>
      </c>
      <c r="BS6" s="8">
        <f>YEAR(BS4)</f>
        <v/>
      </c>
      <c r="BT6" s="8">
        <f>YEAR(BT4)</f>
        <v/>
      </c>
      <c r="BU6" s="8">
        <f>YEAR(BU4)</f>
        <v/>
      </c>
      <c r="BV6" s="8">
        <f>YEAR(BV4)</f>
        <v/>
      </c>
      <c r="BW6" s="8">
        <f>YEAR(BW4)</f>
        <v/>
      </c>
      <c r="BX6" s="8">
        <f>YEAR(BX4)</f>
        <v/>
      </c>
      <c r="BY6" s="8">
        <f>YEAR(BY4)</f>
        <v/>
      </c>
      <c r="BZ6" s="8">
        <f>YEAR(BZ4)</f>
        <v/>
      </c>
      <c r="CA6" s="8">
        <f>YEAR(CA4)</f>
        <v/>
      </c>
      <c r="CB6" s="8">
        <f>YEAR(CB4)</f>
        <v/>
      </c>
      <c r="CC6" s="8">
        <f>YEAR(CC4)</f>
        <v/>
      </c>
      <c r="CD6" s="8">
        <f>YEAR(CD4)</f>
        <v/>
      </c>
      <c r="CE6" s="8">
        <f>YEAR(CE4)</f>
        <v/>
      </c>
      <c r="CF6" s="8">
        <f>YEAR(CF4)</f>
        <v/>
      </c>
      <c r="CG6" s="8">
        <f>YEAR(CG4)</f>
        <v/>
      </c>
      <c r="CH6" s="8">
        <f>YEAR(CH4)</f>
        <v/>
      </c>
      <c r="CI6" s="8">
        <f>YEAR(CI4)</f>
        <v/>
      </c>
      <c r="CJ6" s="8">
        <f>YEAR(CJ4)</f>
        <v/>
      </c>
      <c r="CK6" s="8">
        <f>YEAR(CK4)</f>
        <v/>
      </c>
      <c r="CL6" s="8">
        <f>YEAR(CL4)</f>
        <v/>
      </c>
      <c r="CM6" s="8">
        <f>YEAR(CM4)</f>
        <v/>
      </c>
      <c r="CN6" s="8">
        <f>YEAR(CN4)</f>
        <v/>
      </c>
      <c r="CO6" s="8">
        <f>YEAR(CO4)</f>
        <v/>
      </c>
      <c r="CP6" s="8">
        <f>YEAR(CP4)</f>
        <v/>
      </c>
      <c r="CQ6" s="8">
        <f>YEAR(CQ4)</f>
        <v/>
      </c>
      <c r="CR6" s="8">
        <f>YEAR(CR4)</f>
        <v/>
      </c>
      <c r="CS6" s="8">
        <f>YEAR(CS4)</f>
        <v/>
      </c>
      <c r="CT6" s="8">
        <f>YEAR(CT4)</f>
        <v/>
      </c>
      <c r="CU6" s="8">
        <f>YEAR(CU4)</f>
        <v/>
      </c>
      <c r="CV6" s="8">
        <f>YEAR(CV4)</f>
        <v/>
      </c>
      <c r="CW6" s="8">
        <f>YEAR(CW4)</f>
        <v/>
      </c>
      <c r="CX6" s="8">
        <f>YEAR(CX4)</f>
        <v/>
      </c>
      <c r="CY6" s="8">
        <f>YEAR(CY4)</f>
        <v/>
      </c>
      <c r="CZ6" s="8">
        <f>YEAR(CZ4)</f>
        <v/>
      </c>
      <c r="DA6" s="8">
        <f>YEAR(DA4)</f>
        <v/>
      </c>
      <c r="DB6" s="8">
        <f>YEAR(DB4)</f>
        <v/>
      </c>
      <c r="DC6" s="8">
        <f>YEAR(DC4)</f>
        <v/>
      </c>
      <c r="DD6" s="8">
        <f>YEAR(DD4)</f>
        <v/>
      </c>
      <c r="DE6" s="8">
        <f>YEAR(DE4)</f>
        <v/>
      </c>
      <c r="DF6" s="8">
        <f>YEAR(DF4)</f>
        <v/>
      </c>
      <c r="DG6" s="8">
        <f>YEAR(DG4)</f>
        <v/>
      </c>
      <c r="DH6" s="8">
        <f>YEAR(DH4)</f>
        <v/>
      </c>
      <c r="DI6" s="8">
        <f>YEAR(DI4)</f>
        <v/>
      </c>
      <c r="DJ6" s="8">
        <f>YEAR(DJ4)</f>
        <v/>
      </c>
      <c r="DK6" s="8">
        <f>YEAR(DK4)</f>
        <v/>
      </c>
      <c r="DL6" s="8">
        <f>YEAR(DL4)</f>
        <v/>
      </c>
      <c r="DM6" s="8">
        <f>YEAR(DM4)</f>
        <v/>
      </c>
      <c r="DN6" s="8">
        <f>YEAR(DN4)</f>
        <v/>
      </c>
      <c r="DO6" s="8">
        <f>YEAR(DO4)</f>
        <v/>
      </c>
      <c r="DP6" s="8">
        <f>YEAR(DP4)</f>
        <v/>
      </c>
      <c r="DQ6" s="8">
        <f>YEAR(DQ4)</f>
        <v/>
      </c>
      <c r="DR6" s="8">
        <f>YEAR(DR4)</f>
        <v/>
      </c>
      <c r="DS6" s="8">
        <f>YEAR(DS4)</f>
        <v/>
      </c>
      <c r="DT6" s="8">
        <f>YEAR(DT4)</f>
        <v/>
      </c>
      <c r="DU6" s="8">
        <f>YEAR(DU4)</f>
        <v/>
      </c>
    </row>
    <row r="7">
      <c r="A7" t="inlineStr">
        <is>
          <t>Quarter</t>
        </is>
      </c>
      <c r="F7" s="8">
        <f>"Q"&amp;ROUNDUP(MONTH(F4)/3,0)</f>
        <v/>
      </c>
      <c r="G7" s="8">
        <f>"Q"&amp;ROUNDUP(MONTH(G4)/3,0)</f>
        <v/>
      </c>
      <c r="H7" s="8">
        <f>"Q"&amp;ROUNDUP(MONTH(H4)/3,0)</f>
        <v/>
      </c>
      <c r="I7" s="8">
        <f>"Q"&amp;ROUNDUP(MONTH(I4)/3,0)</f>
        <v/>
      </c>
      <c r="J7" s="8">
        <f>"Q"&amp;ROUNDUP(MONTH(J4)/3,0)</f>
        <v/>
      </c>
      <c r="K7" s="8">
        <f>"Q"&amp;ROUNDUP(MONTH(K4)/3,0)</f>
        <v/>
      </c>
      <c r="L7" s="8">
        <f>"Q"&amp;ROUNDUP(MONTH(L4)/3,0)</f>
        <v/>
      </c>
      <c r="M7" s="8">
        <f>"Q"&amp;ROUNDUP(MONTH(M4)/3,0)</f>
        <v/>
      </c>
      <c r="N7" s="8">
        <f>"Q"&amp;ROUNDUP(MONTH(N4)/3,0)</f>
        <v/>
      </c>
      <c r="O7" s="8">
        <f>"Q"&amp;ROUNDUP(MONTH(O4)/3,0)</f>
        <v/>
      </c>
      <c r="P7" s="8">
        <f>"Q"&amp;ROUNDUP(MONTH(P4)/3,0)</f>
        <v/>
      </c>
      <c r="Q7" s="8">
        <f>"Q"&amp;ROUNDUP(MONTH(Q4)/3,0)</f>
        <v/>
      </c>
      <c r="R7" s="8">
        <f>"Q"&amp;ROUNDUP(MONTH(R4)/3,0)</f>
        <v/>
      </c>
      <c r="S7" s="8">
        <f>"Q"&amp;ROUNDUP(MONTH(S4)/3,0)</f>
        <v/>
      </c>
      <c r="T7" s="8">
        <f>"Q"&amp;ROUNDUP(MONTH(T4)/3,0)</f>
        <v/>
      </c>
      <c r="U7" s="8">
        <f>"Q"&amp;ROUNDUP(MONTH(U4)/3,0)</f>
        <v/>
      </c>
      <c r="V7" s="8">
        <f>"Q"&amp;ROUNDUP(MONTH(V4)/3,0)</f>
        <v/>
      </c>
      <c r="W7" s="8">
        <f>"Q"&amp;ROUNDUP(MONTH(W4)/3,0)</f>
        <v/>
      </c>
      <c r="X7" s="8">
        <f>"Q"&amp;ROUNDUP(MONTH(X4)/3,0)</f>
        <v/>
      </c>
      <c r="Y7" s="8">
        <f>"Q"&amp;ROUNDUP(MONTH(Y4)/3,0)</f>
        <v/>
      </c>
      <c r="Z7" s="8">
        <f>"Q"&amp;ROUNDUP(MONTH(Z4)/3,0)</f>
        <v/>
      </c>
      <c r="AA7" s="8">
        <f>"Q"&amp;ROUNDUP(MONTH(AA4)/3,0)</f>
        <v/>
      </c>
      <c r="AB7" s="8">
        <f>"Q"&amp;ROUNDUP(MONTH(AB4)/3,0)</f>
        <v/>
      </c>
      <c r="AC7" s="8">
        <f>"Q"&amp;ROUNDUP(MONTH(AC4)/3,0)</f>
        <v/>
      </c>
      <c r="AD7" s="8">
        <f>"Q"&amp;ROUNDUP(MONTH(AD4)/3,0)</f>
        <v/>
      </c>
      <c r="AE7" s="8">
        <f>"Q"&amp;ROUNDUP(MONTH(AE4)/3,0)</f>
        <v/>
      </c>
      <c r="AF7" s="8">
        <f>"Q"&amp;ROUNDUP(MONTH(AF4)/3,0)</f>
        <v/>
      </c>
      <c r="AG7" s="8">
        <f>"Q"&amp;ROUNDUP(MONTH(AG4)/3,0)</f>
        <v/>
      </c>
      <c r="AH7" s="8">
        <f>"Q"&amp;ROUNDUP(MONTH(AH4)/3,0)</f>
        <v/>
      </c>
      <c r="AI7" s="8">
        <f>"Q"&amp;ROUNDUP(MONTH(AI4)/3,0)</f>
        <v/>
      </c>
      <c r="AJ7" s="8">
        <f>"Q"&amp;ROUNDUP(MONTH(AJ4)/3,0)</f>
        <v/>
      </c>
      <c r="AK7" s="8">
        <f>"Q"&amp;ROUNDUP(MONTH(AK4)/3,0)</f>
        <v/>
      </c>
      <c r="AL7" s="8">
        <f>"Q"&amp;ROUNDUP(MONTH(AL4)/3,0)</f>
        <v/>
      </c>
      <c r="AM7" s="8">
        <f>"Q"&amp;ROUNDUP(MONTH(AM4)/3,0)</f>
        <v/>
      </c>
      <c r="AN7" s="8">
        <f>"Q"&amp;ROUNDUP(MONTH(AN4)/3,0)</f>
        <v/>
      </c>
      <c r="AO7" s="8">
        <f>"Q"&amp;ROUNDUP(MONTH(AO4)/3,0)</f>
        <v/>
      </c>
      <c r="AP7" s="8">
        <f>"Q"&amp;ROUNDUP(MONTH(AP4)/3,0)</f>
        <v/>
      </c>
      <c r="AQ7" s="8">
        <f>"Q"&amp;ROUNDUP(MONTH(AQ4)/3,0)</f>
        <v/>
      </c>
      <c r="AR7" s="8">
        <f>"Q"&amp;ROUNDUP(MONTH(AR4)/3,0)</f>
        <v/>
      </c>
      <c r="AS7" s="8">
        <f>"Q"&amp;ROUNDUP(MONTH(AS4)/3,0)</f>
        <v/>
      </c>
      <c r="AT7" s="8">
        <f>"Q"&amp;ROUNDUP(MONTH(AT4)/3,0)</f>
        <v/>
      </c>
      <c r="AU7" s="8">
        <f>"Q"&amp;ROUNDUP(MONTH(AU4)/3,0)</f>
        <v/>
      </c>
      <c r="AV7" s="8">
        <f>"Q"&amp;ROUNDUP(MONTH(AV4)/3,0)</f>
        <v/>
      </c>
      <c r="AW7" s="8">
        <f>"Q"&amp;ROUNDUP(MONTH(AW4)/3,0)</f>
        <v/>
      </c>
      <c r="AX7" s="8">
        <f>"Q"&amp;ROUNDUP(MONTH(AX4)/3,0)</f>
        <v/>
      </c>
      <c r="AY7" s="8">
        <f>"Q"&amp;ROUNDUP(MONTH(AY4)/3,0)</f>
        <v/>
      </c>
      <c r="AZ7" s="8">
        <f>"Q"&amp;ROUNDUP(MONTH(AZ4)/3,0)</f>
        <v/>
      </c>
      <c r="BA7" s="8">
        <f>"Q"&amp;ROUNDUP(MONTH(BA4)/3,0)</f>
        <v/>
      </c>
      <c r="BB7" s="8">
        <f>"Q"&amp;ROUNDUP(MONTH(BB4)/3,0)</f>
        <v/>
      </c>
      <c r="BC7" s="8">
        <f>"Q"&amp;ROUNDUP(MONTH(BC4)/3,0)</f>
        <v/>
      </c>
      <c r="BD7" s="8">
        <f>"Q"&amp;ROUNDUP(MONTH(BD4)/3,0)</f>
        <v/>
      </c>
      <c r="BE7" s="8">
        <f>"Q"&amp;ROUNDUP(MONTH(BE4)/3,0)</f>
        <v/>
      </c>
      <c r="BF7" s="8">
        <f>"Q"&amp;ROUNDUP(MONTH(BF4)/3,0)</f>
        <v/>
      </c>
      <c r="BG7" s="8">
        <f>"Q"&amp;ROUNDUP(MONTH(BG4)/3,0)</f>
        <v/>
      </c>
      <c r="BH7" s="8">
        <f>"Q"&amp;ROUNDUP(MONTH(BH4)/3,0)</f>
        <v/>
      </c>
      <c r="BI7" s="8">
        <f>"Q"&amp;ROUNDUP(MONTH(BI4)/3,0)</f>
        <v/>
      </c>
      <c r="BJ7" s="8">
        <f>"Q"&amp;ROUNDUP(MONTH(BJ4)/3,0)</f>
        <v/>
      </c>
      <c r="BK7" s="8">
        <f>"Q"&amp;ROUNDUP(MONTH(BK4)/3,0)</f>
        <v/>
      </c>
      <c r="BL7" s="8">
        <f>"Q"&amp;ROUNDUP(MONTH(BL4)/3,0)</f>
        <v/>
      </c>
      <c r="BM7" s="8">
        <f>"Q"&amp;ROUNDUP(MONTH(BM4)/3,0)</f>
        <v/>
      </c>
      <c r="BN7" s="8">
        <f>"Q"&amp;ROUNDUP(MONTH(BN4)/3,0)</f>
        <v/>
      </c>
      <c r="BO7" s="8">
        <f>"Q"&amp;ROUNDUP(MONTH(BO4)/3,0)</f>
        <v/>
      </c>
      <c r="BP7" s="8">
        <f>"Q"&amp;ROUNDUP(MONTH(BP4)/3,0)</f>
        <v/>
      </c>
      <c r="BQ7" s="8">
        <f>"Q"&amp;ROUNDUP(MONTH(BQ4)/3,0)</f>
        <v/>
      </c>
      <c r="BR7" s="8">
        <f>"Q"&amp;ROUNDUP(MONTH(BR4)/3,0)</f>
        <v/>
      </c>
      <c r="BS7" s="8">
        <f>"Q"&amp;ROUNDUP(MONTH(BS4)/3,0)</f>
        <v/>
      </c>
      <c r="BT7" s="8">
        <f>"Q"&amp;ROUNDUP(MONTH(BT4)/3,0)</f>
        <v/>
      </c>
      <c r="BU7" s="8">
        <f>"Q"&amp;ROUNDUP(MONTH(BU4)/3,0)</f>
        <v/>
      </c>
      <c r="BV7" s="8">
        <f>"Q"&amp;ROUNDUP(MONTH(BV4)/3,0)</f>
        <v/>
      </c>
      <c r="BW7" s="8">
        <f>"Q"&amp;ROUNDUP(MONTH(BW4)/3,0)</f>
        <v/>
      </c>
      <c r="BX7" s="8">
        <f>"Q"&amp;ROUNDUP(MONTH(BX4)/3,0)</f>
        <v/>
      </c>
      <c r="BY7" s="8">
        <f>"Q"&amp;ROUNDUP(MONTH(BY4)/3,0)</f>
        <v/>
      </c>
      <c r="BZ7" s="8">
        <f>"Q"&amp;ROUNDUP(MONTH(BZ4)/3,0)</f>
        <v/>
      </c>
      <c r="CA7" s="8">
        <f>"Q"&amp;ROUNDUP(MONTH(CA4)/3,0)</f>
        <v/>
      </c>
      <c r="CB7" s="8">
        <f>"Q"&amp;ROUNDUP(MONTH(CB4)/3,0)</f>
        <v/>
      </c>
      <c r="CC7" s="8">
        <f>"Q"&amp;ROUNDUP(MONTH(CC4)/3,0)</f>
        <v/>
      </c>
      <c r="CD7" s="8">
        <f>"Q"&amp;ROUNDUP(MONTH(CD4)/3,0)</f>
        <v/>
      </c>
      <c r="CE7" s="8">
        <f>"Q"&amp;ROUNDUP(MONTH(CE4)/3,0)</f>
        <v/>
      </c>
      <c r="CF7" s="8">
        <f>"Q"&amp;ROUNDUP(MONTH(CF4)/3,0)</f>
        <v/>
      </c>
      <c r="CG7" s="8">
        <f>"Q"&amp;ROUNDUP(MONTH(CG4)/3,0)</f>
        <v/>
      </c>
      <c r="CH7" s="8">
        <f>"Q"&amp;ROUNDUP(MONTH(CH4)/3,0)</f>
        <v/>
      </c>
      <c r="CI7" s="8">
        <f>"Q"&amp;ROUNDUP(MONTH(CI4)/3,0)</f>
        <v/>
      </c>
      <c r="CJ7" s="8">
        <f>"Q"&amp;ROUNDUP(MONTH(CJ4)/3,0)</f>
        <v/>
      </c>
      <c r="CK7" s="8">
        <f>"Q"&amp;ROUNDUP(MONTH(CK4)/3,0)</f>
        <v/>
      </c>
      <c r="CL7" s="8">
        <f>"Q"&amp;ROUNDUP(MONTH(CL4)/3,0)</f>
        <v/>
      </c>
      <c r="CM7" s="8">
        <f>"Q"&amp;ROUNDUP(MONTH(CM4)/3,0)</f>
        <v/>
      </c>
      <c r="CN7" s="8">
        <f>"Q"&amp;ROUNDUP(MONTH(CN4)/3,0)</f>
        <v/>
      </c>
      <c r="CO7" s="8">
        <f>"Q"&amp;ROUNDUP(MONTH(CO4)/3,0)</f>
        <v/>
      </c>
      <c r="CP7" s="8">
        <f>"Q"&amp;ROUNDUP(MONTH(CP4)/3,0)</f>
        <v/>
      </c>
      <c r="CQ7" s="8">
        <f>"Q"&amp;ROUNDUP(MONTH(CQ4)/3,0)</f>
        <v/>
      </c>
      <c r="CR7" s="8">
        <f>"Q"&amp;ROUNDUP(MONTH(CR4)/3,0)</f>
        <v/>
      </c>
      <c r="CS7" s="8">
        <f>"Q"&amp;ROUNDUP(MONTH(CS4)/3,0)</f>
        <v/>
      </c>
      <c r="CT7" s="8">
        <f>"Q"&amp;ROUNDUP(MONTH(CT4)/3,0)</f>
        <v/>
      </c>
      <c r="CU7" s="8">
        <f>"Q"&amp;ROUNDUP(MONTH(CU4)/3,0)</f>
        <v/>
      </c>
      <c r="CV7" s="8">
        <f>"Q"&amp;ROUNDUP(MONTH(CV4)/3,0)</f>
        <v/>
      </c>
      <c r="CW7" s="8">
        <f>"Q"&amp;ROUNDUP(MONTH(CW4)/3,0)</f>
        <v/>
      </c>
      <c r="CX7" s="8">
        <f>"Q"&amp;ROUNDUP(MONTH(CX4)/3,0)</f>
        <v/>
      </c>
      <c r="CY7" s="8">
        <f>"Q"&amp;ROUNDUP(MONTH(CY4)/3,0)</f>
        <v/>
      </c>
      <c r="CZ7" s="8">
        <f>"Q"&amp;ROUNDUP(MONTH(CZ4)/3,0)</f>
        <v/>
      </c>
      <c r="DA7" s="8">
        <f>"Q"&amp;ROUNDUP(MONTH(DA4)/3,0)</f>
        <v/>
      </c>
      <c r="DB7" s="8">
        <f>"Q"&amp;ROUNDUP(MONTH(DB4)/3,0)</f>
        <v/>
      </c>
      <c r="DC7" s="8">
        <f>"Q"&amp;ROUNDUP(MONTH(DC4)/3,0)</f>
        <v/>
      </c>
      <c r="DD7" s="8">
        <f>"Q"&amp;ROUNDUP(MONTH(DD4)/3,0)</f>
        <v/>
      </c>
      <c r="DE7" s="8">
        <f>"Q"&amp;ROUNDUP(MONTH(DE4)/3,0)</f>
        <v/>
      </c>
      <c r="DF7" s="8">
        <f>"Q"&amp;ROUNDUP(MONTH(DF4)/3,0)</f>
        <v/>
      </c>
      <c r="DG7" s="8">
        <f>"Q"&amp;ROUNDUP(MONTH(DG4)/3,0)</f>
        <v/>
      </c>
      <c r="DH7" s="8">
        <f>"Q"&amp;ROUNDUP(MONTH(DH4)/3,0)</f>
        <v/>
      </c>
      <c r="DI7" s="8">
        <f>"Q"&amp;ROUNDUP(MONTH(DI4)/3,0)</f>
        <v/>
      </c>
      <c r="DJ7" s="8">
        <f>"Q"&amp;ROUNDUP(MONTH(DJ4)/3,0)</f>
        <v/>
      </c>
      <c r="DK7" s="8">
        <f>"Q"&amp;ROUNDUP(MONTH(DK4)/3,0)</f>
        <v/>
      </c>
      <c r="DL7" s="8">
        <f>"Q"&amp;ROUNDUP(MONTH(DL4)/3,0)</f>
        <v/>
      </c>
      <c r="DM7" s="8">
        <f>"Q"&amp;ROUNDUP(MONTH(DM4)/3,0)</f>
        <v/>
      </c>
      <c r="DN7" s="8">
        <f>"Q"&amp;ROUNDUP(MONTH(DN4)/3,0)</f>
        <v/>
      </c>
      <c r="DO7" s="8">
        <f>"Q"&amp;ROUNDUP(MONTH(DO4)/3,0)</f>
        <v/>
      </c>
      <c r="DP7" s="8">
        <f>"Q"&amp;ROUNDUP(MONTH(DP4)/3,0)</f>
        <v/>
      </c>
      <c r="DQ7" s="8">
        <f>"Q"&amp;ROUNDUP(MONTH(DQ4)/3,0)</f>
        <v/>
      </c>
      <c r="DR7" s="8">
        <f>"Q"&amp;ROUNDUP(MONTH(DR4)/3,0)</f>
        <v/>
      </c>
      <c r="DS7" s="8">
        <f>"Q"&amp;ROUNDUP(MONTH(DS4)/3,0)</f>
        <v/>
      </c>
      <c r="DT7" s="8">
        <f>"Q"&amp;ROUNDUP(MONTH(DT4)/3,0)</f>
        <v/>
      </c>
      <c r="DU7" s="8">
        <f>"Q"&amp;ROUNDUP(MONTH(DU4)/3,0)</f>
        <v/>
      </c>
    </row>
    <row r="10">
      <c r="A10" s="11" t="inlineStr">
        <is>
          <t>Brewery Capacity</t>
        </is>
      </c>
    </row>
    <row r="11">
      <c r="A11" s="12" t="inlineStr"/>
      <c r="B11" s="12" t="inlineStr">
        <is>
          <t>Base</t>
        </is>
      </c>
      <c r="C11" s="12" t="inlineStr">
        <is>
          <t>Upside</t>
        </is>
      </c>
      <c r="D11" s="12" t="inlineStr">
        <is>
          <t>Downside</t>
        </is>
      </c>
      <c r="E11" s="12" t="inlineStr">
        <is>
          <t>Active</t>
        </is>
      </c>
    </row>
    <row r="12">
      <c r="A12" t="inlineStr">
        <is>
          <t>Installed brewhouse capacity (HL/year)</t>
        </is>
      </c>
      <c r="B12" s="33" t="n">
        <v>1000000</v>
      </c>
      <c r="C12" s="33" t="n">
        <v>1000000</v>
      </c>
      <c r="D12" s="33" t="n">
        <v>1000000</v>
      </c>
      <c r="E12" s="40">
        <f>INDEX(B12:D12,1,Control!$B$10)</f>
        <v/>
      </c>
    </row>
    <row r="13">
      <c r="A13" t="inlineStr">
        <is>
          <t>Installed capacity (HL/month)</t>
        </is>
      </c>
      <c r="B13" s="34">
        <f>B12/12</f>
        <v/>
      </c>
      <c r="C13" s="34">
        <f>C12/12</f>
        <v/>
      </c>
      <c r="D13" s="34">
        <f>D12/12</f>
        <v/>
      </c>
      <c r="E13" s="34">
        <f>E12/12</f>
        <v/>
      </c>
    </row>
    <row r="15">
      <c r="A15" s="11" t="inlineStr">
        <is>
          <t>Yield &amp; Loss Factors</t>
        </is>
      </c>
    </row>
    <row r="16">
      <c r="A16" t="inlineStr">
        <is>
          <t>Brewhouse yield %</t>
        </is>
      </c>
      <c r="B16" s="22" t="n">
        <v>0.95</v>
      </c>
      <c r="C16" s="22" t="n">
        <v>0.96</v>
      </c>
      <c r="D16" s="22" t="n">
        <v>0.9399999999999999</v>
      </c>
      <c r="E16" s="23">
        <f>INDEX(B16:D16,1,Control!$B$10)</f>
        <v/>
      </c>
    </row>
    <row r="17">
      <c r="A17" t="inlineStr">
        <is>
          <t>Fermentation yield %</t>
        </is>
      </c>
      <c r="B17" s="22" t="n">
        <v>0.98</v>
      </c>
      <c r="C17" s="22" t="n">
        <v>0.98</v>
      </c>
      <c r="D17" s="22" t="n">
        <v>0.97</v>
      </c>
      <c r="E17" s="23">
        <f>INDEX(B17:D17,1,Control!$B$10)</f>
        <v/>
      </c>
    </row>
    <row r="18">
      <c r="A18" t="inlineStr">
        <is>
          <t>Packaging yield %</t>
        </is>
      </c>
      <c r="B18" s="22" t="n">
        <v>0.97</v>
      </c>
      <c r="C18" s="22" t="n">
        <v>0.98</v>
      </c>
      <c r="D18" s="22" t="n">
        <v>0.96</v>
      </c>
      <c r="E18" s="23">
        <f>INDEX(B18:D18,1,Control!$B$10)</f>
        <v/>
      </c>
    </row>
    <row r="19">
      <c r="A19" t="inlineStr">
        <is>
          <t>Cumulative yield %</t>
        </is>
      </c>
      <c r="E19" s="41">
        <f>E16*E17*E18</f>
        <v/>
      </c>
    </row>
    <row r="22">
      <c r="A22" s="11" t="inlineStr">
        <is>
          <t>Monthly Production &amp; Utilization</t>
        </is>
      </c>
    </row>
    <row r="23">
      <c r="A23" t="inlineStr">
        <is>
          <t>HL Sold (from Volume sheet)</t>
        </is>
      </c>
      <c r="F23" s="34">
        <f>Volume_Assumptions!F51</f>
        <v/>
      </c>
      <c r="G23" s="34">
        <f>Volume_Assumptions!G51</f>
        <v/>
      </c>
      <c r="H23" s="34">
        <f>Volume_Assumptions!H51</f>
        <v/>
      </c>
      <c r="I23" s="34">
        <f>Volume_Assumptions!I51</f>
        <v/>
      </c>
      <c r="J23" s="34">
        <f>Volume_Assumptions!J51</f>
        <v/>
      </c>
      <c r="K23" s="34">
        <f>Volume_Assumptions!K51</f>
        <v/>
      </c>
      <c r="L23" s="34">
        <f>Volume_Assumptions!L51</f>
        <v/>
      </c>
      <c r="M23" s="34">
        <f>Volume_Assumptions!M51</f>
        <v/>
      </c>
      <c r="N23" s="34">
        <f>Volume_Assumptions!N51</f>
        <v/>
      </c>
      <c r="O23" s="34">
        <f>Volume_Assumptions!O51</f>
        <v/>
      </c>
      <c r="P23" s="34">
        <f>Volume_Assumptions!P51</f>
        <v/>
      </c>
      <c r="Q23" s="34">
        <f>Volume_Assumptions!Q51</f>
        <v/>
      </c>
      <c r="R23" s="34">
        <f>Volume_Assumptions!R51</f>
        <v/>
      </c>
      <c r="S23" s="34">
        <f>Volume_Assumptions!S51</f>
        <v/>
      </c>
      <c r="T23" s="34">
        <f>Volume_Assumptions!T51</f>
        <v/>
      </c>
      <c r="U23" s="34">
        <f>Volume_Assumptions!U51</f>
        <v/>
      </c>
      <c r="V23" s="34">
        <f>Volume_Assumptions!V51</f>
        <v/>
      </c>
      <c r="W23" s="34">
        <f>Volume_Assumptions!W51</f>
        <v/>
      </c>
      <c r="X23" s="34">
        <f>Volume_Assumptions!X51</f>
        <v/>
      </c>
      <c r="Y23" s="34">
        <f>Volume_Assumptions!Y51</f>
        <v/>
      </c>
      <c r="Z23" s="34">
        <f>Volume_Assumptions!Z51</f>
        <v/>
      </c>
      <c r="AA23" s="34">
        <f>Volume_Assumptions!AA51</f>
        <v/>
      </c>
      <c r="AB23" s="34">
        <f>Volume_Assumptions!AB51</f>
        <v/>
      </c>
      <c r="AC23" s="34">
        <f>Volume_Assumptions!AC51</f>
        <v/>
      </c>
      <c r="AD23" s="34">
        <f>Volume_Assumptions!AD51</f>
        <v/>
      </c>
      <c r="AE23" s="34">
        <f>Volume_Assumptions!AE51</f>
        <v/>
      </c>
      <c r="AF23" s="34">
        <f>Volume_Assumptions!AF51</f>
        <v/>
      </c>
      <c r="AG23" s="34">
        <f>Volume_Assumptions!AG51</f>
        <v/>
      </c>
      <c r="AH23" s="34">
        <f>Volume_Assumptions!AH51</f>
        <v/>
      </c>
      <c r="AI23" s="34">
        <f>Volume_Assumptions!AI51</f>
        <v/>
      </c>
      <c r="AJ23" s="34">
        <f>Volume_Assumptions!AJ51</f>
        <v/>
      </c>
      <c r="AK23" s="34">
        <f>Volume_Assumptions!AK51</f>
        <v/>
      </c>
      <c r="AL23" s="34">
        <f>Volume_Assumptions!AL51</f>
        <v/>
      </c>
      <c r="AM23" s="34">
        <f>Volume_Assumptions!AM51</f>
        <v/>
      </c>
      <c r="AN23" s="34">
        <f>Volume_Assumptions!AN51</f>
        <v/>
      </c>
      <c r="AO23" s="34">
        <f>Volume_Assumptions!AO51</f>
        <v/>
      </c>
      <c r="AP23" s="34">
        <f>Volume_Assumptions!AP51</f>
        <v/>
      </c>
      <c r="AQ23" s="34">
        <f>Volume_Assumptions!AQ51</f>
        <v/>
      </c>
      <c r="AR23" s="34">
        <f>Volume_Assumptions!AR51</f>
        <v/>
      </c>
      <c r="AS23" s="34">
        <f>Volume_Assumptions!AS51</f>
        <v/>
      </c>
      <c r="AT23" s="34">
        <f>Volume_Assumptions!AT51</f>
        <v/>
      </c>
      <c r="AU23" s="34">
        <f>Volume_Assumptions!AU51</f>
        <v/>
      </c>
      <c r="AV23" s="34">
        <f>Volume_Assumptions!AV51</f>
        <v/>
      </c>
      <c r="AW23" s="34">
        <f>Volume_Assumptions!AW51</f>
        <v/>
      </c>
      <c r="AX23" s="34">
        <f>Volume_Assumptions!AX51</f>
        <v/>
      </c>
      <c r="AY23" s="34">
        <f>Volume_Assumptions!AY51</f>
        <v/>
      </c>
      <c r="AZ23" s="34">
        <f>Volume_Assumptions!AZ51</f>
        <v/>
      </c>
      <c r="BA23" s="34">
        <f>Volume_Assumptions!BA51</f>
        <v/>
      </c>
      <c r="BB23" s="34">
        <f>Volume_Assumptions!BB51</f>
        <v/>
      </c>
      <c r="BC23" s="34">
        <f>Volume_Assumptions!BC51</f>
        <v/>
      </c>
      <c r="BD23" s="34">
        <f>Volume_Assumptions!BD51</f>
        <v/>
      </c>
      <c r="BE23" s="34">
        <f>Volume_Assumptions!BE51</f>
        <v/>
      </c>
      <c r="BF23" s="34">
        <f>Volume_Assumptions!BF51</f>
        <v/>
      </c>
      <c r="BG23" s="34">
        <f>Volume_Assumptions!BG51</f>
        <v/>
      </c>
      <c r="BH23" s="34">
        <f>Volume_Assumptions!BH51</f>
        <v/>
      </c>
      <c r="BI23" s="34">
        <f>Volume_Assumptions!BI51</f>
        <v/>
      </c>
      <c r="BJ23" s="34">
        <f>Volume_Assumptions!BJ51</f>
        <v/>
      </c>
      <c r="BK23" s="34">
        <f>Volume_Assumptions!BK51</f>
        <v/>
      </c>
      <c r="BL23" s="34">
        <f>Volume_Assumptions!BL51</f>
        <v/>
      </c>
      <c r="BM23" s="34">
        <f>Volume_Assumptions!BM51</f>
        <v/>
      </c>
      <c r="BN23" s="34">
        <f>Volume_Assumptions!BN51</f>
        <v/>
      </c>
      <c r="BO23" s="34">
        <f>Volume_Assumptions!BO51</f>
        <v/>
      </c>
      <c r="BP23" s="34">
        <f>Volume_Assumptions!BP51</f>
        <v/>
      </c>
      <c r="BQ23" s="34">
        <f>Volume_Assumptions!BQ51</f>
        <v/>
      </c>
      <c r="BR23" s="34">
        <f>Volume_Assumptions!BR51</f>
        <v/>
      </c>
      <c r="BS23" s="34">
        <f>Volume_Assumptions!BS51</f>
        <v/>
      </c>
      <c r="BT23" s="34">
        <f>Volume_Assumptions!BT51</f>
        <v/>
      </c>
      <c r="BU23" s="34">
        <f>Volume_Assumptions!BU51</f>
        <v/>
      </c>
      <c r="BV23" s="34">
        <f>Volume_Assumptions!BV51</f>
        <v/>
      </c>
      <c r="BW23" s="34">
        <f>Volume_Assumptions!BW51</f>
        <v/>
      </c>
      <c r="BX23" s="34">
        <f>Volume_Assumptions!BX51</f>
        <v/>
      </c>
      <c r="BY23" s="34">
        <f>Volume_Assumptions!BY51</f>
        <v/>
      </c>
      <c r="BZ23" s="34">
        <f>Volume_Assumptions!BZ51</f>
        <v/>
      </c>
      <c r="CA23" s="34">
        <f>Volume_Assumptions!CA51</f>
        <v/>
      </c>
      <c r="CB23" s="34">
        <f>Volume_Assumptions!CB51</f>
        <v/>
      </c>
      <c r="CC23" s="34">
        <f>Volume_Assumptions!CC51</f>
        <v/>
      </c>
      <c r="CD23" s="34">
        <f>Volume_Assumptions!CD51</f>
        <v/>
      </c>
      <c r="CE23" s="34">
        <f>Volume_Assumptions!CE51</f>
        <v/>
      </c>
      <c r="CF23" s="34">
        <f>Volume_Assumptions!CF51</f>
        <v/>
      </c>
      <c r="CG23" s="34">
        <f>Volume_Assumptions!CG51</f>
        <v/>
      </c>
      <c r="CH23" s="34">
        <f>Volume_Assumptions!CH51</f>
        <v/>
      </c>
      <c r="CI23" s="34">
        <f>Volume_Assumptions!CI51</f>
        <v/>
      </c>
      <c r="CJ23" s="34">
        <f>Volume_Assumptions!CJ51</f>
        <v/>
      </c>
      <c r="CK23" s="34">
        <f>Volume_Assumptions!CK51</f>
        <v/>
      </c>
      <c r="CL23" s="34">
        <f>Volume_Assumptions!CL51</f>
        <v/>
      </c>
      <c r="CM23" s="34">
        <f>Volume_Assumptions!CM51</f>
        <v/>
      </c>
      <c r="CN23" s="34">
        <f>Volume_Assumptions!CN51</f>
        <v/>
      </c>
      <c r="CO23" s="34">
        <f>Volume_Assumptions!CO51</f>
        <v/>
      </c>
      <c r="CP23" s="34">
        <f>Volume_Assumptions!CP51</f>
        <v/>
      </c>
      <c r="CQ23" s="34">
        <f>Volume_Assumptions!CQ51</f>
        <v/>
      </c>
      <c r="CR23" s="34">
        <f>Volume_Assumptions!CR51</f>
        <v/>
      </c>
      <c r="CS23" s="34">
        <f>Volume_Assumptions!CS51</f>
        <v/>
      </c>
      <c r="CT23" s="34">
        <f>Volume_Assumptions!CT51</f>
        <v/>
      </c>
      <c r="CU23" s="34">
        <f>Volume_Assumptions!CU51</f>
        <v/>
      </c>
      <c r="CV23" s="34">
        <f>Volume_Assumptions!CV51</f>
        <v/>
      </c>
      <c r="CW23" s="34">
        <f>Volume_Assumptions!CW51</f>
        <v/>
      </c>
      <c r="CX23" s="34">
        <f>Volume_Assumptions!CX51</f>
        <v/>
      </c>
      <c r="CY23" s="34">
        <f>Volume_Assumptions!CY51</f>
        <v/>
      </c>
      <c r="CZ23" s="34">
        <f>Volume_Assumptions!CZ51</f>
        <v/>
      </c>
      <c r="DA23" s="34">
        <f>Volume_Assumptions!DA51</f>
        <v/>
      </c>
      <c r="DB23" s="34">
        <f>Volume_Assumptions!DB51</f>
        <v/>
      </c>
      <c r="DC23" s="34">
        <f>Volume_Assumptions!DC51</f>
        <v/>
      </c>
      <c r="DD23" s="34">
        <f>Volume_Assumptions!DD51</f>
        <v/>
      </c>
      <c r="DE23" s="34">
        <f>Volume_Assumptions!DE51</f>
        <v/>
      </c>
      <c r="DF23" s="34">
        <f>Volume_Assumptions!DF51</f>
        <v/>
      </c>
      <c r="DG23" s="34">
        <f>Volume_Assumptions!DG51</f>
        <v/>
      </c>
      <c r="DH23" s="34">
        <f>Volume_Assumptions!DH51</f>
        <v/>
      </c>
      <c r="DI23" s="34">
        <f>Volume_Assumptions!DI51</f>
        <v/>
      </c>
      <c r="DJ23" s="34">
        <f>Volume_Assumptions!DJ51</f>
        <v/>
      </c>
      <c r="DK23" s="34">
        <f>Volume_Assumptions!DK51</f>
        <v/>
      </c>
      <c r="DL23" s="34">
        <f>Volume_Assumptions!DL51</f>
        <v/>
      </c>
      <c r="DM23" s="34">
        <f>Volume_Assumptions!DM51</f>
        <v/>
      </c>
      <c r="DN23" s="34">
        <f>Volume_Assumptions!DN51</f>
        <v/>
      </c>
      <c r="DO23" s="34">
        <f>Volume_Assumptions!DO51</f>
        <v/>
      </c>
      <c r="DP23" s="34">
        <f>Volume_Assumptions!DP51</f>
        <v/>
      </c>
      <c r="DQ23" s="34">
        <f>Volume_Assumptions!DQ51</f>
        <v/>
      </c>
      <c r="DR23" s="34">
        <f>Volume_Assumptions!DR51</f>
        <v/>
      </c>
      <c r="DS23" s="34">
        <f>Volume_Assumptions!DS51</f>
        <v/>
      </c>
      <c r="DT23" s="34">
        <f>Volume_Assumptions!DT51</f>
        <v/>
      </c>
      <c r="DU23" s="34">
        <f>Volume_Assumptions!DU51</f>
        <v/>
      </c>
    </row>
    <row r="24">
      <c r="A24" t="inlineStr">
        <is>
          <t>HL to be Brewed (grossed up for losses)</t>
        </is>
      </c>
      <c r="F24" s="34">
        <f>F23/$E$19</f>
        <v/>
      </c>
      <c r="G24" s="34">
        <f>G23/$E$19</f>
        <v/>
      </c>
      <c r="H24" s="34">
        <f>H23/$E$19</f>
        <v/>
      </c>
      <c r="I24" s="34">
        <f>I23/$E$19</f>
        <v/>
      </c>
      <c r="J24" s="34">
        <f>J23/$E$19</f>
        <v/>
      </c>
      <c r="K24" s="34">
        <f>K23/$E$19</f>
        <v/>
      </c>
      <c r="L24" s="34">
        <f>L23/$E$19</f>
        <v/>
      </c>
      <c r="M24" s="34">
        <f>M23/$E$19</f>
        <v/>
      </c>
      <c r="N24" s="34">
        <f>N23/$E$19</f>
        <v/>
      </c>
      <c r="O24" s="34">
        <f>O23/$E$19</f>
        <v/>
      </c>
      <c r="P24" s="34">
        <f>P23/$E$19</f>
        <v/>
      </c>
      <c r="Q24" s="34">
        <f>Q23/$E$19</f>
        <v/>
      </c>
      <c r="R24" s="34">
        <f>R23/$E$19</f>
        <v/>
      </c>
      <c r="S24" s="34">
        <f>S23/$E$19</f>
        <v/>
      </c>
      <c r="T24" s="34">
        <f>T23/$E$19</f>
        <v/>
      </c>
      <c r="U24" s="34">
        <f>U23/$E$19</f>
        <v/>
      </c>
      <c r="V24" s="34">
        <f>V23/$E$19</f>
        <v/>
      </c>
      <c r="W24" s="34">
        <f>W23/$E$19</f>
        <v/>
      </c>
      <c r="X24" s="34">
        <f>X23/$E$19</f>
        <v/>
      </c>
      <c r="Y24" s="34">
        <f>Y23/$E$19</f>
        <v/>
      </c>
      <c r="Z24" s="34">
        <f>Z23/$E$19</f>
        <v/>
      </c>
      <c r="AA24" s="34">
        <f>AA23/$E$19</f>
        <v/>
      </c>
      <c r="AB24" s="34">
        <f>AB23/$E$19</f>
        <v/>
      </c>
      <c r="AC24" s="34">
        <f>AC23/$E$19</f>
        <v/>
      </c>
      <c r="AD24" s="34">
        <f>AD23/$E$19</f>
        <v/>
      </c>
      <c r="AE24" s="34">
        <f>AE23/$E$19</f>
        <v/>
      </c>
      <c r="AF24" s="34">
        <f>AF23/$E$19</f>
        <v/>
      </c>
      <c r="AG24" s="34">
        <f>AG23/$E$19</f>
        <v/>
      </c>
      <c r="AH24" s="34">
        <f>AH23/$E$19</f>
        <v/>
      </c>
      <c r="AI24" s="34">
        <f>AI23/$E$19</f>
        <v/>
      </c>
      <c r="AJ24" s="34">
        <f>AJ23/$E$19</f>
        <v/>
      </c>
      <c r="AK24" s="34">
        <f>AK23/$E$19</f>
        <v/>
      </c>
      <c r="AL24" s="34">
        <f>AL23/$E$19</f>
        <v/>
      </c>
      <c r="AM24" s="34">
        <f>AM23/$E$19</f>
        <v/>
      </c>
      <c r="AN24" s="34">
        <f>AN23/$E$19</f>
        <v/>
      </c>
      <c r="AO24" s="34">
        <f>AO23/$E$19</f>
        <v/>
      </c>
      <c r="AP24" s="34">
        <f>AP23/$E$19</f>
        <v/>
      </c>
      <c r="AQ24" s="34">
        <f>AQ23/$E$19</f>
        <v/>
      </c>
      <c r="AR24" s="34">
        <f>AR23/$E$19</f>
        <v/>
      </c>
      <c r="AS24" s="34">
        <f>AS23/$E$19</f>
        <v/>
      </c>
      <c r="AT24" s="34">
        <f>AT23/$E$19</f>
        <v/>
      </c>
      <c r="AU24" s="34">
        <f>AU23/$E$19</f>
        <v/>
      </c>
      <c r="AV24" s="34">
        <f>AV23/$E$19</f>
        <v/>
      </c>
      <c r="AW24" s="34">
        <f>AW23/$E$19</f>
        <v/>
      </c>
      <c r="AX24" s="34">
        <f>AX23/$E$19</f>
        <v/>
      </c>
      <c r="AY24" s="34">
        <f>AY23/$E$19</f>
        <v/>
      </c>
      <c r="AZ24" s="34">
        <f>AZ23/$E$19</f>
        <v/>
      </c>
      <c r="BA24" s="34">
        <f>BA23/$E$19</f>
        <v/>
      </c>
      <c r="BB24" s="34">
        <f>BB23/$E$19</f>
        <v/>
      </c>
      <c r="BC24" s="34">
        <f>BC23/$E$19</f>
        <v/>
      </c>
      <c r="BD24" s="34">
        <f>BD23/$E$19</f>
        <v/>
      </c>
      <c r="BE24" s="34">
        <f>BE23/$E$19</f>
        <v/>
      </c>
      <c r="BF24" s="34">
        <f>BF23/$E$19</f>
        <v/>
      </c>
      <c r="BG24" s="34">
        <f>BG23/$E$19</f>
        <v/>
      </c>
      <c r="BH24" s="34">
        <f>BH23/$E$19</f>
        <v/>
      </c>
      <c r="BI24" s="34">
        <f>BI23/$E$19</f>
        <v/>
      </c>
      <c r="BJ24" s="34">
        <f>BJ23/$E$19</f>
        <v/>
      </c>
      <c r="BK24" s="34">
        <f>BK23/$E$19</f>
        <v/>
      </c>
      <c r="BL24" s="34">
        <f>BL23/$E$19</f>
        <v/>
      </c>
      <c r="BM24" s="34">
        <f>BM23/$E$19</f>
        <v/>
      </c>
      <c r="BN24" s="34">
        <f>BN23/$E$19</f>
        <v/>
      </c>
      <c r="BO24" s="34">
        <f>BO23/$E$19</f>
        <v/>
      </c>
      <c r="BP24" s="34">
        <f>BP23/$E$19</f>
        <v/>
      </c>
      <c r="BQ24" s="34">
        <f>BQ23/$E$19</f>
        <v/>
      </c>
      <c r="BR24" s="34">
        <f>BR23/$E$19</f>
        <v/>
      </c>
      <c r="BS24" s="34">
        <f>BS23/$E$19</f>
        <v/>
      </c>
      <c r="BT24" s="34">
        <f>BT23/$E$19</f>
        <v/>
      </c>
      <c r="BU24" s="34">
        <f>BU23/$E$19</f>
        <v/>
      </c>
      <c r="BV24" s="34">
        <f>BV23/$E$19</f>
        <v/>
      </c>
      <c r="BW24" s="34">
        <f>BW23/$E$19</f>
        <v/>
      </c>
      <c r="BX24" s="34">
        <f>BX23/$E$19</f>
        <v/>
      </c>
      <c r="BY24" s="34">
        <f>BY23/$E$19</f>
        <v/>
      </c>
      <c r="BZ24" s="34">
        <f>BZ23/$E$19</f>
        <v/>
      </c>
      <c r="CA24" s="34">
        <f>CA23/$E$19</f>
        <v/>
      </c>
      <c r="CB24" s="34">
        <f>CB23/$E$19</f>
        <v/>
      </c>
      <c r="CC24" s="34">
        <f>CC23/$E$19</f>
        <v/>
      </c>
      <c r="CD24" s="34">
        <f>CD23/$E$19</f>
        <v/>
      </c>
      <c r="CE24" s="34">
        <f>CE23/$E$19</f>
        <v/>
      </c>
      <c r="CF24" s="34">
        <f>CF23/$E$19</f>
        <v/>
      </c>
      <c r="CG24" s="34">
        <f>CG23/$E$19</f>
        <v/>
      </c>
      <c r="CH24" s="34">
        <f>CH23/$E$19</f>
        <v/>
      </c>
      <c r="CI24" s="34">
        <f>CI23/$E$19</f>
        <v/>
      </c>
      <c r="CJ24" s="34">
        <f>CJ23/$E$19</f>
        <v/>
      </c>
      <c r="CK24" s="34">
        <f>CK23/$E$19</f>
        <v/>
      </c>
      <c r="CL24" s="34">
        <f>CL23/$E$19</f>
        <v/>
      </c>
      <c r="CM24" s="34">
        <f>CM23/$E$19</f>
        <v/>
      </c>
      <c r="CN24" s="34">
        <f>CN23/$E$19</f>
        <v/>
      </c>
      <c r="CO24" s="34">
        <f>CO23/$E$19</f>
        <v/>
      </c>
      <c r="CP24" s="34">
        <f>CP23/$E$19</f>
        <v/>
      </c>
      <c r="CQ24" s="34">
        <f>CQ23/$E$19</f>
        <v/>
      </c>
      <c r="CR24" s="34">
        <f>CR23/$E$19</f>
        <v/>
      </c>
      <c r="CS24" s="34">
        <f>CS23/$E$19</f>
        <v/>
      </c>
      <c r="CT24" s="34">
        <f>CT23/$E$19</f>
        <v/>
      </c>
      <c r="CU24" s="34">
        <f>CU23/$E$19</f>
        <v/>
      </c>
      <c r="CV24" s="34">
        <f>CV23/$E$19</f>
        <v/>
      </c>
      <c r="CW24" s="34">
        <f>CW23/$E$19</f>
        <v/>
      </c>
      <c r="CX24" s="34">
        <f>CX23/$E$19</f>
        <v/>
      </c>
      <c r="CY24" s="34">
        <f>CY23/$E$19</f>
        <v/>
      </c>
      <c r="CZ24" s="34">
        <f>CZ23/$E$19</f>
        <v/>
      </c>
      <c r="DA24" s="34">
        <f>DA23/$E$19</f>
        <v/>
      </c>
      <c r="DB24" s="34">
        <f>DB23/$E$19</f>
        <v/>
      </c>
      <c r="DC24" s="34">
        <f>DC23/$E$19</f>
        <v/>
      </c>
      <c r="DD24" s="34">
        <f>DD23/$E$19</f>
        <v/>
      </c>
      <c r="DE24" s="34">
        <f>DE23/$E$19</f>
        <v/>
      </c>
      <c r="DF24" s="34">
        <f>DF23/$E$19</f>
        <v/>
      </c>
      <c r="DG24" s="34">
        <f>DG23/$E$19</f>
        <v/>
      </c>
      <c r="DH24" s="34">
        <f>DH23/$E$19</f>
        <v/>
      </c>
      <c r="DI24" s="34">
        <f>DI23/$E$19</f>
        <v/>
      </c>
      <c r="DJ24" s="34">
        <f>DJ23/$E$19</f>
        <v/>
      </c>
      <c r="DK24" s="34">
        <f>DK23/$E$19</f>
        <v/>
      </c>
      <c r="DL24" s="34">
        <f>DL23/$E$19</f>
        <v/>
      </c>
      <c r="DM24" s="34">
        <f>DM23/$E$19</f>
        <v/>
      </c>
      <c r="DN24" s="34">
        <f>DN23/$E$19</f>
        <v/>
      </c>
      <c r="DO24" s="34">
        <f>DO23/$E$19</f>
        <v/>
      </c>
      <c r="DP24" s="34">
        <f>DP23/$E$19</f>
        <v/>
      </c>
      <c r="DQ24" s="34">
        <f>DQ23/$E$19</f>
        <v/>
      </c>
      <c r="DR24" s="34">
        <f>DR23/$E$19</f>
        <v/>
      </c>
      <c r="DS24" s="34">
        <f>DS23/$E$19</f>
        <v/>
      </c>
      <c r="DT24" s="34">
        <f>DT23/$E$19</f>
        <v/>
      </c>
      <c r="DU24" s="34">
        <f>DU23/$E$19</f>
        <v/>
      </c>
    </row>
    <row r="25">
      <c r="A25" t="inlineStr">
        <is>
          <t>Installed capacity (HL/month)</t>
        </is>
      </c>
      <c r="F25" s="34">
        <f>$E$13</f>
        <v/>
      </c>
      <c r="G25" s="34">
        <f>$E$13</f>
        <v/>
      </c>
      <c r="H25" s="34">
        <f>$E$13</f>
        <v/>
      </c>
      <c r="I25" s="34">
        <f>$E$13</f>
        <v/>
      </c>
      <c r="J25" s="34">
        <f>$E$13</f>
        <v/>
      </c>
      <c r="K25" s="34">
        <f>$E$13</f>
        <v/>
      </c>
      <c r="L25" s="34">
        <f>$E$13</f>
        <v/>
      </c>
      <c r="M25" s="34">
        <f>$E$13</f>
        <v/>
      </c>
      <c r="N25" s="34">
        <f>$E$13</f>
        <v/>
      </c>
      <c r="O25" s="34">
        <f>$E$13</f>
        <v/>
      </c>
      <c r="P25" s="34">
        <f>$E$13</f>
        <v/>
      </c>
      <c r="Q25" s="34">
        <f>$E$13</f>
        <v/>
      </c>
      <c r="R25" s="34">
        <f>$E$13</f>
        <v/>
      </c>
      <c r="S25" s="34">
        <f>$E$13</f>
        <v/>
      </c>
      <c r="T25" s="34">
        <f>$E$13</f>
        <v/>
      </c>
      <c r="U25" s="34">
        <f>$E$13</f>
        <v/>
      </c>
      <c r="V25" s="34">
        <f>$E$13</f>
        <v/>
      </c>
      <c r="W25" s="34">
        <f>$E$13</f>
        <v/>
      </c>
      <c r="X25" s="34">
        <f>$E$13</f>
        <v/>
      </c>
      <c r="Y25" s="34">
        <f>$E$13</f>
        <v/>
      </c>
      <c r="Z25" s="34">
        <f>$E$13</f>
        <v/>
      </c>
      <c r="AA25" s="34">
        <f>$E$13</f>
        <v/>
      </c>
      <c r="AB25" s="34">
        <f>$E$13</f>
        <v/>
      </c>
      <c r="AC25" s="34">
        <f>$E$13</f>
        <v/>
      </c>
      <c r="AD25" s="34">
        <f>$E$13</f>
        <v/>
      </c>
      <c r="AE25" s="34">
        <f>$E$13</f>
        <v/>
      </c>
      <c r="AF25" s="34">
        <f>$E$13</f>
        <v/>
      </c>
      <c r="AG25" s="34">
        <f>$E$13</f>
        <v/>
      </c>
      <c r="AH25" s="34">
        <f>$E$13</f>
        <v/>
      </c>
      <c r="AI25" s="34">
        <f>$E$13</f>
        <v/>
      </c>
      <c r="AJ25" s="34">
        <f>$E$13</f>
        <v/>
      </c>
      <c r="AK25" s="34">
        <f>$E$13</f>
        <v/>
      </c>
      <c r="AL25" s="34">
        <f>$E$13</f>
        <v/>
      </c>
      <c r="AM25" s="34">
        <f>$E$13</f>
        <v/>
      </c>
      <c r="AN25" s="34">
        <f>$E$13</f>
        <v/>
      </c>
      <c r="AO25" s="34">
        <f>$E$13</f>
        <v/>
      </c>
      <c r="AP25" s="34">
        <f>$E$13</f>
        <v/>
      </c>
      <c r="AQ25" s="34">
        <f>$E$13</f>
        <v/>
      </c>
      <c r="AR25" s="34">
        <f>$E$13</f>
        <v/>
      </c>
      <c r="AS25" s="34">
        <f>$E$13</f>
        <v/>
      </c>
      <c r="AT25" s="34">
        <f>$E$13</f>
        <v/>
      </c>
      <c r="AU25" s="34">
        <f>$E$13</f>
        <v/>
      </c>
      <c r="AV25" s="34">
        <f>$E$13</f>
        <v/>
      </c>
      <c r="AW25" s="34">
        <f>$E$13</f>
        <v/>
      </c>
      <c r="AX25" s="34">
        <f>$E$13</f>
        <v/>
      </c>
      <c r="AY25" s="34">
        <f>$E$13</f>
        <v/>
      </c>
      <c r="AZ25" s="34">
        <f>$E$13</f>
        <v/>
      </c>
      <c r="BA25" s="34">
        <f>$E$13</f>
        <v/>
      </c>
      <c r="BB25" s="34">
        <f>$E$13</f>
        <v/>
      </c>
      <c r="BC25" s="34">
        <f>$E$13</f>
        <v/>
      </c>
      <c r="BD25" s="34">
        <f>$E$13</f>
        <v/>
      </c>
      <c r="BE25" s="34">
        <f>$E$13</f>
        <v/>
      </c>
      <c r="BF25" s="34">
        <f>$E$13</f>
        <v/>
      </c>
      <c r="BG25" s="34">
        <f>$E$13</f>
        <v/>
      </c>
      <c r="BH25" s="34">
        <f>$E$13</f>
        <v/>
      </c>
      <c r="BI25" s="34">
        <f>$E$13</f>
        <v/>
      </c>
      <c r="BJ25" s="34">
        <f>$E$13</f>
        <v/>
      </c>
      <c r="BK25" s="34">
        <f>$E$13</f>
        <v/>
      </c>
      <c r="BL25" s="34">
        <f>$E$13</f>
        <v/>
      </c>
      <c r="BM25" s="34">
        <f>$E$13</f>
        <v/>
      </c>
      <c r="BN25" s="34">
        <f>$E$13</f>
        <v/>
      </c>
      <c r="BO25" s="34">
        <f>$E$13</f>
        <v/>
      </c>
      <c r="BP25" s="34">
        <f>$E$13</f>
        <v/>
      </c>
      <c r="BQ25" s="34">
        <f>$E$13</f>
        <v/>
      </c>
      <c r="BR25" s="34">
        <f>$E$13</f>
        <v/>
      </c>
      <c r="BS25" s="34">
        <f>$E$13</f>
        <v/>
      </c>
      <c r="BT25" s="34">
        <f>$E$13</f>
        <v/>
      </c>
      <c r="BU25" s="34">
        <f>$E$13</f>
        <v/>
      </c>
      <c r="BV25" s="34">
        <f>$E$13</f>
        <v/>
      </c>
      <c r="BW25" s="34">
        <f>$E$13</f>
        <v/>
      </c>
      <c r="BX25" s="34">
        <f>$E$13</f>
        <v/>
      </c>
      <c r="BY25" s="34">
        <f>$E$13</f>
        <v/>
      </c>
      <c r="BZ25" s="34">
        <f>$E$13</f>
        <v/>
      </c>
      <c r="CA25" s="34">
        <f>$E$13</f>
        <v/>
      </c>
      <c r="CB25" s="34">
        <f>$E$13</f>
        <v/>
      </c>
      <c r="CC25" s="34">
        <f>$E$13</f>
        <v/>
      </c>
      <c r="CD25" s="34">
        <f>$E$13</f>
        <v/>
      </c>
      <c r="CE25" s="34">
        <f>$E$13</f>
        <v/>
      </c>
      <c r="CF25" s="34">
        <f>$E$13</f>
        <v/>
      </c>
      <c r="CG25" s="34">
        <f>$E$13</f>
        <v/>
      </c>
      <c r="CH25" s="34">
        <f>$E$13</f>
        <v/>
      </c>
      <c r="CI25" s="34">
        <f>$E$13</f>
        <v/>
      </c>
      <c r="CJ25" s="34">
        <f>$E$13</f>
        <v/>
      </c>
      <c r="CK25" s="34">
        <f>$E$13</f>
        <v/>
      </c>
      <c r="CL25" s="34">
        <f>$E$13</f>
        <v/>
      </c>
      <c r="CM25" s="34">
        <f>$E$13</f>
        <v/>
      </c>
      <c r="CN25" s="34">
        <f>$E$13</f>
        <v/>
      </c>
      <c r="CO25" s="34">
        <f>$E$13</f>
        <v/>
      </c>
      <c r="CP25" s="34">
        <f>$E$13</f>
        <v/>
      </c>
      <c r="CQ25" s="34">
        <f>$E$13</f>
        <v/>
      </c>
      <c r="CR25" s="34">
        <f>$E$13</f>
        <v/>
      </c>
      <c r="CS25" s="34">
        <f>$E$13</f>
        <v/>
      </c>
      <c r="CT25" s="34">
        <f>$E$13</f>
        <v/>
      </c>
      <c r="CU25" s="34">
        <f>$E$13</f>
        <v/>
      </c>
      <c r="CV25" s="34">
        <f>$E$13</f>
        <v/>
      </c>
      <c r="CW25" s="34">
        <f>$E$13</f>
        <v/>
      </c>
      <c r="CX25" s="34">
        <f>$E$13</f>
        <v/>
      </c>
      <c r="CY25" s="34">
        <f>$E$13</f>
        <v/>
      </c>
      <c r="CZ25" s="34">
        <f>$E$13</f>
        <v/>
      </c>
      <c r="DA25" s="34">
        <f>$E$13</f>
        <v/>
      </c>
      <c r="DB25" s="34">
        <f>$E$13</f>
        <v/>
      </c>
      <c r="DC25" s="34">
        <f>$E$13</f>
        <v/>
      </c>
      <c r="DD25" s="34">
        <f>$E$13</f>
        <v/>
      </c>
      <c r="DE25" s="34">
        <f>$E$13</f>
        <v/>
      </c>
      <c r="DF25" s="34">
        <f>$E$13</f>
        <v/>
      </c>
      <c r="DG25" s="34">
        <f>$E$13</f>
        <v/>
      </c>
      <c r="DH25" s="34">
        <f>$E$13</f>
        <v/>
      </c>
      <c r="DI25" s="34">
        <f>$E$13</f>
        <v/>
      </c>
      <c r="DJ25" s="34">
        <f>$E$13</f>
        <v/>
      </c>
      <c r="DK25" s="34">
        <f>$E$13</f>
        <v/>
      </c>
      <c r="DL25" s="34">
        <f>$E$13</f>
        <v/>
      </c>
      <c r="DM25" s="34">
        <f>$E$13</f>
        <v/>
      </c>
      <c r="DN25" s="34">
        <f>$E$13</f>
        <v/>
      </c>
      <c r="DO25" s="34">
        <f>$E$13</f>
        <v/>
      </c>
      <c r="DP25" s="34">
        <f>$E$13</f>
        <v/>
      </c>
      <c r="DQ25" s="34">
        <f>$E$13</f>
        <v/>
      </c>
      <c r="DR25" s="34">
        <f>$E$13</f>
        <v/>
      </c>
      <c r="DS25" s="34">
        <f>$E$13</f>
        <v/>
      </c>
      <c r="DT25" s="34">
        <f>$E$13</f>
        <v/>
      </c>
      <c r="DU25" s="34">
        <f>$E$13</f>
        <v/>
      </c>
    </row>
    <row r="26">
      <c r="A26" t="inlineStr">
        <is>
          <t>Capacity utilization %</t>
        </is>
      </c>
      <c r="F26" s="26">
        <f>F24/F25</f>
        <v/>
      </c>
      <c r="G26" s="26">
        <f>G24/G25</f>
        <v/>
      </c>
      <c r="H26" s="26">
        <f>H24/H25</f>
        <v/>
      </c>
      <c r="I26" s="26">
        <f>I24/I25</f>
        <v/>
      </c>
      <c r="J26" s="26">
        <f>J24/J25</f>
        <v/>
      </c>
      <c r="K26" s="26">
        <f>K24/K25</f>
        <v/>
      </c>
      <c r="L26" s="26">
        <f>L24/L25</f>
        <v/>
      </c>
      <c r="M26" s="26">
        <f>M24/M25</f>
        <v/>
      </c>
      <c r="N26" s="26">
        <f>N24/N25</f>
        <v/>
      </c>
      <c r="O26" s="26">
        <f>O24/O25</f>
        <v/>
      </c>
      <c r="P26" s="26">
        <f>P24/P25</f>
        <v/>
      </c>
      <c r="Q26" s="26">
        <f>Q24/Q25</f>
        <v/>
      </c>
      <c r="R26" s="26">
        <f>R24/R25</f>
        <v/>
      </c>
      <c r="S26" s="26">
        <f>S24/S25</f>
        <v/>
      </c>
      <c r="T26" s="26">
        <f>T24/T25</f>
        <v/>
      </c>
      <c r="U26" s="26">
        <f>U24/U25</f>
        <v/>
      </c>
      <c r="V26" s="26">
        <f>V24/V25</f>
        <v/>
      </c>
      <c r="W26" s="26">
        <f>W24/W25</f>
        <v/>
      </c>
      <c r="X26" s="26">
        <f>X24/X25</f>
        <v/>
      </c>
      <c r="Y26" s="26">
        <f>Y24/Y25</f>
        <v/>
      </c>
      <c r="Z26" s="26">
        <f>Z24/Z25</f>
        <v/>
      </c>
      <c r="AA26" s="26">
        <f>AA24/AA25</f>
        <v/>
      </c>
      <c r="AB26" s="26">
        <f>AB24/AB25</f>
        <v/>
      </c>
      <c r="AC26" s="26">
        <f>AC24/AC25</f>
        <v/>
      </c>
      <c r="AD26" s="26">
        <f>AD24/AD25</f>
        <v/>
      </c>
      <c r="AE26" s="26">
        <f>AE24/AE25</f>
        <v/>
      </c>
      <c r="AF26" s="26">
        <f>AF24/AF25</f>
        <v/>
      </c>
      <c r="AG26" s="26">
        <f>AG24/AG25</f>
        <v/>
      </c>
      <c r="AH26" s="26">
        <f>AH24/AH25</f>
        <v/>
      </c>
      <c r="AI26" s="26">
        <f>AI24/AI25</f>
        <v/>
      </c>
      <c r="AJ26" s="26">
        <f>AJ24/AJ25</f>
        <v/>
      </c>
      <c r="AK26" s="26">
        <f>AK24/AK25</f>
        <v/>
      </c>
      <c r="AL26" s="26">
        <f>AL24/AL25</f>
        <v/>
      </c>
      <c r="AM26" s="26">
        <f>AM24/AM25</f>
        <v/>
      </c>
      <c r="AN26" s="26">
        <f>AN24/AN25</f>
        <v/>
      </c>
      <c r="AO26" s="26">
        <f>AO24/AO25</f>
        <v/>
      </c>
      <c r="AP26" s="26">
        <f>AP24/AP25</f>
        <v/>
      </c>
      <c r="AQ26" s="26">
        <f>AQ24/AQ25</f>
        <v/>
      </c>
      <c r="AR26" s="26">
        <f>AR24/AR25</f>
        <v/>
      </c>
      <c r="AS26" s="26">
        <f>AS24/AS25</f>
        <v/>
      </c>
      <c r="AT26" s="26">
        <f>AT24/AT25</f>
        <v/>
      </c>
      <c r="AU26" s="26">
        <f>AU24/AU25</f>
        <v/>
      </c>
      <c r="AV26" s="26">
        <f>AV24/AV25</f>
        <v/>
      </c>
      <c r="AW26" s="26">
        <f>AW24/AW25</f>
        <v/>
      </c>
      <c r="AX26" s="26">
        <f>AX24/AX25</f>
        <v/>
      </c>
      <c r="AY26" s="26">
        <f>AY24/AY25</f>
        <v/>
      </c>
      <c r="AZ26" s="26">
        <f>AZ24/AZ25</f>
        <v/>
      </c>
      <c r="BA26" s="26">
        <f>BA24/BA25</f>
        <v/>
      </c>
      <c r="BB26" s="26">
        <f>BB24/BB25</f>
        <v/>
      </c>
      <c r="BC26" s="26">
        <f>BC24/BC25</f>
        <v/>
      </c>
      <c r="BD26" s="26">
        <f>BD24/BD25</f>
        <v/>
      </c>
      <c r="BE26" s="26">
        <f>BE24/BE25</f>
        <v/>
      </c>
      <c r="BF26" s="26">
        <f>BF24/BF25</f>
        <v/>
      </c>
      <c r="BG26" s="26">
        <f>BG24/BG25</f>
        <v/>
      </c>
      <c r="BH26" s="26">
        <f>BH24/BH25</f>
        <v/>
      </c>
      <c r="BI26" s="26">
        <f>BI24/BI25</f>
        <v/>
      </c>
      <c r="BJ26" s="26">
        <f>BJ24/BJ25</f>
        <v/>
      </c>
      <c r="BK26" s="26">
        <f>BK24/BK25</f>
        <v/>
      </c>
      <c r="BL26" s="26">
        <f>BL24/BL25</f>
        <v/>
      </c>
      <c r="BM26" s="26">
        <f>BM24/BM25</f>
        <v/>
      </c>
      <c r="BN26" s="26">
        <f>BN24/BN25</f>
        <v/>
      </c>
      <c r="BO26" s="26">
        <f>BO24/BO25</f>
        <v/>
      </c>
      <c r="BP26" s="26">
        <f>BP24/BP25</f>
        <v/>
      </c>
      <c r="BQ26" s="26">
        <f>BQ24/BQ25</f>
        <v/>
      </c>
      <c r="BR26" s="26">
        <f>BR24/BR25</f>
        <v/>
      </c>
      <c r="BS26" s="26">
        <f>BS24/BS25</f>
        <v/>
      </c>
      <c r="BT26" s="26">
        <f>BT24/BT25</f>
        <v/>
      </c>
      <c r="BU26" s="26">
        <f>BU24/BU25</f>
        <v/>
      </c>
      <c r="BV26" s="26">
        <f>BV24/BV25</f>
        <v/>
      </c>
      <c r="BW26" s="26">
        <f>BW24/BW25</f>
        <v/>
      </c>
      <c r="BX26" s="26">
        <f>BX24/BX25</f>
        <v/>
      </c>
      <c r="BY26" s="26">
        <f>BY24/BY25</f>
        <v/>
      </c>
      <c r="BZ26" s="26">
        <f>BZ24/BZ25</f>
        <v/>
      </c>
      <c r="CA26" s="26">
        <f>CA24/CA25</f>
        <v/>
      </c>
      <c r="CB26" s="26">
        <f>CB24/CB25</f>
        <v/>
      </c>
      <c r="CC26" s="26">
        <f>CC24/CC25</f>
        <v/>
      </c>
      <c r="CD26" s="26">
        <f>CD24/CD25</f>
        <v/>
      </c>
      <c r="CE26" s="26">
        <f>CE24/CE25</f>
        <v/>
      </c>
      <c r="CF26" s="26">
        <f>CF24/CF25</f>
        <v/>
      </c>
      <c r="CG26" s="26">
        <f>CG24/CG25</f>
        <v/>
      </c>
      <c r="CH26" s="26">
        <f>CH24/CH25</f>
        <v/>
      </c>
      <c r="CI26" s="26">
        <f>CI24/CI25</f>
        <v/>
      </c>
      <c r="CJ26" s="26">
        <f>CJ24/CJ25</f>
        <v/>
      </c>
      <c r="CK26" s="26">
        <f>CK24/CK25</f>
        <v/>
      </c>
      <c r="CL26" s="26">
        <f>CL24/CL25</f>
        <v/>
      </c>
      <c r="CM26" s="26">
        <f>CM24/CM25</f>
        <v/>
      </c>
      <c r="CN26" s="26">
        <f>CN24/CN25</f>
        <v/>
      </c>
      <c r="CO26" s="26">
        <f>CO24/CO25</f>
        <v/>
      </c>
      <c r="CP26" s="26">
        <f>CP24/CP25</f>
        <v/>
      </c>
      <c r="CQ26" s="26">
        <f>CQ24/CQ25</f>
        <v/>
      </c>
      <c r="CR26" s="26">
        <f>CR24/CR25</f>
        <v/>
      </c>
      <c r="CS26" s="26">
        <f>CS24/CS25</f>
        <v/>
      </c>
      <c r="CT26" s="26">
        <f>CT24/CT25</f>
        <v/>
      </c>
      <c r="CU26" s="26">
        <f>CU24/CU25</f>
        <v/>
      </c>
      <c r="CV26" s="26">
        <f>CV24/CV25</f>
        <v/>
      </c>
      <c r="CW26" s="26">
        <f>CW24/CW25</f>
        <v/>
      </c>
      <c r="CX26" s="26">
        <f>CX24/CX25</f>
        <v/>
      </c>
      <c r="CY26" s="26">
        <f>CY24/CY25</f>
        <v/>
      </c>
      <c r="CZ26" s="26">
        <f>CZ24/CZ25</f>
        <v/>
      </c>
      <c r="DA26" s="26">
        <f>DA24/DA25</f>
        <v/>
      </c>
      <c r="DB26" s="26">
        <f>DB24/DB25</f>
        <v/>
      </c>
      <c r="DC26" s="26">
        <f>DC24/DC25</f>
        <v/>
      </c>
      <c r="DD26" s="26">
        <f>DD24/DD25</f>
        <v/>
      </c>
      <c r="DE26" s="26">
        <f>DE24/DE25</f>
        <v/>
      </c>
      <c r="DF26" s="26">
        <f>DF24/DF25</f>
        <v/>
      </c>
      <c r="DG26" s="26">
        <f>DG24/DG25</f>
        <v/>
      </c>
      <c r="DH26" s="26">
        <f>DH24/DH25</f>
        <v/>
      </c>
      <c r="DI26" s="26">
        <f>DI24/DI25</f>
        <v/>
      </c>
      <c r="DJ26" s="26">
        <f>DJ24/DJ25</f>
        <v/>
      </c>
      <c r="DK26" s="26">
        <f>DK24/DK25</f>
        <v/>
      </c>
      <c r="DL26" s="26">
        <f>DL24/DL25</f>
        <v/>
      </c>
      <c r="DM26" s="26">
        <f>DM24/DM25</f>
        <v/>
      </c>
      <c r="DN26" s="26">
        <f>DN24/DN25</f>
        <v/>
      </c>
      <c r="DO26" s="26">
        <f>DO24/DO25</f>
        <v/>
      </c>
      <c r="DP26" s="26">
        <f>DP24/DP25</f>
        <v/>
      </c>
      <c r="DQ26" s="26">
        <f>DQ24/DQ25</f>
        <v/>
      </c>
      <c r="DR26" s="26">
        <f>DR24/DR25</f>
        <v/>
      </c>
      <c r="DS26" s="26">
        <f>DS24/DS25</f>
        <v/>
      </c>
      <c r="DT26" s="26">
        <f>DT24/DT25</f>
        <v/>
      </c>
      <c r="DU26" s="26">
        <f>DU24/DU25</f>
        <v/>
      </c>
    </row>
    <row r="27">
      <c r="A27" t="inlineStr">
        <is>
          <t>Headroom (HL)</t>
        </is>
      </c>
      <c r="F27" s="34">
        <f>F25-F24</f>
        <v/>
      </c>
      <c r="G27" s="34">
        <f>G25-G24</f>
        <v/>
      </c>
      <c r="H27" s="34">
        <f>H25-H24</f>
        <v/>
      </c>
      <c r="I27" s="34">
        <f>I25-I24</f>
        <v/>
      </c>
      <c r="J27" s="34">
        <f>J25-J24</f>
        <v/>
      </c>
      <c r="K27" s="34">
        <f>K25-K24</f>
        <v/>
      </c>
      <c r="L27" s="34">
        <f>L25-L24</f>
        <v/>
      </c>
      <c r="M27" s="34">
        <f>M25-M24</f>
        <v/>
      </c>
      <c r="N27" s="34">
        <f>N25-N24</f>
        <v/>
      </c>
      <c r="O27" s="34">
        <f>O25-O24</f>
        <v/>
      </c>
      <c r="P27" s="34">
        <f>P25-P24</f>
        <v/>
      </c>
      <c r="Q27" s="34">
        <f>Q25-Q24</f>
        <v/>
      </c>
      <c r="R27" s="34">
        <f>R25-R24</f>
        <v/>
      </c>
      <c r="S27" s="34">
        <f>S25-S24</f>
        <v/>
      </c>
      <c r="T27" s="34">
        <f>T25-T24</f>
        <v/>
      </c>
      <c r="U27" s="34">
        <f>U25-U24</f>
        <v/>
      </c>
      <c r="V27" s="34">
        <f>V25-V24</f>
        <v/>
      </c>
      <c r="W27" s="34">
        <f>W25-W24</f>
        <v/>
      </c>
      <c r="X27" s="34">
        <f>X25-X24</f>
        <v/>
      </c>
      <c r="Y27" s="34">
        <f>Y25-Y24</f>
        <v/>
      </c>
      <c r="Z27" s="34">
        <f>Z25-Z24</f>
        <v/>
      </c>
      <c r="AA27" s="34">
        <f>AA25-AA24</f>
        <v/>
      </c>
      <c r="AB27" s="34">
        <f>AB25-AB24</f>
        <v/>
      </c>
      <c r="AC27" s="34">
        <f>AC25-AC24</f>
        <v/>
      </c>
      <c r="AD27" s="34">
        <f>AD25-AD24</f>
        <v/>
      </c>
      <c r="AE27" s="34">
        <f>AE25-AE24</f>
        <v/>
      </c>
      <c r="AF27" s="34">
        <f>AF25-AF24</f>
        <v/>
      </c>
      <c r="AG27" s="34">
        <f>AG25-AG24</f>
        <v/>
      </c>
      <c r="AH27" s="34">
        <f>AH25-AH24</f>
        <v/>
      </c>
      <c r="AI27" s="34">
        <f>AI25-AI24</f>
        <v/>
      </c>
      <c r="AJ27" s="34">
        <f>AJ25-AJ24</f>
        <v/>
      </c>
      <c r="AK27" s="34">
        <f>AK25-AK24</f>
        <v/>
      </c>
      <c r="AL27" s="34">
        <f>AL25-AL24</f>
        <v/>
      </c>
      <c r="AM27" s="34">
        <f>AM25-AM24</f>
        <v/>
      </c>
      <c r="AN27" s="34">
        <f>AN25-AN24</f>
        <v/>
      </c>
      <c r="AO27" s="34">
        <f>AO25-AO24</f>
        <v/>
      </c>
      <c r="AP27" s="34">
        <f>AP25-AP24</f>
        <v/>
      </c>
      <c r="AQ27" s="34">
        <f>AQ25-AQ24</f>
        <v/>
      </c>
      <c r="AR27" s="34">
        <f>AR25-AR24</f>
        <v/>
      </c>
      <c r="AS27" s="34">
        <f>AS25-AS24</f>
        <v/>
      </c>
      <c r="AT27" s="34">
        <f>AT25-AT24</f>
        <v/>
      </c>
      <c r="AU27" s="34">
        <f>AU25-AU24</f>
        <v/>
      </c>
      <c r="AV27" s="34">
        <f>AV25-AV24</f>
        <v/>
      </c>
      <c r="AW27" s="34">
        <f>AW25-AW24</f>
        <v/>
      </c>
      <c r="AX27" s="34">
        <f>AX25-AX24</f>
        <v/>
      </c>
      <c r="AY27" s="34">
        <f>AY25-AY24</f>
        <v/>
      </c>
      <c r="AZ27" s="34">
        <f>AZ25-AZ24</f>
        <v/>
      </c>
      <c r="BA27" s="34">
        <f>BA25-BA24</f>
        <v/>
      </c>
      <c r="BB27" s="34">
        <f>BB25-BB24</f>
        <v/>
      </c>
      <c r="BC27" s="34">
        <f>BC25-BC24</f>
        <v/>
      </c>
      <c r="BD27" s="34">
        <f>BD25-BD24</f>
        <v/>
      </c>
      <c r="BE27" s="34">
        <f>BE25-BE24</f>
        <v/>
      </c>
      <c r="BF27" s="34">
        <f>BF25-BF24</f>
        <v/>
      </c>
      <c r="BG27" s="34">
        <f>BG25-BG24</f>
        <v/>
      </c>
      <c r="BH27" s="34">
        <f>BH25-BH24</f>
        <v/>
      </c>
      <c r="BI27" s="34">
        <f>BI25-BI24</f>
        <v/>
      </c>
      <c r="BJ27" s="34">
        <f>BJ25-BJ24</f>
        <v/>
      </c>
      <c r="BK27" s="34">
        <f>BK25-BK24</f>
        <v/>
      </c>
      <c r="BL27" s="34">
        <f>BL25-BL24</f>
        <v/>
      </c>
      <c r="BM27" s="34">
        <f>BM25-BM24</f>
        <v/>
      </c>
      <c r="BN27" s="34">
        <f>BN25-BN24</f>
        <v/>
      </c>
      <c r="BO27" s="34">
        <f>BO25-BO24</f>
        <v/>
      </c>
      <c r="BP27" s="34">
        <f>BP25-BP24</f>
        <v/>
      </c>
      <c r="BQ27" s="34">
        <f>BQ25-BQ24</f>
        <v/>
      </c>
      <c r="BR27" s="34">
        <f>BR25-BR24</f>
        <v/>
      </c>
      <c r="BS27" s="34">
        <f>BS25-BS24</f>
        <v/>
      </c>
      <c r="BT27" s="34">
        <f>BT25-BT24</f>
        <v/>
      </c>
      <c r="BU27" s="34">
        <f>BU25-BU24</f>
        <v/>
      </c>
      <c r="BV27" s="34">
        <f>BV25-BV24</f>
        <v/>
      </c>
      <c r="BW27" s="34">
        <f>BW25-BW24</f>
        <v/>
      </c>
      <c r="BX27" s="34">
        <f>BX25-BX24</f>
        <v/>
      </c>
      <c r="BY27" s="34">
        <f>BY25-BY24</f>
        <v/>
      </c>
      <c r="BZ27" s="34">
        <f>BZ25-BZ24</f>
        <v/>
      </c>
      <c r="CA27" s="34">
        <f>CA25-CA24</f>
        <v/>
      </c>
      <c r="CB27" s="34">
        <f>CB25-CB24</f>
        <v/>
      </c>
      <c r="CC27" s="34">
        <f>CC25-CC24</f>
        <v/>
      </c>
      <c r="CD27" s="34">
        <f>CD25-CD24</f>
        <v/>
      </c>
      <c r="CE27" s="34">
        <f>CE25-CE24</f>
        <v/>
      </c>
      <c r="CF27" s="34">
        <f>CF25-CF24</f>
        <v/>
      </c>
      <c r="CG27" s="34">
        <f>CG25-CG24</f>
        <v/>
      </c>
      <c r="CH27" s="34">
        <f>CH25-CH24</f>
        <v/>
      </c>
      <c r="CI27" s="34">
        <f>CI25-CI24</f>
        <v/>
      </c>
      <c r="CJ27" s="34">
        <f>CJ25-CJ24</f>
        <v/>
      </c>
      <c r="CK27" s="34">
        <f>CK25-CK24</f>
        <v/>
      </c>
      <c r="CL27" s="34">
        <f>CL25-CL24</f>
        <v/>
      </c>
      <c r="CM27" s="34">
        <f>CM25-CM24</f>
        <v/>
      </c>
      <c r="CN27" s="34">
        <f>CN25-CN24</f>
        <v/>
      </c>
      <c r="CO27" s="34">
        <f>CO25-CO24</f>
        <v/>
      </c>
      <c r="CP27" s="34">
        <f>CP25-CP24</f>
        <v/>
      </c>
      <c r="CQ27" s="34">
        <f>CQ25-CQ24</f>
        <v/>
      </c>
      <c r="CR27" s="34">
        <f>CR25-CR24</f>
        <v/>
      </c>
      <c r="CS27" s="34">
        <f>CS25-CS24</f>
        <v/>
      </c>
      <c r="CT27" s="34">
        <f>CT25-CT24</f>
        <v/>
      </c>
      <c r="CU27" s="34">
        <f>CU25-CU24</f>
        <v/>
      </c>
      <c r="CV27" s="34">
        <f>CV25-CV24</f>
        <v/>
      </c>
      <c r="CW27" s="34">
        <f>CW25-CW24</f>
        <v/>
      </c>
      <c r="CX27" s="34">
        <f>CX25-CX24</f>
        <v/>
      </c>
      <c r="CY27" s="34">
        <f>CY25-CY24</f>
        <v/>
      </c>
      <c r="CZ27" s="34">
        <f>CZ25-CZ24</f>
        <v/>
      </c>
      <c r="DA27" s="34">
        <f>DA25-DA24</f>
        <v/>
      </c>
      <c r="DB27" s="34">
        <f>DB25-DB24</f>
        <v/>
      </c>
      <c r="DC27" s="34">
        <f>DC25-DC24</f>
        <v/>
      </c>
      <c r="DD27" s="34">
        <f>DD25-DD24</f>
        <v/>
      </c>
      <c r="DE27" s="34">
        <f>DE25-DE24</f>
        <v/>
      </c>
      <c r="DF27" s="34">
        <f>DF25-DF24</f>
        <v/>
      </c>
      <c r="DG27" s="34">
        <f>DG25-DG24</f>
        <v/>
      </c>
      <c r="DH27" s="34">
        <f>DH25-DH24</f>
        <v/>
      </c>
      <c r="DI27" s="34">
        <f>DI25-DI24</f>
        <v/>
      </c>
      <c r="DJ27" s="34">
        <f>DJ25-DJ24</f>
        <v/>
      </c>
      <c r="DK27" s="34">
        <f>DK25-DK24</f>
        <v/>
      </c>
      <c r="DL27" s="34">
        <f>DL25-DL24</f>
        <v/>
      </c>
      <c r="DM27" s="34">
        <f>DM25-DM24</f>
        <v/>
      </c>
      <c r="DN27" s="34">
        <f>DN25-DN24</f>
        <v/>
      </c>
      <c r="DO27" s="34">
        <f>DO25-DO24</f>
        <v/>
      </c>
      <c r="DP27" s="34">
        <f>DP25-DP24</f>
        <v/>
      </c>
      <c r="DQ27" s="34">
        <f>DQ25-DQ24</f>
        <v/>
      </c>
      <c r="DR27" s="34">
        <f>DR25-DR24</f>
        <v/>
      </c>
      <c r="DS27" s="34">
        <f>DS25-DS24</f>
        <v/>
      </c>
      <c r="DT27" s="34">
        <f>DT25-DT24</f>
        <v/>
      </c>
      <c r="DU27" s="34">
        <f>DU25-DU24</f>
        <v/>
      </c>
    </row>
    <row r="28">
      <c r="A28" t="inlineStr">
        <is>
          <t>Constraint flag</t>
        </is>
      </c>
      <c r="F28">
        <f>IF(F26&gt;1,"OVER CAPACITY","OK")</f>
        <v/>
      </c>
      <c r="G28">
        <f>IF(G26&gt;1,"OVER CAPACITY","OK")</f>
        <v/>
      </c>
      <c r="H28">
        <f>IF(H26&gt;1,"OVER CAPACITY","OK")</f>
        <v/>
      </c>
      <c r="I28">
        <f>IF(I26&gt;1,"OVER CAPACITY","OK")</f>
        <v/>
      </c>
      <c r="J28">
        <f>IF(J26&gt;1,"OVER CAPACITY","OK")</f>
        <v/>
      </c>
      <c r="K28">
        <f>IF(K26&gt;1,"OVER CAPACITY","OK")</f>
        <v/>
      </c>
      <c r="L28">
        <f>IF(L26&gt;1,"OVER CAPACITY","OK")</f>
        <v/>
      </c>
      <c r="M28">
        <f>IF(M26&gt;1,"OVER CAPACITY","OK")</f>
        <v/>
      </c>
      <c r="N28">
        <f>IF(N26&gt;1,"OVER CAPACITY","OK")</f>
        <v/>
      </c>
      <c r="O28">
        <f>IF(O26&gt;1,"OVER CAPACITY","OK")</f>
        <v/>
      </c>
      <c r="P28">
        <f>IF(P26&gt;1,"OVER CAPACITY","OK")</f>
        <v/>
      </c>
      <c r="Q28">
        <f>IF(Q26&gt;1,"OVER CAPACITY","OK")</f>
        <v/>
      </c>
      <c r="R28">
        <f>IF(R26&gt;1,"OVER CAPACITY","OK")</f>
        <v/>
      </c>
      <c r="S28">
        <f>IF(S26&gt;1,"OVER CAPACITY","OK")</f>
        <v/>
      </c>
      <c r="T28">
        <f>IF(T26&gt;1,"OVER CAPACITY","OK")</f>
        <v/>
      </c>
      <c r="U28">
        <f>IF(U26&gt;1,"OVER CAPACITY","OK")</f>
        <v/>
      </c>
      <c r="V28">
        <f>IF(V26&gt;1,"OVER CAPACITY","OK")</f>
        <v/>
      </c>
      <c r="W28">
        <f>IF(W26&gt;1,"OVER CAPACITY","OK")</f>
        <v/>
      </c>
      <c r="X28">
        <f>IF(X26&gt;1,"OVER CAPACITY","OK")</f>
        <v/>
      </c>
      <c r="Y28">
        <f>IF(Y26&gt;1,"OVER CAPACITY","OK")</f>
        <v/>
      </c>
      <c r="Z28">
        <f>IF(Z26&gt;1,"OVER CAPACITY","OK")</f>
        <v/>
      </c>
      <c r="AA28">
        <f>IF(AA26&gt;1,"OVER CAPACITY","OK")</f>
        <v/>
      </c>
      <c r="AB28">
        <f>IF(AB26&gt;1,"OVER CAPACITY","OK")</f>
        <v/>
      </c>
      <c r="AC28">
        <f>IF(AC26&gt;1,"OVER CAPACITY","OK")</f>
        <v/>
      </c>
      <c r="AD28">
        <f>IF(AD26&gt;1,"OVER CAPACITY","OK")</f>
        <v/>
      </c>
      <c r="AE28">
        <f>IF(AE26&gt;1,"OVER CAPACITY","OK")</f>
        <v/>
      </c>
      <c r="AF28">
        <f>IF(AF26&gt;1,"OVER CAPACITY","OK")</f>
        <v/>
      </c>
      <c r="AG28">
        <f>IF(AG26&gt;1,"OVER CAPACITY","OK")</f>
        <v/>
      </c>
      <c r="AH28">
        <f>IF(AH26&gt;1,"OVER CAPACITY","OK")</f>
        <v/>
      </c>
      <c r="AI28">
        <f>IF(AI26&gt;1,"OVER CAPACITY","OK")</f>
        <v/>
      </c>
      <c r="AJ28">
        <f>IF(AJ26&gt;1,"OVER CAPACITY","OK")</f>
        <v/>
      </c>
      <c r="AK28">
        <f>IF(AK26&gt;1,"OVER CAPACITY","OK")</f>
        <v/>
      </c>
      <c r="AL28">
        <f>IF(AL26&gt;1,"OVER CAPACITY","OK")</f>
        <v/>
      </c>
      <c r="AM28">
        <f>IF(AM26&gt;1,"OVER CAPACITY","OK")</f>
        <v/>
      </c>
      <c r="AN28">
        <f>IF(AN26&gt;1,"OVER CAPACITY","OK")</f>
        <v/>
      </c>
      <c r="AO28">
        <f>IF(AO26&gt;1,"OVER CAPACITY","OK")</f>
        <v/>
      </c>
      <c r="AP28">
        <f>IF(AP26&gt;1,"OVER CAPACITY","OK")</f>
        <v/>
      </c>
      <c r="AQ28">
        <f>IF(AQ26&gt;1,"OVER CAPACITY","OK")</f>
        <v/>
      </c>
      <c r="AR28">
        <f>IF(AR26&gt;1,"OVER CAPACITY","OK")</f>
        <v/>
      </c>
      <c r="AS28">
        <f>IF(AS26&gt;1,"OVER CAPACITY","OK")</f>
        <v/>
      </c>
      <c r="AT28">
        <f>IF(AT26&gt;1,"OVER CAPACITY","OK")</f>
        <v/>
      </c>
      <c r="AU28">
        <f>IF(AU26&gt;1,"OVER CAPACITY","OK")</f>
        <v/>
      </c>
      <c r="AV28">
        <f>IF(AV26&gt;1,"OVER CAPACITY","OK")</f>
        <v/>
      </c>
      <c r="AW28">
        <f>IF(AW26&gt;1,"OVER CAPACITY","OK")</f>
        <v/>
      </c>
      <c r="AX28">
        <f>IF(AX26&gt;1,"OVER CAPACITY","OK")</f>
        <v/>
      </c>
      <c r="AY28">
        <f>IF(AY26&gt;1,"OVER CAPACITY","OK")</f>
        <v/>
      </c>
      <c r="AZ28">
        <f>IF(AZ26&gt;1,"OVER CAPACITY","OK")</f>
        <v/>
      </c>
      <c r="BA28">
        <f>IF(BA26&gt;1,"OVER CAPACITY","OK")</f>
        <v/>
      </c>
      <c r="BB28">
        <f>IF(BB26&gt;1,"OVER CAPACITY","OK")</f>
        <v/>
      </c>
      <c r="BC28">
        <f>IF(BC26&gt;1,"OVER CAPACITY","OK")</f>
        <v/>
      </c>
      <c r="BD28">
        <f>IF(BD26&gt;1,"OVER CAPACITY","OK")</f>
        <v/>
      </c>
      <c r="BE28">
        <f>IF(BE26&gt;1,"OVER CAPACITY","OK")</f>
        <v/>
      </c>
      <c r="BF28">
        <f>IF(BF26&gt;1,"OVER CAPACITY","OK")</f>
        <v/>
      </c>
      <c r="BG28">
        <f>IF(BG26&gt;1,"OVER CAPACITY","OK")</f>
        <v/>
      </c>
      <c r="BH28">
        <f>IF(BH26&gt;1,"OVER CAPACITY","OK")</f>
        <v/>
      </c>
      <c r="BI28">
        <f>IF(BI26&gt;1,"OVER CAPACITY","OK")</f>
        <v/>
      </c>
      <c r="BJ28">
        <f>IF(BJ26&gt;1,"OVER CAPACITY","OK")</f>
        <v/>
      </c>
      <c r="BK28">
        <f>IF(BK26&gt;1,"OVER CAPACITY","OK")</f>
        <v/>
      </c>
      <c r="BL28">
        <f>IF(BL26&gt;1,"OVER CAPACITY","OK")</f>
        <v/>
      </c>
      <c r="BM28">
        <f>IF(BM26&gt;1,"OVER CAPACITY","OK")</f>
        <v/>
      </c>
      <c r="BN28">
        <f>IF(BN26&gt;1,"OVER CAPACITY","OK")</f>
        <v/>
      </c>
      <c r="BO28">
        <f>IF(BO26&gt;1,"OVER CAPACITY","OK")</f>
        <v/>
      </c>
      <c r="BP28">
        <f>IF(BP26&gt;1,"OVER CAPACITY","OK")</f>
        <v/>
      </c>
      <c r="BQ28">
        <f>IF(BQ26&gt;1,"OVER CAPACITY","OK")</f>
        <v/>
      </c>
      <c r="BR28">
        <f>IF(BR26&gt;1,"OVER CAPACITY","OK")</f>
        <v/>
      </c>
      <c r="BS28">
        <f>IF(BS26&gt;1,"OVER CAPACITY","OK")</f>
        <v/>
      </c>
      <c r="BT28">
        <f>IF(BT26&gt;1,"OVER CAPACITY","OK")</f>
        <v/>
      </c>
      <c r="BU28">
        <f>IF(BU26&gt;1,"OVER CAPACITY","OK")</f>
        <v/>
      </c>
      <c r="BV28">
        <f>IF(BV26&gt;1,"OVER CAPACITY","OK")</f>
        <v/>
      </c>
      <c r="BW28">
        <f>IF(BW26&gt;1,"OVER CAPACITY","OK")</f>
        <v/>
      </c>
      <c r="BX28">
        <f>IF(BX26&gt;1,"OVER CAPACITY","OK")</f>
        <v/>
      </c>
      <c r="BY28">
        <f>IF(BY26&gt;1,"OVER CAPACITY","OK")</f>
        <v/>
      </c>
      <c r="BZ28">
        <f>IF(BZ26&gt;1,"OVER CAPACITY","OK")</f>
        <v/>
      </c>
      <c r="CA28">
        <f>IF(CA26&gt;1,"OVER CAPACITY","OK")</f>
        <v/>
      </c>
      <c r="CB28">
        <f>IF(CB26&gt;1,"OVER CAPACITY","OK")</f>
        <v/>
      </c>
      <c r="CC28">
        <f>IF(CC26&gt;1,"OVER CAPACITY","OK")</f>
        <v/>
      </c>
      <c r="CD28">
        <f>IF(CD26&gt;1,"OVER CAPACITY","OK")</f>
        <v/>
      </c>
      <c r="CE28">
        <f>IF(CE26&gt;1,"OVER CAPACITY","OK")</f>
        <v/>
      </c>
      <c r="CF28">
        <f>IF(CF26&gt;1,"OVER CAPACITY","OK")</f>
        <v/>
      </c>
      <c r="CG28">
        <f>IF(CG26&gt;1,"OVER CAPACITY","OK")</f>
        <v/>
      </c>
      <c r="CH28">
        <f>IF(CH26&gt;1,"OVER CAPACITY","OK")</f>
        <v/>
      </c>
      <c r="CI28">
        <f>IF(CI26&gt;1,"OVER CAPACITY","OK")</f>
        <v/>
      </c>
      <c r="CJ28">
        <f>IF(CJ26&gt;1,"OVER CAPACITY","OK")</f>
        <v/>
      </c>
      <c r="CK28">
        <f>IF(CK26&gt;1,"OVER CAPACITY","OK")</f>
        <v/>
      </c>
      <c r="CL28">
        <f>IF(CL26&gt;1,"OVER CAPACITY","OK")</f>
        <v/>
      </c>
      <c r="CM28">
        <f>IF(CM26&gt;1,"OVER CAPACITY","OK")</f>
        <v/>
      </c>
      <c r="CN28">
        <f>IF(CN26&gt;1,"OVER CAPACITY","OK")</f>
        <v/>
      </c>
      <c r="CO28">
        <f>IF(CO26&gt;1,"OVER CAPACITY","OK")</f>
        <v/>
      </c>
      <c r="CP28">
        <f>IF(CP26&gt;1,"OVER CAPACITY","OK")</f>
        <v/>
      </c>
      <c r="CQ28">
        <f>IF(CQ26&gt;1,"OVER CAPACITY","OK")</f>
        <v/>
      </c>
      <c r="CR28">
        <f>IF(CR26&gt;1,"OVER CAPACITY","OK")</f>
        <v/>
      </c>
      <c r="CS28">
        <f>IF(CS26&gt;1,"OVER CAPACITY","OK")</f>
        <v/>
      </c>
      <c r="CT28">
        <f>IF(CT26&gt;1,"OVER CAPACITY","OK")</f>
        <v/>
      </c>
      <c r="CU28">
        <f>IF(CU26&gt;1,"OVER CAPACITY","OK")</f>
        <v/>
      </c>
      <c r="CV28">
        <f>IF(CV26&gt;1,"OVER CAPACITY","OK")</f>
        <v/>
      </c>
      <c r="CW28">
        <f>IF(CW26&gt;1,"OVER CAPACITY","OK")</f>
        <v/>
      </c>
      <c r="CX28">
        <f>IF(CX26&gt;1,"OVER CAPACITY","OK")</f>
        <v/>
      </c>
      <c r="CY28">
        <f>IF(CY26&gt;1,"OVER CAPACITY","OK")</f>
        <v/>
      </c>
      <c r="CZ28">
        <f>IF(CZ26&gt;1,"OVER CAPACITY","OK")</f>
        <v/>
      </c>
      <c r="DA28">
        <f>IF(DA26&gt;1,"OVER CAPACITY","OK")</f>
        <v/>
      </c>
      <c r="DB28">
        <f>IF(DB26&gt;1,"OVER CAPACITY","OK")</f>
        <v/>
      </c>
      <c r="DC28">
        <f>IF(DC26&gt;1,"OVER CAPACITY","OK")</f>
        <v/>
      </c>
      <c r="DD28">
        <f>IF(DD26&gt;1,"OVER CAPACITY","OK")</f>
        <v/>
      </c>
      <c r="DE28">
        <f>IF(DE26&gt;1,"OVER CAPACITY","OK")</f>
        <v/>
      </c>
      <c r="DF28">
        <f>IF(DF26&gt;1,"OVER CAPACITY","OK")</f>
        <v/>
      </c>
      <c r="DG28">
        <f>IF(DG26&gt;1,"OVER CAPACITY","OK")</f>
        <v/>
      </c>
      <c r="DH28">
        <f>IF(DH26&gt;1,"OVER CAPACITY","OK")</f>
        <v/>
      </c>
      <c r="DI28">
        <f>IF(DI26&gt;1,"OVER CAPACITY","OK")</f>
        <v/>
      </c>
      <c r="DJ28">
        <f>IF(DJ26&gt;1,"OVER CAPACITY","OK")</f>
        <v/>
      </c>
      <c r="DK28">
        <f>IF(DK26&gt;1,"OVER CAPACITY","OK")</f>
        <v/>
      </c>
      <c r="DL28">
        <f>IF(DL26&gt;1,"OVER CAPACITY","OK")</f>
        <v/>
      </c>
      <c r="DM28">
        <f>IF(DM26&gt;1,"OVER CAPACITY","OK")</f>
        <v/>
      </c>
      <c r="DN28">
        <f>IF(DN26&gt;1,"OVER CAPACITY","OK")</f>
        <v/>
      </c>
      <c r="DO28">
        <f>IF(DO26&gt;1,"OVER CAPACITY","OK")</f>
        <v/>
      </c>
      <c r="DP28">
        <f>IF(DP26&gt;1,"OVER CAPACITY","OK")</f>
        <v/>
      </c>
      <c r="DQ28">
        <f>IF(DQ26&gt;1,"OVER CAPACITY","OK")</f>
        <v/>
      </c>
      <c r="DR28">
        <f>IF(DR26&gt;1,"OVER CAPACITY","OK")</f>
        <v/>
      </c>
      <c r="DS28">
        <f>IF(DS26&gt;1,"OVER CAPACITY","OK")</f>
        <v/>
      </c>
      <c r="DT28">
        <f>IF(DT26&gt;1,"OVER CAPACITY","OK")</f>
        <v/>
      </c>
      <c r="DU28">
        <f>IF(DU26&gt;1,"OVER CAPACITY","OK")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U33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25" customHeight="1">
      <c r="A1" s="1" t="inlineStr">
        <is>
          <t>COGS BUILDUP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6">
      <c r="A6" t="inlineStr">
        <is>
          <t>FY</t>
        </is>
      </c>
      <c r="F6" s="8">
        <f>YEAR(F4)</f>
        <v/>
      </c>
      <c r="G6" s="8">
        <f>YEAR(G4)</f>
        <v/>
      </c>
      <c r="H6" s="8">
        <f>YEAR(H4)</f>
        <v/>
      </c>
      <c r="I6" s="8">
        <f>YEAR(I4)</f>
        <v/>
      </c>
      <c r="J6" s="8">
        <f>YEAR(J4)</f>
        <v/>
      </c>
      <c r="K6" s="8">
        <f>YEAR(K4)</f>
        <v/>
      </c>
      <c r="L6" s="8">
        <f>YEAR(L4)</f>
        <v/>
      </c>
      <c r="M6" s="8">
        <f>YEAR(M4)</f>
        <v/>
      </c>
      <c r="N6" s="8">
        <f>YEAR(N4)</f>
        <v/>
      </c>
      <c r="O6" s="8">
        <f>YEAR(O4)</f>
        <v/>
      </c>
      <c r="P6" s="8">
        <f>YEAR(P4)</f>
        <v/>
      </c>
      <c r="Q6" s="8">
        <f>YEAR(Q4)</f>
        <v/>
      </c>
      <c r="R6" s="8">
        <f>YEAR(R4)</f>
        <v/>
      </c>
      <c r="S6" s="8">
        <f>YEAR(S4)</f>
        <v/>
      </c>
      <c r="T6" s="8">
        <f>YEAR(T4)</f>
        <v/>
      </c>
      <c r="U6" s="8">
        <f>YEAR(U4)</f>
        <v/>
      </c>
      <c r="V6" s="8">
        <f>YEAR(V4)</f>
        <v/>
      </c>
      <c r="W6" s="8">
        <f>YEAR(W4)</f>
        <v/>
      </c>
      <c r="X6" s="8">
        <f>YEAR(X4)</f>
        <v/>
      </c>
      <c r="Y6" s="8">
        <f>YEAR(Y4)</f>
        <v/>
      </c>
      <c r="Z6" s="8">
        <f>YEAR(Z4)</f>
        <v/>
      </c>
      <c r="AA6" s="8">
        <f>YEAR(AA4)</f>
        <v/>
      </c>
      <c r="AB6" s="8">
        <f>YEAR(AB4)</f>
        <v/>
      </c>
      <c r="AC6" s="8">
        <f>YEAR(AC4)</f>
        <v/>
      </c>
      <c r="AD6" s="8">
        <f>YEAR(AD4)</f>
        <v/>
      </c>
      <c r="AE6" s="8">
        <f>YEAR(AE4)</f>
        <v/>
      </c>
      <c r="AF6" s="8">
        <f>YEAR(AF4)</f>
        <v/>
      </c>
      <c r="AG6" s="8">
        <f>YEAR(AG4)</f>
        <v/>
      </c>
      <c r="AH6" s="8">
        <f>YEAR(AH4)</f>
        <v/>
      </c>
      <c r="AI6" s="8">
        <f>YEAR(AI4)</f>
        <v/>
      </c>
      <c r="AJ6" s="8">
        <f>YEAR(AJ4)</f>
        <v/>
      </c>
      <c r="AK6" s="8">
        <f>YEAR(AK4)</f>
        <v/>
      </c>
      <c r="AL6" s="8">
        <f>YEAR(AL4)</f>
        <v/>
      </c>
      <c r="AM6" s="8">
        <f>YEAR(AM4)</f>
        <v/>
      </c>
      <c r="AN6" s="8">
        <f>YEAR(AN4)</f>
        <v/>
      </c>
      <c r="AO6" s="8">
        <f>YEAR(AO4)</f>
        <v/>
      </c>
      <c r="AP6" s="8">
        <f>YEAR(AP4)</f>
        <v/>
      </c>
      <c r="AQ6" s="8">
        <f>YEAR(AQ4)</f>
        <v/>
      </c>
      <c r="AR6" s="8">
        <f>YEAR(AR4)</f>
        <v/>
      </c>
      <c r="AS6" s="8">
        <f>YEAR(AS4)</f>
        <v/>
      </c>
      <c r="AT6" s="8">
        <f>YEAR(AT4)</f>
        <v/>
      </c>
      <c r="AU6" s="8">
        <f>YEAR(AU4)</f>
        <v/>
      </c>
      <c r="AV6" s="8">
        <f>YEAR(AV4)</f>
        <v/>
      </c>
      <c r="AW6" s="8">
        <f>YEAR(AW4)</f>
        <v/>
      </c>
      <c r="AX6" s="8">
        <f>YEAR(AX4)</f>
        <v/>
      </c>
      <c r="AY6" s="8">
        <f>YEAR(AY4)</f>
        <v/>
      </c>
      <c r="AZ6" s="8">
        <f>YEAR(AZ4)</f>
        <v/>
      </c>
      <c r="BA6" s="8">
        <f>YEAR(BA4)</f>
        <v/>
      </c>
      <c r="BB6" s="8">
        <f>YEAR(BB4)</f>
        <v/>
      </c>
      <c r="BC6" s="8">
        <f>YEAR(BC4)</f>
        <v/>
      </c>
      <c r="BD6" s="8">
        <f>YEAR(BD4)</f>
        <v/>
      </c>
      <c r="BE6" s="8">
        <f>YEAR(BE4)</f>
        <v/>
      </c>
      <c r="BF6" s="8">
        <f>YEAR(BF4)</f>
        <v/>
      </c>
      <c r="BG6" s="8">
        <f>YEAR(BG4)</f>
        <v/>
      </c>
      <c r="BH6" s="8">
        <f>YEAR(BH4)</f>
        <v/>
      </c>
      <c r="BI6" s="8">
        <f>YEAR(BI4)</f>
        <v/>
      </c>
      <c r="BJ6" s="8">
        <f>YEAR(BJ4)</f>
        <v/>
      </c>
      <c r="BK6" s="8">
        <f>YEAR(BK4)</f>
        <v/>
      </c>
      <c r="BL6" s="8">
        <f>YEAR(BL4)</f>
        <v/>
      </c>
      <c r="BM6" s="8">
        <f>YEAR(BM4)</f>
        <v/>
      </c>
      <c r="BN6" s="8">
        <f>YEAR(BN4)</f>
        <v/>
      </c>
      <c r="BO6" s="8">
        <f>YEAR(BO4)</f>
        <v/>
      </c>
      <c r="BP6" s="8">
        <f>YEAR(BP4)</f>
        <v/>
      </c>
      <c r="BQ6" s="8">
        <f>YEAR(BQ4)</f>
        <v/>
      </c>
      <c r="BR6" s="8">
        <f>YEAR(BR4)</f>
        <v/>
      </c>
      <c r="BS6" s="8">
        <f>YEAR(BS4)</f>
        <v/>
      </c>
      <c r="BT6" s="8">
        <f>YEAR(BT4)</f>
        <v/>
      </c>
      <c r="BU6" s="8">
        <f>YEAR(BU4)</f>
        <v/>
      </c>
      <c r="BV6" s="8">
        <f>YEAR(BV4)</f>
        <v/>
      </c>
      <c r="BW6" s="8">
        <f>YEAR(BW4)</f>
        <v/>
      </c>
      <c r="BX6" s="8">
        <f>YEAR(BX4)</f>
        <v/>
      </c>
      <c r="BY6" s="8">
        <f>YEAR(BY4)</f>
        <v/>
      </c>
      <c r="BZ6" s="8">
        <f>YEAR(BZ4)</f>
        <v/>
      </c>
      <c r="CA6" s="8">
        <f>YEAR(CA4)</f>
        <v/>
      </c>
      <c r="CB6" s="8">
        <f>YEAR(CB4)</f>
        <v/>
      </c>
      <c r="CC6" s="8">
        <f>YEAR(CC4)</f>
        <v/>
      </c>
      <c r="CD6" s="8">
        <f>YEAR(CD4)</f>
        <v/>
      </c>
      <c r="CE6" s="8">
        <f>YEAR(CE4)</f>
        <v/>
      </c>
      <c r="CF6" s="8">
        <f>YEAR(CF4)</f>
        <v/>
      </c>
      <c r="CG6" s="8">
        <f>YEAR(CG4)</f>
        <v/>
      </c>
      <c r="CH6" s="8">
        <f>YEAR(CH4)</f>
        <v/>
      </c>
      <c r="CI6" s="8">
        <f>YEAR(CI4)</f>
        <v/>
      </c>
      <c r="CJ6" s="8">
        <f>YEAR(CJ4)</f>
        <v/>
      </c>
      <c r="CK6" s="8">
        <f>YEAR(CK4)</f>
        <v/>
      </c>
      <c r="CL6" s="8">
        <f>YEAR(CL4)</f>
        <v/>
      </c>
      <c r="CM6" s="8">
        <f>YEAR(CM4)</f>
        <v/>
      </c>
      <c r="CN6" s="8">
        <f>YEAR(CN4)</f>
        <v/>
      </c>
      <c r="CO6" s="8">
        <f>YEAR(CO4)</f>
        <v/>
      </c>
      <c r="CP6" s="8">
        <f>YEAR(CP4)</f>
        <v/>
      </c>
      <c r="CQ6" s="8">
        <f>YEAR(CQ4)</f>
        <v/>
      </c>
      <c r="CR6" s="8">
        <f>YEAR(CR4)</f>
        <v/>
      </c>
      <c r="CS6" s="8">
        <f>YEAR(CS4)</f>
        <v/>
      </c>
      <c r="CT6" s="8">
        <f>YEAR(CT4)</f>
        <v/>
      </c>
      <c r="CU6" s="8">
        <f>YEAR(CU4)</f>
        <v/>
      </c>
      <c r="CV6" s="8">
        <f>YEAR(CV4)</f>
        <v/>
      </c>
      <c r="CW6" s="8">
        <f>YEAR(CW4)</f>
        <v/>
      </c>
      <c r="CX6" s="8">
        <f>YEAR(CX4)</f>
        <v/>
      </c>
      <c r="CY6" s="8">
        <f>YEAR(CY4)</f>
        <v/>
      </c>
      <c r="CZ6" s="8">
        <f>YEAR(CZ4)</f>
        <v/>
      </c>
      <c r="DA6" s="8">
        <f>YEAR(DA4)</f>
        <v/>
      </c>
      <c r="DB6" s="8">
        <f>YEAR(DB4)</f>
        <v/>
      </c>
      <c r="DC6" s="8">
        <f>YEAR(DC4)</f>
        <v/>
      </c>
      <c r="DD6" s="8">
        <f>YEAR(DD4)</f>
        <v/>
      </c>
      <c r="DE6" s="8">
        <f>YEAR(DE4)</f>
        <v/>
      </c>
      <c r="DF6" s="8">
        <f>YEAR(DF4)</f>
        <v/>
      </c>
      <c r="DG6" s="8">
        <f>YEAR(DG4)</f>
        <v/>
      </c>
      <c r="DH6" s="8">
        <f>YEAR(DH4)</f>
        <v/>
      </c>
      <c r="DI6" s="8">
        <f>YEAR(DI4)</f>
        <v/>
      </c>
      <c r="DJ6" s="8">
        <f>YEAR(DJ4)</f>
        <v/>
      </c>
      <c r="DK6" s="8">
        <f>YEAR(DK4)</f>
        <v/>
      </c>
      <c r="DL6" s="8">
        <f>YEAR(DL4)</f>
        <v/>
      </c>
      <c r="DM6" s="8">
        <f>YEAR(DM4)</f>
        <v/>
      </c>
      <c r="DN6" s="8">
        <f>YEAR(DN4)</f>
        <v/>
      </c>
      <c r="DO6" s="8">
        <f>YEAR(DO4)</f>
        <v/>
      </c>
      <c r="DP6" s="8">
        <f>YEAR(DP4)</f>
        <v/>
      </c>
      <c r="DQ6" s="8">
        <f>YEAR(DQ4)</f>
        <v/>
      </c>
      <c r="DR6" s="8">
        <f>YEAR(DR4)</f>
        <v/>
      </c>
      <c r="DS6" s="8">
        <f>YEAR(DS4)</f>
        <v/>
      </c>
      <c r="DT6" s="8">
        <f>YEAR(DT4)</f>
        <v/>
      </c>
      <c r="DU6" s="8">
        <f>YEAR(DU4)</f>
        <v/>
      </c>
    </row>
    <row r="7">
      <c r="A7" t="inlineStr">
        <is>
          <t>Quarter</t>
        </is>
      </c>
      <c r="F7" s="8">
        <f>"Q"&amp;ROUNDUP(MONTH(F4)/3,0)</f>
        <v/>
      </c>
      <c r="G7" s="8">
        <f>"Q"&amp;ROUNDUP(MONTH(G4)/3,0)</f>
        <v/>
      </c>
      <c r="H7" s="8">
        <f>"Q"&amp;ROUNDUP(MONTH(H4)/3,0)</f>
        <v/>
      </c>
      <c r="I7" s="8">
        <f>"Q"&amp;ROUNDUP(MONTH(I4)/3,0)</f>
        <v/>
      </c>
      <c r="J7" s="8">
        <f>"Q"&amp;ROUNDUP(MONTH(J4)/3,0)</f>
        <v/>
      </c>
      <c r="K7" s="8">
        <f>"Q"&amp;ROUNDUP(MONTH(K4)/3,0)</f>
        <v/>
      </c>
      <c r="L7" s="8">
        <f>"Q"&amp;ROUNDUP(MONTH(L4)/3,0)</f>
        <v/>
      </c>
      <c r="M7" s="8">
        <f>"Q"&amp;ROUNDUP(MONTH(M4)/3,0)</f>
        <v/>
      </c>
      <c r="N7" s="8">
        <f>"Q"&amp;ROUNDUP(MONTH(N4)/3,0)</f>
        <v/>
      </c>
      <c r="O7" s="8">
        <f>"Q"&amp;ROUNDUP(MONTH(O4)/3,0)</f>
        <v/>
      </c>
      <c r="P7" s="8">
        <f>"Q"&amp;ROUNDUP(MONTH(P4)/3,0)</f>
        <v/>
      </c>
      <c r="Q7" s="8">
        <f>"Q"&amp;ROUNDUP(MONTH(Q4)/3,0)</f>
        <v/>
      </c>
      <c r="R7" s="8">
        <f>"Q"&amp;ROUNDUP(MONTH(R4)/3,0)</f>
        <v/>
      </c>
      <c r="S7" s="8">
        <f>"Q"&amp;ROUNDUP(MONTH(S4)/3,0)</f>
        <v/>
      </c>
      <c r="T7" s="8">
        <f>"Q"&amp;ROUNDUP(MONTH(T4)/3,0)</f>
        <v/>
      </c>
      <c r="U7" s="8">
        <f>"Q"&amp;ROUNDUP(MONTH(U4)/3,0)</f>
        <v/>
      </c>
      <c r="V7" s="8">
        <f>"Q"&amp;ROUNDUP(MONTH(V4)/3,0)</f>
        <v/>
      </c>
      <c r="W7" s="8">
        <f>"Q"&amp;ROUNDUP(MONTH(W4)/3,0)</f>
        <v/>
      </c>
      <c r="X7" s="8">
        <f>"Q"&amp;ROUNDUP(MONTH(X4)/3,0)</f>
        <v/>
      </c>
      <c r="Y7" s="8">
        <f>"Q"&amp;ROUNDUP(MONTH(Y4)/3,0)</f>
        <v/>
      </c>
      <c r="Z7" s="8">
        <f>"Q"&amp;ROUNDUP(MONTH(Z4)/3,0)</f>
        <v/>
      </c>
      <c r="AA7" s="8">
        <f>"Q"&amp;ROUNDUP(MONTH(AA4)/3,0)</f>
        <v/>
      </c>
      <c r="AB7" s="8">
        <f>"Q"&amp;ROUNDUP(MONTH(AB4)/3,0)</f>
        <v/>
      </c>
      <c r="AC7" s="8">
        <f>"Q"&amp;ROUNDUP(MONTH(AC4)/3,0)</f>
        <v/>
      </c>
      <c r="AD7" s="8">
        <f>"Q"&amp;ROUNDUP(MONTH(AD4)/3,0)</f>
        <v/>
      </c>
      <c r="AE7" s="8">
        <f>"Q"&amp;ROUNDUP(MONTH(AE4)/3,0)</f>
        <v/>
      </c>
      <c r="AF7" s="8">
        <f>"Q"&amp;ROUNDUP(MONTH(AF4)/3,0)</f>
        <v/>
      </c>
      <c r="AG7" s="8">
        <f>"Q"&amp;ROUNDUP(MONTH(AG4)/3,0)</f>
        <v/>
      </c>
      <c r="AH7" s="8">
        <f>"Q"&amp;ROUNDUP(MONTH(AH4)/3,0)</f>
        <v/>
      </c>
      <c r="AI7" s="8">
        <f>"Q"&amp;ROUNDUP(MONTH(AI4)/3,0)</f>
        <v/>
      </c>
      <c r="AJ7" s="8">
        <f>"Q"&amp;ROUNDUP(MONTH(AJ4)/3,0)</f>
        <v/>
      </c>
      <c r="AK7" s="8">
        <f>"Q"&amp;ROUNDUP(MONTH(AK4)/3,0)</f>
        <v/>
      </c>
      <c r="AL7" s="8">
        <f>"Q"&amp;ROUNDUP(MONTH(AL4)/3,0)</f>
        <v/>
      </c>
      <c r="AM7" s="8">
        <f>"Q"&amp;ROUNDUP(MONTH(AM4)/3,0)</f>
        <v/>
      </c>
      <c r="AN7" s="8">
        <f>"Q"&amp;ROUNDUP(MONTH(AN4)/3,0)</f>
        <v/>
      </c>
      <c r="AO7" s="8">
        <f>"Q"&amp;ROUNDUP(MONTH(AO4)/3,0)</f>
        <v/>
      </c>
      <c r="AP7" s="8">
        <f>"Q"&amp;ROUNDUP(MONTH(AP4)/3,0)</f>
        <v/>
      </c>
      <c r="AQ7" s="8">
        <f>"Q"&amp;ROUNDUP(MONTH(AQ4)/3,0)</f>
        <v/>
      </c>
      <c r="AR7" s="8">
        <f>"Q"&amp;ROUNDUP(MONTH(AR4)/3,0)</f>
        <v/>
      </c>
      <c r="AS7" s="8">
        <f>"Q"&amp;ROUNDUP(MONTH(AS4)/3,0)</f>
        <v/>
      </c>
      <c r="AT7" s="8">
        <f>"Q"&amp;ROUNDUP(MONTH(AT4)/3,0)</f>
        <v/>
      </c>
      <c r="AU7" s="8">
        <f>"Q"&amp;ROUNDUP(MONTH(AU4)/3,0)</f>
        <v/>
      </c>
      <c r="AV7" s="8">
        <f>"Q"&amp;ROUNDUP(MONTH(AV4)/3,0)</f>
        <v/>
      </c>
      <c r="AW7" s="8">
        <f>"Q"&amp;ROUNDUP(MONTH(AW4)/3,0)</f>
        <v/>
      </c>
      <c r="AX7" s="8">
        <f>"Q"&amp;ROUNDUP(MONTH(AX4)/3,0)</f>
        <v/>
      </c>
      <c r="AY7" s="8">
        <f>"Q"&amp;ROUNDUP(MONTH(AY4)/3,0)</f>
        <v/>
      </c>
      <c r="AZ7" s="8">
        <f>"Q"&amp;ROUNDUP(MONTH(AZ4)/3,0)</f>
        <v/>
      </c>
      <c r="BA7" s="8">
        <f>"Q"&amp;ROUNDUP(MONTH(BA4)/3,0)</f>
        <v/>
      </c>
      <c r="BB7" s="8">
        <f>"Q"&amp;ROUNDUP(MONTH(BB4)/3,0)</f>
        <v/>
      </c>
      <c r="BC7" s="8">
        <f>"Q"&amp;ROUNDUP(MONTH(BC4)/3,0)</f>
        <v/>
      </c>
      <c r="BD7" s="8">
        <f>"Q"&amp;ROUNDUP(MONTH(BD4)/3,0)</f>
        <v/>
      </c>
      <c r="BE7" s="8">
        <f>"Q"&amp;ROUNDUP(MONTH(BE4)/3,0)</f>
        <v/>
      </c>
      <c r="BF7" s="8">
        <f>"Q"&amp;ROUNDUP(MONTH(BF4)/3,0)</f>
        <v/>
      </c>
      <c r="BG7" s="8">
        <f>"Q"&amp;ROUNDUP(MONTH(BG4)/3,0)</f>
        <v/>
      </c>
      <c r="BH7" s="8">
        <f>"Q"&amp;ROUNDUP(MONTH(BH4)/3,0)</f>
        <v/>
      </c>
      <c r="BI7" s="8">
        <f>"Q"&amp;ROUNDUP(MONTH(BI4)/3,0)</f>
        <v/>
      </c>
      <c r="BJ7" s="8">
        <f>"Q"&amp;ROUNDUP(MONTH(BJ4)/3,0)</f>
        <v/>
      </c>
      <c r="BK7" s="8">
        <f>"Q"&amp;ROUNDUP(MONTH(BK4)/3,0)</f>
        <v/>
      </c>
      <c r="BL7" s="8">
        <f>"Q"&amp;ROUNDUP(MONTH(BL4)/3,0)</f>
        <v/>
      </c>
      <c r="BM7" s="8">
        <f>"Q"&amp;ROUNDUP(MONTH(BM4)/3,0)</f>
        <v/>
      </c>
      <c r="BN7" s="8">
        <f>"Q"&amp;ROUNDUP(MONTH(BN4)/3,0)</f>
        <v/>
      </c>
      <c r="BO7" s="8">
        <f>"Q"&amp;ROUNDUP(MONTH(BO4)/3,0)</f>
        <v/>
      </c>
      <c r="BP7" s="8">
        <f>"Q"&amp;ROUNDUP(MONTH(BP4)/3,0)</f>
        <v/>
      </c>
      <c r="BQ7" s="8">
        <f>"Q"&amp;ROUNDUP(MONTH(BQ4)/3,0)</f>
        <v/>
      </c>
      <c r="BR7" s="8">
        <f>"Q"&amp;ROUNDUP(MONTH(BR4)/3,0)</f>
        <v/>
      </c>
      <c r="BS7" s="8">
        <f>"Q"&amp;ROUNDUP(MONTH(BS4)/3,0)</f>
        <v/>
      </c>
      <c r="BT7" s="8">
        <f>"Q"&amp;ROUNDUP(MONTH(BT4)/3,0)</f>
        <v/>
      </c>
      <c r="BU7" s="8">
        <f>"Q"&amp;ROUNDUP(MONTH(BU4)/3,0)</f>
        <v/>
      </c>
      <c r="BV7" s="8">
        <f>"Q"&amp;ROUNDUP(MONTH(BV4)/3,0)</f>
        <v/>
      </c>
      <c r="BW7" s="8">
        <f>"Q"&amp;ROUNDUP(MONTH(BW4)/3,0)</f>
        <v/>
      </c>
      <c r="BX7" s="8">
        <f>"Q"&amp;ROUNDUP(MONTH(BX4)/3,0)</f>
        <v/>
      </c>
      <c r="BY7" s="8">
        <f>"Q"&amp;ROUNDUP(MONTH(BY4)/3,0)</f>
        <v/>
      </c>
      <c r="BZ7" s="8">
        <f>"Q"&amp;ROUNDUP(MONTH(BZ4)/3,0)</f>
        <v/>
      </c>
      <c r="CA7" s="8">
        <f>"Q"&amp;ROUNDUP(MONTH(CA4)/3,0)</f>
        <v/>
      </c>
      <c r="CB7" s="8">
        <f>"Q"&amp;ROUNDUP(MONTH(CB4)/3,0)</f>
        <v/>
      </c>
      <c r="CC7" s="8">
        <f>"Q"&amp;ROUNDUP(MONTH(CC4)/3,0)</f>
        <v/>
      </c>
      <c r="CD7" s="8">
        <f>"Q"&amp;ROUNDUP(MONTH(CD4)/3,0)</f>
        <v/>
      </c>
      <c r="CE7" s="8">
        <f>"Q"&amp;ROUNDUP(MONTH(CE4)/3,0)</f>
        <v/>
      </c>
      <c r="CF7" s="8">
        <f>"Q"&amp;ROUNDUP(MONTH(CF4)/3,0)</f>
        <v/>
      </c>
      <c r="CG7" s="8">
        <f>"Q"&amp;ROUNDUP(MONTH(CG4)/3,0)</f>
        <v/>
      </c>
      <c r="CH7" s="8">
        <f>"Q"&amp;ROUNDUP(MONTH(CH4)/3,0)</f>
        <v/>
      </c>
      <c r="CI7" s="8">
        <f>"Q"&amp;ROUNDUP(MONTH(CI4)/3,0)</f>
        <v/>
      </c>
      <c r="CJ7" s="8">
        <f>"Q"&amp;ROUNDUP(MONTH(CJ4)/3,0)</f>
        <v/>
      </c>
      <c r="CK7" s="8">
        <f>"Q"&amp;ROUNDUP(MONTH(CK4)/3,0)</f>
        <v/>
      </c>
      <c r="CL7" s="8">
        <f>"Q"&amp;ROUNDUP(MONTH(CL4)/3,0)</f>
        <v/>
      </c>
      <c r="CM7" s="8">
        <f>"Q"&amp;ROUNDUP(MONTH(CM4)/3,0)</f>
        <v/>
      </c>
      <c r="CN7" s="8">
        <f>"Q"&amp;ROUNDUP(MONTH(CN4)/3,0)</f>
        <v/>
      </c>
      <c r="CO7" s="8">
        <f>"Q"&amp;ROUNDUP(MONTH(CO4)/3,0)</f>
        <v/>
      </c>
      <c r="CP7" s="8">
        <f>"Q"&amp;ROUNDUP(MONTH(CP4)/3,0)</f>
        <v/>
      </c>
      <c r="CQ7" s="8">
        <f>"Q"&amp;ROUNDUP(MONTH(CQ4)/3,0)</f>
        <v/>
      </c>
      <c r="CR7" s="8">
        <f>"Q"&amp;ROUNDUP(MONTH(CR4)/3,0)</f>
        <v/>
      </c>
      <c r="CS7" s="8">
        <f>"Q"&amp;ROUNDUP(MONTH(CS4)/3,0)</f>
        <v/>
      </c>
      <c r="CT7" s="8">
        <f>"Q"&amp;ROUNDUP(MONTH(CT4)/3,0)</f>
        <v/>
      </c>
      <c r="CU7" s="8">
        <f>"Q"&amp;ROUNDUP(MONTH(CU4)/3,0)</f>
        <v/>
      </c>
      <c r="CV7" s="8">
        <f>"Q"&amp;ROUNDUP(MONTH(CV4)/3,0)</f>
        <v/>
      </c>
      <c r="CW7" s="8">
        <f>"Q"&amp;ROUNDUP(MONTH(CW4)/3,0)</f>
        <v/>
      </c>
      <c r="CX7" s="8">
        <f>"Q"&amp;ROUNDUP(MONTH(CX4)/3,0)</f>
        <v/>
      </c>
      <c r="CY7" s="8">
        <f>"Q"&amp;ROUNDUP(MONTH(CY4)/3,0)</f>
        <v/>
      </c>
      <c r="CZ7" s="8">
        <f>"Q"&amp;ROUNDUP(MONTH(CZ4)/3,0)</f>
        <v/>
      </c>
      <c r="DA7" s="8">
        <f>"Q"&amp;ROUNDUP(MONTH(DA4)/3,0)</f>
        <v/>
      </c>
      <c r="DB7" s="8">
        <f>"Q"&amp;ROUNDUP(MONTH(DB4)/3,0)</f>
        <v/>
      </c>
      <c r="DC7" s="8">
        <f>"Q"&amp;ROUNDUP(MONTH(DC4)/3,0)</f>
        <v/>
      </c>
      <c r="DD7" s="8">
        <f>"Q"&amp;ROUNDUP(MONTH(DD4)/3,0)</f>
        <v/>
      </c>
      <c r="DE7" s="8">
        <f>"Q"&amp;ROUNDUP(MONTH(DE4)/3,0)</f>
        <v/>
      </c>
      <c r="DF7" s="8">
        <f>"Q"&amp;ROUNDUP(MONTH(DF4)/3,0)</f>
        <v/>
      </c>
      <c r="DG7" s="8">
        <f>"Q"&amp;ROUNDUP(MONTH(DG4)/3,0)</f>
        <v/>
      </c>
      <c r="DH7" s="8">
        <f>"Q"&amp;ROUNDUP(MONTH(DH4)/3,0)</f>
        <v/>
      </c>
      <c r="DI7" s="8">
        <f>"Q"&amp;ROUNDUP(MONTH(DI4)/3,0)</f>
        <v/>
      </c>
      <c r="DJ7" s="8">
        <f>"Q"&amp;ROUNDUP(MONTH(DJ4)/3,0)</f>
        <v/>
      </c>
      <c r="DK7" s="8">
        <f>"Q"&amp;ROUNDUP(MONTH(DK4)/3,0)</f>
        <v/>
      </c>
      <c r="DL7" s="8">
        <f>"Q"&amp;ROUNDUP(MONTH(DL4)/3,0)</f>
        <v/>
      </c>
      <c r="DM7" s="8">
        <f>"Q"&amp;ROUNDUP(MONTH(DM4)/3,0)</f>
        <v/>
      </c>
      <c r="DN7" s="8">
        <f>"Q"&amp;ROUNDUP(MONTH(DN4)/3,0)</f>
        <v/>
      </c>
      <c r="DO7" s="8">
        <f>"Q"&amp;ROUNDUP(MONTH(DO4)/3,0)</f>
        <v/>
      </c>
      <c r="DP7" s="8">
        <f>"Q"&amp;ROUNDUP(MONTH(DP4)/3,0)</f>
        <v/>
      </c>
      <c r="DQ7" s="8">
        <f>"Q"&amp;ROUNDUP(MONTH(DQ4)/3,0)</f>
        <v/>
      </c>
      <c r="DR7" s="8">
        <f>"Q"&amp;ROUNDUP(MONTH(DR4)/3,0)</f>
        <v/>
      </c>
      <c r="DS7" s="8">
        <f>"Q"&amp;ROUNDUP(MONTH(DS4)/3,0)</f>
        <v/>
      </c>
      <c r="DT7" s="8">
        <f>"Q"&amp;ROUNDUP(MONTH(DT4)/3,0)</f>
        <v/>
      </c>
      <c r="DU7" s="8">
        <f>"Q"&amp;ROUNDUP(MONTH(DU4)/3,0)</f>
        <v/>
      </c>
    </row>
    <row r="10">
      <c r="A10" s="11" t="inlineStr">
        <is>
          <t>Materials Cost ($/HL by brand)</t>
        </is>
      </c>
    </row>
    <row r="11">
      <c r="A11" s="12" t="inlineStr">
        <is>
          <t>Brand</t>
        </is>
      </c>
      <c r="B11" s="12" t="inlineStr">
        <is>
          <t>Year 1 $/HL</t>
        </is>
      </c>
      <c r="C11" s="12" t="inlineStr">
        <is>
          <t>Infl % Base</t>
        </is>
      </c>
      <c r="D11" s="12" t="inlineStr">
        <is>
          <t>Upside</t>
        </is>
      </c>
      <c r="E11" s="12" t="inlineStr">
        <is>
          <t>Downside</t>
        </is>
      </c>
    </row>
    <row r="12">
      <c r="A12" t="inlineStr">
        <is>
          <t>SkyBrew</t>
        </is>
      </c>
      <c r="B12" s="24" t="n">
        <v>25</v>
      </c>
      <c r="C12" s="22" t="n">
        <v>0.025</v>
      </c>
      <c r="D12" s="22" t="n">
        <v>0.035</v>
      </c>
      <c r="E12" s="22" t="n">
        <v>0.02</v>
      </c>
    </row>
    <row r="13">
      <c r="A13" t="inlineStr">
        <is>
          <t>AllDark</t>
        </is>
      </c>
      <c r="B13" s="24" t="n">
        <v>32</v>
      </c>
      <c r="C13" s="22" t="n">
        <v>0.025</v>
      </c>
      <c r="D13" s="22" t="n">
        <v>0.035</v>
      </c>
      <c r="E13" s="22" t="n">
        <v>0.02</v>
      </c>
    </row>
    <row r="14">
      <c r="A14" t="inlineStr">
        <is>
          <t>GoldCoast</t>
        </is>
      </c>
      <c r="B14" s="24" t="n">
        <v>28</v>
      </c>
      <c r="C14" s="22" t="n">
        <v>0.025</v>
      </c>
      <c r="D14" s="22" t="n">
        <v>0.035</v>
      </c>
      <c r="E14" s="22" t="n">
        <v>0.02</v>
      </c>
    </row>
    <row r="15">
      <c r="A15" t="inlineStr">
        <is>
          <t>CityLight</t>
        </is>
      </c>
      <c r="B15" s="24" t="n">
        <v>22</v>
      </c>
      <c r="C15" s="22" t="n">
        <v>0.025</v>
      </c>
      <c r="D15" s="22" t="n">
        <v>0.035</v>
      </c>
      <c r="E15" s="22" t="n">
        <v>0.02</v>
      </c>
    </row>
    <row r="16">
      <c r="A16" t="inlineStr">
        <is>
          <t>HarborIPA</t>
        </is>
      </c>
      <c r="B16" s="24" t="n">
        <v>35</v>
      </c>
      <c r="C16" s="22" t="n">
        <v>0.025</v>
      </c>
      <c r="D16" s="22" t="n">
        <v>0.035</v>
      </c>
      <c r="E16" s="22" t="n">
        <v>0.02</v>
      </c>
    </row>
    <row r="18">
      <c r="A18" s="11" t="inlineStr">
        <is>
          <t>Packaging Cost ($/HL by pack type)</t>
        </is>
      </c>
    </row>
    <row r="19">
      <c r="A19" s="12" t="inlineStr">
        <is>
          <t>Brand</t>
        </is>
      </c>
      <c r="B19" s="12" t="inlineStr">
        <is>
          <t>Year 1 $/HL</t>
        </is>
      </c>
      <c r="C19" s="12" t="inlineStr">
        <is>
          <t>Infl % Base</t>
        </is>
      </c>
      <c r="D19" s="12" t="inlineStr">
        <is>
          <t>Upside</t>
        </is>
      </c>
      <c r="E19" s="12" t="inlineStr">
        <is>
          <t>Downside</t>
        </is>
      </c>
    </row>
    <row r="20">
      <c r="A20" t="inlineStr">
        <is>
          <t>Bottles</t>
        </is>
      </c>
      <c r="B20" s="24" t="n">
        <v>18</v>
      </c>
      <c r="C20" s="22" t="n">
        <v>0.03</v>
      </c>
      <c r="D20" s="22" t="n">
        <v>0.04</v>
      </c>
      <c r="E20" s="22" t="n">
        <v>0.025</v>
      </c>
    </row>
    <row r="21">
      <c r="A21" t="inlineStr">
        <is>
          <t>Cans</t>
        </is>
      </c>
      <c r="B21" s="24" t="n">
        <v>15</v>
      </c>
      <c r="C21" s="22" t="n">
        <v>0.03</v>
      </c>
      <c r="D21" s="22" t="n">
        <v>0.04</v>
      </c>
      <c r="E21" s="22" t="n">
        <v>0.025</v>
      </c>
    </row>
    <row r="22">
      <c r="A22" t="inlineStr">
        <is>
          <t>Kegs</t>
        </is>
      </c>
      <c r="B22" s="24" t="n">
        <v>8</v>
      </c>
      <c r="C22" s="22" t="n">
        <v>0.02</v>
      </c>
      <c r="D22" s="22" t="n">
        <v>0.03</v>
      </c>
      <c r="E22" s="22" t="n">
        <v>0.015</v>
      </c>
    </row>
    <row r="24">
      <c r="A24" s="11" t="inlineStr">
        <is>
          <t>Direct Labour</t>
        </is>
      </c>
    </row>
    <row r="25">
      <c r="A25" t="inlineStr">
        <is>
          <t>Headcount</t>
        </is>
      </c>
      <c r="B25" s="5" t="n">
        <v>50</v>
      </c>
      <c r="C25" s="5" t="n">
        <v>52</v>
      </c>
      <c r="D25" s="5" t="n">
        <v>48</v>
      </c>
      <c r="E25" s="7">
        <f>INDEX(B25:D25,1,Control!$B$10)</f>
        <v/>
      </c>
    </row>
    <row r="26">
      <c r="A26" t="inlineStr">
        <is>
          <t>Avg wage ($/year)</t>
        </is>
      </c>
      <c r="B26" s="37" t="n">
        <v>60000</v>
      </c>
      <c r="C26" s="37" t="n">
        <v>60000</v>
      </c>
      <c r="D26" s="37" t="n">
        <v>60000</v>
      </c>
      <c r="E26" s="42">
        <f>INDEX(B26:D26,1,Control!$B$10)</f>
        <v/>
      </c>
    </row>
    <row r="28">
      <c r="A28" s="11" t="inlineStr">
        <is>
          <t>Utilities</t>
        </is>
      </c>
    </row>
    <row r="29">
      <c r="A29" t="inlineStr">
        <is>
          <t>Utilities cost per HL brewed ($/HL)</t>
        </is>
      </c>
      <c r="B29" s="24" t="n">
        <v>3</v>
      </c>
      <c r="C29" s="24" t="n">
        <v>3</v>
      </c>
      <c r="D29" s="24" t="n">
        <v>3</v>
      </c>
    </row>
    <row r="31">
      <c r="A31" s="11" t="inlineStr">
        <is>
          <t>Manufacturing Overhead</t>
        </is>
      </c>
    </row>
    <row r="32">
      <c r="A32" t="inlineStr">
        <is>
          <t>Fixed overhead ($/month)</t>
        </is>
      </c>
      <c r="B32" s="37" t="n">
        <v>200000</v>
      </c>
      <c r="C32" s="37" t="n">
        <v>200000</v>
      </c>
      <c r="D32" s="37" t="n">
        <v>200000</v>
      </c>
    </row>
    <row r="33">
      <c r="A33" t="inlineStr">
        <is>
          <t>Variable overhead ($/HL)</t>
        </is>
      </c>
      <c r="B33" s="24" t="n">
        <v>2</v>
      </c>
      <c r="C33" s="24" t="n">
        <v>2</v>
      </c>
      <c r="D33" s="24" t="n">
        <v>2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</cols>
  <sheetData>
    <row r="1" ht="25" customHeight="1">
      <c r="A1" s="1" t="inlineStr">
        <is>
          <t>LOGISTICS &amp; DISTRIBUTION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6">
      <c r="A6" t="inlineStr">
        <is>
          <t>FY</t>
        </is>
      </c>
      <c r="F6" s="8">
        <f>YEAR(F4)</f>
        <v/>
      </c>
      <c r="G6" s="8">
        <f>YEAR(G4)</f>
        <v/>
      </c>
      <c r="H6" s="8">
        <f>YEAR(H4)</f>
        <v/>
      </c>
      <c r="I6" s="8">
        <f>YEAR(I4)</f>
        <v/>
      </c>
      <c r="J6" s="8">
        <f>YEAR(J4)</f>
        <v/>
      </c>
      <c r="K6" s="8">
        <f>YEAR(K4)</f>
        <v/>
      </c>
      <c r="L6" s="8">
        <f>YEAR(L4)</f>
        <v/>
      </c>
      <c r="M6" s="8">
        <f>YEAR(M4)</f>
        <v/>
      </c>
      <c r="N6" s="8">
        <f>YEAR(N4)</f>
        <v/>
      </c>
      <c r="O6" s="8">
        <f>YEAR(O4)</f>
        <v/>
      </c>
      <c r="P6" s="8">
        <f>YEAR(P4)</f>
        <v/>
      </c>
      <c r="Q6" s="8">
        <f>YEAR(Q4)</f>
        <v/>
      </c>
      <c r="R6" s="8">
        <f>YEAR(R4)</f>
        <v/>
      </c>
      <c r="S6" s="8">
        <f>YEAR(S4)</f>
        <v/>
      </c>
      <c r="T6" s="8">
        <f>YEAR(T4)</f>
        <v/>
      </c>
      <c r="U6" s="8">
        <f>YEAR(U4)</f>
        <v/>
      </c>
      <c r="V6" s="8">
        <f>YEAR(V4)</f>
        <v/>
      </c>
      <c r="W6" s="8">
        <f>YEAR(W4)</f>
        <v/>
      </c>
      <c r="X6" s="8">
        <f>YEAR(X4)</f>
        <v/>
      </c>
      <c r="Y6" s="8">
        <f>YEAR(Y4)</f>
        <v/>
      </c>
      <c r="Z6" s="8">
        <f>YEAR(Z4)</f>
        <v/>
      </c>
      <c r="AA6" s="8">
        <f>YEAR(AA4)</f>
        <v/>
      </c>
      <c r="AB6" s="8">
        <f>YEAR(AB4)</f>
        <v/>
      </c>
      <c r="AC6" s="8">
        <f>YEAR(AC4)</f>
        <v/>
      </c>
      <c r="AD6" s="8">
        <f>YEAR(AD4)</f>
        <v/>
      </c>
      <c r="AE6" s="8">
        <f>YEAR(AE4)</f>
        <v/>
      </c>
      <c r="AF6" s="8">
        <f>YEAR(AF4)</f>
        <v/>
      </c>
      <c r="AG6" s="8">
        <f>YEAR(AG4)</f>
        <v/>
      </c>
      <c r="AH6" s="8">
        <f>YEAR(AH4)</f>
        <v/>
      </c>
      <c r="AI6" s="8">
        <f>YEAR(AI4)</f>
        <v/>
      </c>
      <c r="AJ6" s="8">
        <f>YEAR(AJ4)</f>
        <v/>
      </c>
      <c r="AK6" s="8">
        <f>YEAR(AK4)</f>
        <v/>
      </c>
      <c r="AL6" s="8">
        <f>YEAR(AL4)</f>
        <v/>
      </c>
      <c r="AM6" s="8">
        <f>YEAR(AM4)</f>
        <v/>
      </c>
      <c r="AN6" s="8">
        <f>YEAR(AN4)</f>
        <v/>
      </c>
      <c r="AO6" s="8">
        <f>YEAR(AO4)</f>
        <v/>
      </c>
      <c r="AP6" s="8">
        <f>YEAR(AP4)</f>
        <v/>
      </c>
      <c r="AQ6" s="8">
        <f>YEAR(AQ4)</f>
        <v/>
      </c>
      <c r="AR6" s="8">
        <f>YEAR(AR4)</f>
        <v/>
      </c>
      <c r="AS6" s="8">
        <f>YEAR(AS4)</f>
        <v/>
      </c>
      <c r="AT6" s="8">
        <f>YEAR(AT4)</f>
        <v/>
      </c>
      <c r="AU6" s="8">
        <f>YEAR(AU4)</f>
        <v/>
      </c>
      <c r="AV6" s="8">
        <f>YEAR(AV4)</f>
        <v/>
      </c>
      <c r="AW6" s="8">
        <f>YEAR(AW4)</f>
        <v/>
      </c>
      <c r="AX6" s="8">
        <f>YEAR(AX4)</f>
        <v/>
      </c>
      <c r="AY6" s="8">
        <f>YEAR(AY4)</f>
        <v/>
      </c>
      <c r="AZ6" s="8">
        <f>YEAR(AZ4)</f>
        <v/>
      </c>
      <c r="BA6" s="8">
        <f>YEAR(BA4)</f>
        <v/>
      </c>
      <c r="BB6" s="8">
        <f>YEAR(BB4)</f>
        <v/>
      </c>
      <c r="BC6" s="8">
        <f>YEAR(BC4)</f>
        <v/>
      </c>
      <c r="BD6" s="8">
        <f>YEAR(BD4)</f>
        <v/>
      </c>
      <c r="BE6" s="8">
        <f>YEAR(BE4)</f>
        <v/>
      </c>
      <c r="BF6" s="8">
        <f>YEAR(BF4)</f>
        <v/>
      </c>
      <c r="BG6" s="8">
        <f>YEAR(BG4)</f>
        <v/>
      </c>
      <c r="BH6" s="8">
        <f>YEAR(BH4)</f>
        <v/>
      </c>
      <c r="BI6" s="8">
        <f>YEAR(BI4)</f>
        <v/>
      </c>
      <c r="BJ6" s="8">
        <f>YEAR(BJ4)</f>
        <v/>
      </c>
      <c r="BK6" s="8">
        <f>YEAR(BK4)</f>
        <v/>
      </c>
      <c r="BL6" s="8">
        <f>YEAR(BL4)</f>
        <v/>
      </c>
      <c r="BM6" s="8">
        <f>YEAR(BM4)</f>
        <v/>
      </c>
      <c r="BN6" s="8">
        <f>YEAR(BN4)</f>
        <v/>
      </c>
      <c r="BO6" s="8">
        <f>YEAR(BO4)</f>
        <v/>
      </c>
      <c r="BP6" s="8">
        <f>YEAR(BP4)</f>
        <v/>
      </c>
      <c r="BQ6" s="8">
        <f>YEAR(BQ4)</f>
        <v/>
      </c>
      <c r="BR6" s="8">
        <f>YEAR(BR4)</f>
        <v/>
      </c>
      <c r="BS6" s="8">
        <f>YEAR(BS4)</f>
        <v/>
      </c>
      <c r="BT6" s="8">
        <f>YEAR(BT4)</f>
        <v/>
      </c>
      <c r="BU6" s="8">
        <f>YEAR(BU4)</f>
        <v/>
      </c>
      <c r="BV6" s="8">
        <f>YEAR(BV4)</f>
        <v/>
      </c>
      <c r="BW6" s="8">
        <f>YEAR(BW4)</f>
        <v/>
      </c>
      <c r="BX6" s="8">
        <f>YEAR(BX4)</f>
        <v/>
      </c>
      <c r="BY6" s="8">
        <f>YEAR(BY4)</f>
        <v/>
      </c>
      <c r="BZ6" s="8">
        <f>YEAR(BZ4)</f>
        <v/>
      </c>
      <c r="CA6" s="8">
        <f>YEAR(CA4)</f>
        <v/>
      </c>
      <c r="CB6" s="8">
        <f>YEAR(CB4)</f>
        <v/>
      </c>
      <c r="CC6" s="8">
        <f>YEAR(CC4)</f>
        <v/>
      </c>
      <c r="CD6" s="8">
        <f>YEAR(CD4)</f>
        <v/>
      </c>
      <c r="CE6" s="8">
        <f>YEAR(CE4)</f>
        <v/>
      </c>
      <c r="CF6" s="8">
        <f>YEAR(CF4)</f>
        <v/>
      </c>
      <c r="CG6" s="8">
        <f>YEAR(CG4)</f>
        <v/>
      </c>
      <c r="CH6" s="8">
        <f>YEAR(CH4)</f>
        <v/>
      </c>
      <c r="CI6" s="8">
        <f>YEAR(CI4)</f>
        <v/>
      </c>
      <c r="CJ6" s="8">
        <f>YEAR(CJ4)</f>
        <v/>
      </c>
      <c r="CK6" s="8">
        <f>YEAR(CK4)</f>
        <v/>
      </c>
      <c r="CL6" s="8">
        <f>YEAR(CL4)</f>
        <v/>
      </c>
      <c r="CM6" s="8">
        <f>YEAR(CM4)</f>
        <v/>
      </c>
      <c r="CN6" s="8">
        <f>YEAR(CN4)</f>
        <v/>
      </c>
      <c r="CO6" s="8">
        <f>YEAR(CO4)</f>
        <v/>
      </c>
      <c r="CP6" s="8">
        <f>YEAR(CP4)</f>
        <v/>
      </c>
      <c r="CQ6" s="8">
        <f>YEAR(CQ4)</f>
        <v/>
      </c>
      <c r="CR6" s="8">
        <f>YEAR(CR4)</f>
        <v/>
      </c>
      <c r="CS6" s="8">
        <f>YEAR(CS4)</f>
        <v/>
      </c>
      <c r="CT6" s="8">
        <f>YEAR(CT4)</f>
        <v/>
      </c>
      <c r="CU6" s="8">
        <f>YEAR(CU4)</f>
        <v/>
      </c>
      <c r="CV6" s="8">
        <f>YEAR(CV4)</f>
        <v/>
      </c>
      <c r="CW6" s="8">
        <f>YEAR(CW4)</f>
        <v/>
      </c>
      <c r="CX6" s="8">
        <f>YEAR(CX4)</f>
        <v/>
      </c>
      <c r="CY6" s="8">
        <f>YEAR(CY4)</f>
        <v/>
      </c>
      <c r="CZ6" s="8">
        <f>YEAR(CZ4)</f>
        <v/>
      </c>
      <c r="DA6" s="8">
        <f>YEAR(DA4)</f>
        <v/>
      </c>
      <c r="DB6" s="8">
        <f>YEAR(DB4)</f>
        <v/>
      </c>
      <c r="DC6" s="8">
        <f>YEAR(DC4)</f>
        <v/>
      </c>
      <c r="DD6" s="8">
        <f>YEAR(DD4)</f>
        <v/>
      </c>
      <c r="DE6" s="8">
        <f>YEAR(DE4)</f>
        <v/>
      </c>
      <c r="DF6" s="8">
        <f>YEAR(DF4)</f>
        <v/>
      </c>
      <c r="DG6" s="8">
        <f>YEAR(DG4)</f>
        <v/>
      </c>
      <c r="DH6" s="8">
        <f>YEAR(DH4)</f>
        <v/>
      </c>
      <c r="DI6" s="8">
        <f>YEAR(DI4)</f>
        <v/>
      </c>
      <c r="DJ6" s="8">
        <f>YEAR(DJ4)</f>
        <v/>
      </c>
      <c r="DK6" s="8">
        <f>YEAR(DK4)</f>
        <v/>
      </c>
      <c r="DL6" s="8">
        <f>YEAR(DL4)</f>
        <v/>
      </c>
      <c r="DM6" s="8">
        <f>YEAR(DM4)</f>
        <v/>
      </c>
      <c r="DN6" s="8">
        <f>YEAR(DN4)</f>
        <v/>
      </c>
      <c r="DO6" s="8">
        <f>YEAR(DO4)</f>
        <v/>
      </c>
      <c r="DP6" s="8">
        <f>YEAR(DP4)</f>
        <v/>
      </c>
      <c r="DQ6" s="8">
        <f>YEAR(DQ4)</f>
        <v/>
      </c>
      <c r="DR6" s="8">
        <f>YEAR(DR4)</f>
        <v/>
      </c>
      <c r="DS6" s="8">
        <f>YEAR(DS4)</f>
        <v/>
      </c>
      <c r="DT6" s="8">
        <f>YEAR(DT4)</f>
        <v/>
      </c>
      <c r="DU6" s="8">
        <f>YEAR(DU4)</f>
        <v/>
      </c>
    </row>
    <row r="7">
      <c r="A7" t="inlineStr">
        <is>
          <t>Quarter</t>
        </is>
      </c>
      <c r="F7" s="8">
        <f>"Q"&amp;ROUNDUP(MONTH(F4)/3,0)</f>
        <v/>
      </c>
      <c r="G7" s="8">
        <f>"Q"&amp;ROUNDUP(MONTH(G4)/3,0)</f>
        <v/>
      </c>
      <c r="H7" s="8">
        <f>"Q"&amp;ROUNDUP(MONTH(H4)/3,0)</f>
        <v/>
      </c>
      <c r="I7" s="8">
        <f>"Q"&amp;ROUNDUP(MONTH(I4)/3,0)</f>
        <v/>
      </c>
      <c r="J7" s="8">
        <f>"Q"&amp;ROUNDUP(MONTH(J4)/3,0)</f>
        <v/>
      </c>
      <c r="K7" s="8">
        <f>"Q"&amp;ROUNDUP(MONTH(K4)/3,0)</f>
        <v/>
      </c>
      <c r="L7" s="8">
        <f>"Q"&amp;ROUNDUP(MONTH(L4)/3,0)</f>
        <v/>
      </c>
      <c r="M7" s="8">
        <f>"Q"&amp;ROUNDUP(MONTH(M4)/3,0)</f>
        <v/>
      </c>
      <c r="N7" s="8">
        <f>"Q"&amp;ROUNDUP(MONTH(N4)/3,0)</f>
        <v/>
      </c>
      <c r="O7" s="8">
        <f>"Q"&amp;ROUNDUP(MONTH(O4)/3,0)</f>
        <v/>
      </c>
      <c r="P7" s="8">
        <f>"Q"&amp;ROUNDUP(MONTH(P4)/3,0)</f>
        <v/>
      </c>
      <c r="Q7" s="8">
        <f>"Q"&amp;ROUNDUP(MONTH(Q4)/3,0)</f>
        <v/>
      </c>
      <c r="R7" s="8">
        <f>"Q"&amp;ROUNDUP(MONTH(R4)/3,0)</f>
        <v/>
      </c>
      <c r="S7" s="8">
        <f>"Q"&amp;ROUNDUP(MONTH(S4)/3,0)</f>
        <v/>
      </c>
      <c r="T7" s="8">
        <f>"Q"&amp;ROUNDUP(MONTH(T4)/3,0)</f>
        <v/>
      </c>
      <c r="U7" s="8">
        <f>"Q"&amp;ROUNDUP(MONTH(U4)/3,0)</f>
        <v/>
      </c>
      <c r="V7" s="8">
        <f>"Q"&amp;ROUNDUP(MONTH(V4)/3,0)</f>
        <v/>
      </c>
      <c r="W7" s="8">
        <f>"Q"&amp;ROUNDUP(MONTH(W4)/3,0)</f>
        <v/>
      </c>
      <c r="X7" s="8">
        <f>"Q"&amp;ROUNDUP(MONTH(X4)/3,0)</f>
        <v/>
      </c>
      <c r="Y7" s="8">
        <f>"Q"&amp;ROUNDUP(MONTH(Y4)/3,0)</f>
        <v/>
      </c>
      <c r="Z7" s="8">
        <f>"Q"&amp;ROUNDUP(MONTH(Z4)/3,0)</f>
        <v/>
      </c>
      <c r="AA7" s="8">
        <f>"Q"&amp;ROUNDUP(MONTH(AA4)/3,0)</f>
        <v/>
      </c>
      <c r="AB7" s="8">
        <f>"Q"&amp;ROUNDUP(MONTH(AB4)/3,0)</f>
        <v/>
      </c>
      <c r="AC7" s="8">
        <f>"Q"&amp;ROUNDUP(MONTH(AC4)/3,0)</f>
        <v/>
      </c>
      <c r="AD7" s="8">
        <f>"Q"&amp;ROUNDUP(MONTH(AD4)/3,0)</f>
        <v/>
      </c>
      <c r="AE7" s="8">
        <f>"Q"&amp;ROUNDUP(MONTH(AE4)/3,0)</f>
        <v/>
      </c>
      <c r="AF7" s="8">
        <f>"Q"&amp;ROUNDUP(MONTH(AF4)/3,0)</f>
        <v/>
      </c>
      <c r="AG7" s="8">
        <f>"Q"&amp;ROUNDUP(MONTH(AG4)/3,0)</f>
        <v/>
      </c>
      <c r="AH7" s="8">
        <f>"Q"&amp;ROUNDUP(MONTH(AH4)/3,0)</f>
        <v/>
      </c>
      <c r="AI7" s="8">
        <f>"Q"&amp;ROUNDUP(MONTH(AI4)/3,0)</f>
        <v/>
      </c>
      <c r="AJ7" s="8">
        <f>"Q"&amp;ROUNDUP(MONTH(AJ4)/3,0)</f>
        <v/>
      </c>
      <c r="AK7" s="8">
        <f>"Q"&amp;ROUNDUP(MONTH(AK4)/3,0)</f>
        <v/>
      </c>
      <c r="AL7" s="8">
        <f>"Q"&amp;ROUNDUP(MONTH(AL4)/3,0)</f>
        <v/>
      </c>
      <c r="AM7" s="8">
        <f>"Q"&amp;ROUNDUP(MONTH(AM4)/3,0)</f>
        <v/>
      </c>
      <c r="AN7" s="8">
        <f>"Q"&amp;ROUNDUP(MONTH(AN4)/3,0)</f>
        <v/>
      </c>
      <c r="AO7" s="8">
        <f>"Q"&amp;ROUNDUP(MONTH(AO4)/3,0)</f>
        <v/>
      </c>
      <c r="AP7" s="8">
        <f>"Q"&amp;ROUNDUP(MONTH(AP4)/3,0)</f>
        <v/>
      </c>
      <c r="AQ7" s="8">
        <f>"Q"&amp;ROUNDUP(MONTH(AQ4)/3,0)</f>
        <v/>
      </c>
      <c r="AR7" s="8">
        <f>"Q"&amp;ROUNDUP(MONTH(AR4)/3,0)</f>
        <v/>
      </c>
      <c r="AS7" s="8">
        <f>"Q"&amp;ROUNDUP(MONTH(AS4)/3,0)</f>
        <v/>
      </c>
      <c r="AT7" s="8">
        <f>"Q"&amp;ROUNDUP(MONTH(AT4)/3,0)</f>
        <v/>
      </c>
      <c r="AU7" s="8">
        <f>"Q"&amp;ROUNDUP(MONTH(AU4)/3,0)</f>
        <v/>
      </c>
      <c r="AV7" s="8">
        <f>"Q"&amp;ROUNDUP(MONTH(AV4)/3,0)</f>
        <v/>
      </c>
      <c r="AW7" s="8">
        <f>"Q"&amp;ROUNDUP(MONTH(AW4)/3,0)</f>
        <v/>
      </c>
      <c r="AX7" s="8">
        <f>"Q"&amp;ROUNDUP(MONTH(AX4)/3,0)</f>
        <v/>
      </c>
      <c r="AY7" s="8">
        <f>"Q"&amp;ROUNDUP(MONTH(AY4)/3,0)</f>
        <v/>
      </c>
      <c r="AZ7" s="8">
        <f>"Q"&amp;ROUNDUP(MONTH(AZ4)/3,0)</f>
        <v/>
      </c>
      <c r="BA7" s="8">
        <f>"Q"&amp;ROUNDUP(MONTH(BA4)/3,0)</f>
        <v/>
      </c>
      <c r="BB7" s="8">
        <f>"Q"&amp;ROUNDUP(MONTH(BB4)/3,0)</f>
        <v/>
      </c>
      <c r="BC7" s="8">
        <f>"Q"&amp;ROUNDUP(MONTH(BC4)/3,0)</f>
        <v/>
      </c>
      <c r="BD7" s="8">
        <f>"Q"&amp;ROUNDUP(MONTH(BD4)/3,0)</f>
        <v/>
      </c>
      <c r="BE7" s="8">
        <f>"Q"&amp;ROUNDUP(MONTH(BE4)/3,0)</f>
        <v/>
      </c>
      <c r="BF7" s="8">
        <f>"Q"&amp;ROUNDUP(MONTH(BF4)/3,0)</f>
        <v/>
      </c>
      <c r="BG7" s="8">
        <f>"Q"&amp;ROUNDUP(MONTH(BG4)/3,0)</f>
        <v/>
      </c>
      <c r="BH7" s="8">
        <f>"Q"&amp;ROUNDUP(MONTH(BH4)/3,0)</f>
        <v/>
      </c>
      <c r="BI7" s="8">
        <f>"Q"&amp;ROUNDUP(MONTH(BI4)/3,0)</f>
        <v/>
      </c>
      <c r="BJ7" s="8">
        <f>"Q"&amp;ROUNDUP(MONTH(BJ4)/3,0)</f>
        <v/>
      </c>
      <c r="BK7" s="8">
        <f>"Q"&amp;ROUNDUP(MONTH(BK4)/3,0)</f>
        <v/>
      </c>
      <c r="BL7" s="8">
        <f>"Q"&amp;ROUNDUP(MONTH(BL4)/3,0)</f>
        <v/>
      </c>
      <c r="BM7" s="8">
        <f>"Q"&amp;ROUNDUP(MONTH(BM4)/3,0)</f>
        <v/>
      </c>
      <c r="BN7" s="8">
        <f>"Q"&amp;ROUNDUP(MONTH(BN4)/3,0)</f>
        <v/>
      </c>
      <c r="BO7" s="8">
        <f>"Q"&amp;ROUNDUP(MONTH(BO4)/3,0)</f>
        <v/>
      </c>
      <c r="BP7" s="8">
        <f>"Q"&amp;ROUNDUP(MONTH(BP4)/3,0)</f>
        <v/>
      </c>
      <c r="BQ7" s="8">
        <f>"Q"&amp;ROUNDUP(MONTH(BQ4)/3,0)</f>
        <v/>
      </c>
      <c r="BR7" s="8">
        <f>"Q"&amp;ROUNDUP(MONTH(BR4)/3,0)</f>
        <v/>
      </c>
      <c r="BS7" s="8">
        <f>"Q"&amp;ROUNDUP(MONTH(BS4)/3,0)</f>
        <v/>
      </c>
      <c r="BT7" s="8">
        <f>"Q"&amp;ROUNDUP(MONTH(BT4)/3,0)</f>
        <v/>
      </c>
      <c r="BU7" s="8">
        <f>"Q"&amp;ROUNDUP(MONTH(BU4)/3,0)</f>
        <v/>
      </c>
      <c r="BV7" s="8">
        <f>"Q"&amp;ROUNDUP(MONTH(BV4)/3,0)</f>
        <v/>
      </c>
      <c r="BW7" s="8">
        <f>"Q"&amp;ROUNDUP(MONTH(BW4)/3,0)</f>
        <v/>
      </c>
      <c r="BX7" s="8">
        <f>"Q"&amp;ROUNDUP(MONTH(BX4)/3,0)</f>
        <v/>
      </c>
      <c r="BY7" s="8">
        <f>"Q"&amp;ROUNDUP(MONTH(BY4)/3,0)</f>
        <v/>
      </c>
      <c r="BZ7" s="8">
        <f>"Q"&amp;ROUNDUP(MONTH(BZ4)/3,0)</f>
        <v/>
      </c>
      <c r="CA7" s="8">
        <f>"Q"&amp;ROUNDUP(MONTH(CA4)/3,0)</f>
        <v/>
      </c>
      <c r="CB7" s="8">
        <f>"Q"&amp;ROUNDUP(MONTH(CB4)/3,0)</f>
        <v/>
      </c>
      <c r="CC7" s="8">
        <f>"Q"&amp;ROUNDUP(MONTH(CC4)/3,0)</f>
        <v/>
      </c>
      <c r="CD7" s="8">
        <f>"Q"&amp;ROUNDUP(MONTH(CD4)/3,0)</f>
        <v/>
      </c>
      <c r="CE7" s="8">
        <f>"Q"&amp;ROUNDUP(MONTH(CE4)/3,0)</f>
        <v/>
      </c>
      <c r="CF7" s="8">
        <f>"Q"&amp;ROUNDUP(MONTH(CF4)/3,0)</f>
        <v/>
      </c>
      <c r="CG7" s="8">
        <f>"Q"&amp;ROUNDUP(MONTH(CG4)/3,0)</f>
        <v/>
      </c>
      <c r="CH7" s="8">
        <f>"Q"&amp;ROUNDUP(MONTH(CH4)/3,0)</f>
        <v/>
      </c>
      <c r="CI7" s="8">
        <f>"Q"&amp;ROUNDUP(MONTH(CI4)/3,0)</f>
        <v/>
      </c>
      <c r="CJ7" s="8">
        <f>"Q"&amp;ROUNDUP(MONTH(CJ4)/3,0)</f>
        <v/>
      </c>
      <c r="CK7" s="8">
        <f>"Q"&amp;ROUNDUP(MONTH(CK4)/3,0)</f>
        <v/>
      </c>
      <c r="CL7" s="8">
        <f>"Q"&amp;ROUNDUP(MONTH(CL4)/3,0)</f>
        <v/>
      </c>
      <c r="CM7" s="8">
        <f>"Q"&amp;ROUNDUP(MONTH(CM4)/3,0)</f>
        <v/>
      </c>
      <c r="CN7" s="8">
        <f>"Q"&amp;ROUNDUP(MONTH(CN4)/3,0)</f>
        <v/>
      </c>
      <c r="CO7" s="8">
        <f>"Q"&amp;ROUNDUP(MONTH(CO4)/3,0)</f>
        <v/>
      </c>
      <c r="CP7" s="8">
        <f>"Q"&amp;ROUNDUP(MONTH(CP4)/3,0)</f>
        <v/>
      </c>
      <c r="CQ7" s="8">
        <f>"Q"&amp;ROUNDUP(MONTH(CQ4)/3,0)</f>
        <v/>
      </c>
      <c r="CR7" s="8">
        <f>"Q"&amp;ROUNDUP(MONTH(CR4)/3,0)</f>
        <v/>
      </c>
      <c r="CS7" s="8">
        <f>"Q"&amp;ROUNDUP(MONTH(CS4)/3,0)</f>
        <v/>
      </c>
      <c r="CT7" s="8">
        <f>"Q"&amp;ROUNDUP(MONTH(CT4)/3,0)</f>
        <v/>
      </c>
      <c r="CU7" s="8">
        <f>"Q"&amp;ROUNDUP(MONTH(CU4)/3,0)</f>
        <v/>
      </c>
      <c r="CV7" s="8">
        <f>"Q"&amp;ROUNDUP(MONTH(CV4)/3,0)</f>
        <v/>
      </c>
      <c r="CW7" s="8">
        <f>"Q"&amp;ROUNDUP(MONTH(CW4)/3,0)</f>
        <v/>
      </c>
      <c r="CX7" s="8">
        <f>"Q"&amp;ROUNDUP(MONTH(CX4)/3,0)</f>
        <v/>
      </c>
      <c r="CY7" s="8">
        <f>"Q"&amp;ROUNDUP(MONTH(CY4)/3,0)</f>
        <v/>
      </c>
      <c r="CZ7" s="8">
        <f>"Q"&amp;ROUNDUP(MONTH(CZ4)/3,0)</f>
        <v/>
      </c>
      <c r="DA7" s="8">
        <f>"Q"&amp;ROUNDUP(MONTH(DA4)/3,0)</f>
        <v/>
      </c>
      <c r="DB7" s="8">
        <f>"Q"&amp;ROUNDUP(MONTH(DB4)/3,0)</f>
        <v/>
      </c>
      <c r="DC7" s="8">
        <f>"Q"&amp;ROUNDUP(MONTH(DC4)/3,0)</f>
        <v/>
      </c>
      <c r="DD7" s="8">
        <f>"Q"&amp;ROUNDUP(MONTH(DD4)/3,0)</f>
        <v/>
      </c>
      <c r="DE7" s="8">
        <f>"Q"&amp;ROUNDUP(MONTH(DE4)/3,0)</f>
        <v/>
      </c>
      <c r="DF7" s="8">
        <f>"Q"&amp;ROUNDUP(MONTH(DF4)/3,0)</f>
        <v/>
      </c>
      <c r="DG7" s="8">
        <f>"Q"&amp;ROUNDUP(MONTH(DG4)/3,0)</f>
        <v/>
      </c>
      <c r="DH7" s="8">
        <f>"Q"&amp;ROUNDUP(MONTH(DH4)/3,0)</f>
        <v/>
      </c>
      <c r="DI7" s="8">
        <f>"Q"&amp;ROUNDUP(MONTH(DI4)/3,0)</f>
        <v/>
      </c>
      <c r="DJ7" s="8">
        <f>"Q"&amp;ROUNDUP(MONTH(DJ4)/3,0)</f>
        <v/>
      </c>
      <c r="DK7" s="8">
        <f>"Q"&amp;ROUNDUP(MONTH(DK4)/3,0)</f>
        <v/>
      </c>
      <c r="DL7" s="8">
        <f>"Q"&amp;ROUNDUP(MONTH(DL4)/3,0)</f>
        <v/>
      </c>
      <c r="DM7" s="8">
        <f>"Q"&amp;ROUNDUP(MONTH(DM4)/3,0)</f>
        <v/>
      </c>
      <c r="DN7" s="8">
        <f>"Q"&amp;ROUNDUP(MONTH(DN4)/3,0)</f>
        <v/>
      </c>
      <c r="DO7" s="8">
        <f>"Q"&amp;ROUNDUP(MONTH(DO4)/3,0)</f>
        <v/>
      </c>
      <c r="DP7" s="8">
        <f>"Q"&amp;ROUNDUP(MONTH(DP4)/3,0)</f>
        <v/>
      </c>
      <c r="DQ7" s="8">
        <f>"Q"&amp;ROUNDUP(MONTH(DQ4)/3,0)</f>
        <v/>
      </c>
      <c r="DR7" s="8">
        <f>"Q"&amp;ROUNDUP(MONTH(DR4)/3,0)</f>
        <v/>
      </c>
      <c r="DS7" s="8">
        <f>"Q"&amp;ROUNDUP(MONTH(DS4)/3,0)</f>
        <v/>
      </c>
      <c r="DT7" s="8">
        <f>"Q"&amp;ROUNDUP(MONTH(DT4)/3,0)</f>
        <v/>
      </c>
      <c r="DU7" s="8">
        <f>"Q"&amp;ROUNDUP(MONTH(DU4)/3,0)</f>
        <v/>
      </c>
    </row>
    <row r="10">
      <c r="A10" s="11" t="inlineStr">
        <is>
          <t>Transport Cost ($/HL)</t>
        </is>
      </c>
    </row>
    <row r="11">
      <c r="A11" s="12" t="inlineStr">
        <is>
          <t>Channel</t>
        </is>
      </c>
      <c r="B11" s="12" t="inlineStr">
        <is>
          <t>Year 1 $/HL</t>
        </is>
      </c>
      <c r="C11" s="12" t="inlineStr">
        <is>
          <t>Infl % (all scenarios)</t>
        </is>
      </c>
    </row>
    <row r="12">
      <c r="A12" t="inlineStr">
        <is>
          <t>OnTrade</t>
        </is>
      </c>
      <c r="B12" s="24" t="n">
        <v>8</v>
      </c>
      <c r="C12" s="22" t="n">
        <v>0.03</v>
      </c>
    </row>
    <row r="13">
      <c r="A13" t="inlineStr">
        <is>
          <t>OffTrade</t>
        </is>
      </c>
      <c r="B13" s="24" t="n">
        <v>5</v>
      </c>
      <c r="C13" s="22" t="n">
        <v>0.03</v>
      </c>
    </row>
    <row r="15">
      <c r="A15" s="11" t="inlineStr">
        <is>
          <t>Warehouse Costs</t>
        </is>
      </c>
    </row>
    <row r="16">
      <c r="A16" t="inlineStr">
        <is>
          <t>Fixed rental ($/month)</t>
        </is>
      </c>
      <c r="B16" s="24" t="n">
        <v>50000</v>
      </c>
      <c r="C16" s="22" t="n">
        <v>0.025</v>
      </c>
    </row>
    <row r="17">
      <c r="A17" t="inlineStr">
        <is>
          <t>Variable handling ($/HL)</t>
        </is>
      </c>
      <c r="B17" s="24" t="n">
        <v>1</v>
      </c>
      <c r="C17" s="22" t="n">
        <v>0.025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U24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 ht="25" customHeight="1">
      <c r="A1" s="1" t="inlineStr">
        <is>
          <t>SG&amp;A (SALES, GENERAL &amp; ADMIN)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6">
      <c r="A6" t="inlineStr">
        <is>
          <t>FY</t>
        </is>
      </c>
      <c r="F6" s="8">
        <f>YEAR(F4)</f>
        <v/>
      </c>
      <c r="G6" s="8">
        <f>YEAR(G4)</f>
        <v/>
      </c>
      <c r="H6" s="8">
        <f>YEAR(H4)</f>
        <v/>
      </c>
      <c r="I6" s="8">
        <f>YEAR(I4)</f>
        <v/>
      </c>
      <c r="J6" s="8">
        <f>YEAR(J4)</f>
        <v/>
      </c>
      <c r="K6" s="8">
        <f>YEAR(K4)</f>
        <v/>
      </c>
      <c r="L6" s="8">
        <f>YEAR(L4)</f>
        <v/>
      </c>
      <c r="M6" s="8">
        <f>YEAR(M4)</f>
        <v/>
      </c>
      <c r="N6" s="8">
        <f>YEAR(N4)</f>
        <v/>
      </c>
      <c r="O6" s="8">
        <f>YEAR(O4)</f>
        <v/>
      </c>
      <c r="P6" s="8">
        <f>YEAR(P4)</f>
        <v/>
      </c>
      <c r="Q6" s="8">
        <f>YEAR(Q4)</f>
        <v/>
      </c>
      <c r="R6" s="8">
        <f>YEAR(R4)</f>
        <v/>
      </c>
      <c r="S6" s="8">
        <f>YEAR(S4)</f>
        <v/>
      </c>
      <c r="T6" s="8">
        <f>YEAR(T4)</f>
        <v/>
      </c>
      <c r="U6" s="8">
        <f>YEAR(U4)</f>
        <v/>
      </c>
      <c r="V6" s="8">
        <f>YEAR(V4)</f>
        <v/>
      </c>
      <c r="W6" s="8">
        <f>YEAR(W4)</f>
        <v/>
      </c>
      <c r="X6" s="8">
        <f>YEAR(X4)</f>
        <v/>
      </c>
      <c r="Y6" s="8">
        <f>YEAR(Y4)</f>
        <v/>
      </c>
      <c r="Z6" s="8">
        <f>YEAR(Z4)</f>
        <v/>
      </c>
      <c r="AA6" s="8">
        <f>YEAR(AA4)</f>
        <v/>
      </c>
      <c r="AB6" s="8">
        <f>YEAR(AB4)</f>
        <v/>
      </c>
      <c r="AC6" s="8">
        <f>YEAR(AC4)</f>
        <v/>
      </c>
      <c r="AD6" s="8">
        <f>YEAR(AD4)</f>
        <v/>
      </c>
      <c r="AE6" s="8">
        <f>YEAR(AE4)</f>
        <v/>
      </c>
      <c r="AF6" s="8">
        <f>YEAR(AF4)</f>
        <v/>
      </c>
      <c r="AG6" s="8">
        <f>YEAR(AG4)</f>
        <v/>
      </c>
      <c r="AH6" s="8">
        <f>YEAR(AH4)</f>
        <v/>
      </c>
      <c r="AI6" s="8">
        <f>YEAR(AI4)</f>
        <v/>
      </c>
      <c r="AJ6" s="8">
        <f>YEAR(AJ4)</f>
        <v/>
      </c>
      <c r="AK6" s="8">
        <f>YEAR(AK4)</f>
        <v/>
      </c>
      <c r="AL6" s="8">
        <f>YEAR(AL4)</f>
        <v/>
      </c>
      <c r="AM6" s="8">
        <f>YEAR(AM4)</f>
        <v/>
      </c>
      <c r="AN6" s="8">
        <f>YEAR(AN4)</f>
        <v/>
      </c>
      <c r="AO6" s="8">
        <f>YEAR(AO4)</f>
        <v/>
      </c>
      <c r="AP6" s="8">
        <f>YEAR(AP4)</f>
        <v/>
      </c>
      <c r="AQ6" s="8">
        <f>YEAR(AQ4)</f>
        <v/>
      </c>
      <c r="AR6" s="8">
        <f>YEAR(AR4)</f>
        <v/>
      </c>
      <c r="AS6" s="8">
        <f>YEAR(AS4)</f>
        <v/>
      </c>
      <c r="AT6" s="8">
        <f>YEAR(AT4)</f>
        <v/>
      </c>
      <c r="AU6" s="8">
        <f>YEAR(AU4)</f>
        <v/>
      </c>
      <c r="AV6" s="8">
        <f>YEAR(AV4)</f>
        <v/>
      </c>
      <c r="AW6" s="8">
        <f>YEAR(AW4)</f>
        <v/>
      </c>
      <c r="AX6" s="8">
        <f>YEAR(AX4)</f>
        <v/>
      </c>
      <c r="AY6" s="8">
        <f>YEAR(AY4)</f>
        <v/>
      </c>
      <c r="AZ6" s="8">
        <f>YEAR(AZ4)</f>
        <v/>
      </c>
      <c r="BA6" s="8">
        <f>YEAR(BA4)</f>
        <v/>
      </c>
      <c r="BB6" s="8">
        <f>YEAR(BB4)</f>
        <v/>
      </c>
      <c r="BC6" s="8">
        <f>YEAR(BC4)</f>
        <v/>
      </c>
      <c r="BD6" s="8">
        <f>YEAR(BD4)</f>
        <v/>
      </c>
      <c r="BE6" s="8">
        <f>YEAR(BE4)</f>
        <v/>
      </c>
      <c r="BF6" s="8">
        <f>YEAR(BF4)</f>
        <v/>
      </c>
      <c r="BG6" s="8">
        <f>YEAR(BG4)</f>
        <v/>
      </c>
      <c r="BH6" s="8">
        <f>YEAR(BH4)</f>
        <v/>
      </c>
      <c r="BI6" s="8">
        <f>YEAR(BI4)</f>
        <v/>
      </c>
      <c r="BJ6" s="8">
        <f>YEAR(BJ4)</f>
        <v/>
      </c>
      <c r="BK6" s="8">
        <f>YEAR(BK4)</f>
        <v/>
      </c>
      <c r="BL6" s="8">
        <f>YEAR(BL4)</f>
        <v/>
      </c>
      <c r="BM6" s="8">
        <f>YEAR(BM4)</f>
        <v/>
      </c>
      <c r="BN6" s="8">
        <f>YEAR(BN4)</f>
        <v/>
      </c>
      <c r="BO6" s="8">
        <f>YEAR(BO4)</f>
        <v/>
      </c>
      <c r="BP6" s="8">
        <f>YEAR(BP4)</f>
        <v/>
      </c>
      <c r="BQ6" s="8">
        <f>YEAR(BQ4)</f>
        <v/>
      </c>
      <c r="BR6" s="8">
        <f>YEAR(BR4)</f>
        <v/>
      </c>
      <c r="BS6" s="8">
        <f>YEAR(BS4)</f>
        <v/>
      </c>
      <c r="BT6" s="8">
        <f>YEAR(BT4)</f>
        <v/>
      </c>
      <c r="BU6" s="8">
        <f>YEAR(BU4)</f>
        <v/>
      </c>
      <c r="BV6" s="8">
        <f>YEAR(BV4)</f>
        <v/>
      </c>
      <c r="BW6" s="8">
        <f>YEAR(BW4)</f>
        <v/>
      </c>
      <c r="BX6" s="8">
        <f>YEAR(BX4)</f>
        <v/>
      </c>
      <c r="BY6" s="8">
        <f>YEAR(BY4)</f>
        <v/>
      </c>
      <c r="BZ6" s="8">
        <f>YEAR(BZ4)</f>
        <v/>
      </c>
      <c r="CA6" s="8">
        <f>YEAR(CA4)</f>
        <v/>
      </c>
      <c r="CB6" s="8">
        <f>YEAR(CB4)</f>
        <v/>
      </c>
      <c r="CC6" s="8">
        <f>YEAR(CC4)</f>
        <v/>
      </c>
      <c r="CD6" s="8">
        <f>YEAR(CD4)</f>
        <v/>
      </c>
      <c r="CE6" s="8">
        <f>YEAR(CE4)</f>
        <v/>
      </c>
      <c r="CF6" s="8">
        <f>YEAR(CF4)</f>
        <v/>
      </c>
      <c r="CG6" s="8">
        <f>YEAR(CG4)</f>
        <v/>
      </c>
      <c r="CH6" s="8">
        <f>YEAR(CH4)</f>
        <v/>
      </c>
      <c r="CI6" s="8">
        <f>YEAR(CI4)</f>
        <v/>
      </c>
      <c r="CJ6" s="8">
        <f>YEAR(CJ4)</f>
        <v/>
      </c>
      <c r="CK6" s="8">
        <f>YEAR(CK4)</f>
        <v/>
      </c>
      <c r="CL6" s="8">
        <f>YEAR(CL4)</f>
        <v/>
      </c>
      <c r="CM6" s="8">
        <f>YEAR(CM4)</f>
        <v/>
      </c>
      <c r="CN6" s="8">
        <f>YEAR(CN4)</f>
        <v/>
      </c>
      <c r="CO6" s="8">
        <f>YEAR(CO4)</f>
        <v/>
      </c>
      <c r="CP6" s="8">
        <f>YEAR(CP4)</f>
        <v/>
      </c>
      <c r="CQ6" s="8">
        <f>YEAR(CQ4)</f>
        <v/>
      </c>
      <c r="CR6" s="8">
        <f>YEAR(CR4)</f>
        <v/>
      </c>
      <c r="CS6" s="8">
        <f>YEAR(CS4)</f>
        <v/>
      </c>
      <c r="CT6" s="8">
        <f>YEAR(CT4)</f>
        <v/>
      </c>
      <c r="CU6" s="8">
        <f>YEAR(CU4)</f>
        <v/>
      </c>
      <c r="CV6" s="8">
        <f>YEAR(CV4)</f>
        <v/>
      </c>
      <c r="CW6" s="8">
        <f>YEAR(CW4)</f>
        <v/>
      </c>
      <c r="CX6" s="8">
        <f>YEAR(CX4)</f>
        <v/>
      </c>
      <c r="CY6" s="8">
        <f>YEAR(CY4)</f>
        <v/>
      </c>
      <c r="CZ6" s="8">
        <f>YEAR(CZ4)</f>
        <v/>
      </c>
      <c r="DA6" s="8">
        <f>YEAR(DA4)</f>
        <v/>
      </c>
      <c r="DB6" s="8">
        <f>YEAR(DB4)</f>
        <v/>
      </c>
      <c r="DC6" s="8">
        <f>YEAR(DC4)</f>
        <v/>
      </c>
      <c r="DD6" s="8">
        <f>YEAR(DD4)</f>
        <v/>
      </c>
      <c r="DE6" s="8">
        <f>YEAR(DE4)</f>
        <v/>
      </c>
      <c r="DF6" s="8">
        <f>YEAR(DF4)</f>
        <v/>
      </c>
      <c r="DG6" s="8">
        <f>YEAR(DG4)</f>
        <v/>
      </c>
      <c r="DH6" s="8">
        <f>YEAR(DH4)</f>
        <v/>
      </c>
      <c r="DI6" s="8">
        <f>YEAR(DI4)</f>
        <v/>
      </c>
      <c r="DJ6" s="8">
        <f>YEAR(DJ4)</f>
        <v/>
      </c>
      <c r="DK6" s="8">
        <f>YEAR(DK4)</f>
        <v/>
      </c>
      <c r="DL6" s="8">
        <f>YEAR(DL4)</f>
        <v/>
      </c>
      <c r="DM6" s="8">
        <f>YEAR(DM4)</f>
        <v/>
      </c>
      <c r="DN6" s="8">
        <f>YEAR(DN4)</f>
        <v/>
      </c>
      <c r="DO6" s="8">
        <f>YEAR(DO4)</f>
        <v/>
      </c>
      <c r="DP6" s="8">
        <f>YEAR(DP4)</f>
        <v/>
      </c>
      <c r="DQ6" s="8">
        <f>YEAR(DQ4)</f>
        <v/>
      </c>
      <c r="DR6" s="8">
        <f>YEAR(DR4)</f>
        <v/>
      </c>
      <c r="DS6" s="8">
        <f>YEAR(DS4)</f>
        <v/>
      </c>
      <c r="DT6" s="8">
        <f>YEAR(DT4)</f>
        <v/>
      </c>
      <c r="DU6" s="8">
        <f>YEAR(DU4)</f>
        <v/>
      </c>
    </row>
    <row r="7">
      <c r="A7" t="inlineStr">
        <is>
          <t>Quarter</t>
        </is>
      </c>
      <c r="F7" s="8">
        <f>"Q"&amp;ROUNDUP(MONTH(F4)/3,0)</f>
        <v/>
      </c>
      <c r="G7" s="8">
        <f>"Q"&amp;ROUNDUP(MONTH(G4)/3,0)</f>
        <v/>
      </c>
      <c r="H7" s="8">
        <f>"Q"&amp;ROUNDUP(MONTH(H4)/3,0)</f>
        <v/>
      </c>
      <c r="I7" s="8">
        <f>"Q"&amp;ROUNDUP(MONTH(I4)/3,0)</f>
        <v/>
      </c>
      <c r="J7" s="8">
        <f>"Q"&amp;ROUNDUP(MONTH(J4)/3,0)</f>
        <v/>
      </c>
      <c r="K7" s="8">
        <f>"Q"&amp;ROUNDUP(MONTH(K4)/3,0)</f>
        <v/>
      </c>
      <c r="L7" s="8">
        <f>"Q"&amp;ROUNDUP(MONTH(L4)/3,0)</f>
        <v/>
      </c>
      <c r="M7" s="8">
        <f>"Q"&amp;ROUNDUP(MONTH(M4)/3,0)</f>
        <v/>
      </c>
      <c r="N7" s="8">
        <f>"Q"&amp;ROUNDUP(MONTH(N4)/3,0)</f>
        <v/>
      </c>
      <c r="O7" s="8">
        <f>"Q"&amp;ROUNDUP(MONTH(O4)/3,0)</f>
        <v/>
      </c>
      <c r="P7" s="8">
        <f>"Q"&amp;ROUNDUP(MONTH(P4)/3,0)</f>
        <v/>
      </c>
      <c r="Q7" s="8">
        <f>"Q"&amp;ROUNDUP(MONTH(Q4)/3,0)</f>
        <v/>
      </c>
      <c r="R7" s="8">
        <f>"Q"&amp;ROUNDUP(MONTH(R4)/3,0)</f>
        <v/>
      </c>
      <c r="S7" s="8">
        <f>"Q"&amp;ROUNDUP(MONTH(S4)/3,0)</f>
        <v/>
      </c>
      <c r="T7" s="8">
        <f>"Q"&amp;ROUNDUP(MONTH(T4)/3,0)</f>
        <v/>
      </c>
      <c r="U7" s="8">
        <f>"Q"&amp;ROUNDUP(MONTH(U4)/3,0)</f>
        <v/>
      </c>
      <c r="V7" s="8">
        <f>"Q"&amp;ROUNDUP(MONTH(V4)/3,0)</f>
        <v/>
      </c>
      <c r="W7" s="8">
        <f>"Q"&amp;ROUNDUP(MONTH(W4)/3,0)</f>
        <v/>
      </c>
      <c r="X7" s="8">
        <f>"Q"&amp;ROUNDUP(MONTH(X4)/3,0)</f>
        <v/>
      </c>
      <c r="Y7" s="8">
        <f>"Q"&amp;ROUNDUP(MONTH(Y4)/3,0)</f>
        <v/>
      </c>
      <c r="Z7" s="8">
        <f>"Q"&amp;ROUNDUP(MONTH(Z4)/3,0)</f>
        <v/>
      </c>
      <c r="AA7" s="8">
        <f>"Q"&amp;ROUNDUP(MONTH(AA4)/3,0)</f>
        <v/>
      </c>
      <c r="AB7" s="8">
        <f>"Q"&amp;ROUNDUP(MONTH(AB4)/3,0)</f>
        <v/>
      </c>
      <c r="AC7" s="8">
        <f>"Q"&amp;ROUNDUP(MONTH(AC4)/3,0)</f>
        <v/>
      </c>
      <c r="AD7" s="8">
        <f>"Q"&amp;ROUNDUP(MONTH(AD4)/3,0)</f>
        <v/>
      </c>
      <c r="AE7" s="8">
        <f>"Q"&amp;ROUNDUP(MONTH(AE4)/3,0)</f>
        <v/>
      </c>
      <c r="AF7" s="8">
        <f>"Q"&amp;ROUNDUP(MONTH(AF4)/3,0)</f>
        <v/>
      </c>
      <c r="AG7" s="8">
        <f>"Q"&amp;ROUNDUP(MONTH(AG4)/3,0)</f>
        <v/>
      </c>
      <c r="AH7" s="8">
        <f>"Q"&amp;ROUNDUP(MONTH(AH4)/3,0)</f>
        <v/>
      </c>
      <c r="AI7" s="8">
        <f>"Q"&amp;ROUNDUP(MONTH(AI4)/3,0)</f>
        <v/>
      </c>
      <c r="AJ7" s="8">
        <f>"Q"&amp;ROUNDUP(MONTH(AJ4)/3,0)</f>
        <v/>
      </c>
      <c r="AK7" s="8">
        <f>"Q"&amp;ROUNDUP(MONTH(AK4)/3,0)</f>
        <v/>
      </c>
      <c r="AL7" s="8">
        <f>"Q"&amp;ROUNDUP(MONTH(AL4)/3,0)</f>
        <v/>
      </c>
      <c r="AM7" s="8">
        <f>"Q"&amp;ROUNDUP(MONTH(AM4)/3,0)</f>
        <v/>
      </c>
      <c r="AN7" s="8">
        <f>"Q"&amp;ROUNDUP(MONTH(AN4)/3,0)</f>
        <v/>
      </c>
      <c r="AO7" s="8">
        <f>"Q"&amp;ROUNDUP(MONTH(AO4)/3,0)</f>
        <v/>
      </c>
      <c r="AP7" s="8">
        <f>"Q"&amp;ROUNDUP(MONTH(AP4)/3,0)</f>
        <v/>
      </c>
      <c r="AQ7" s="8">
        <f>"Q"&amp;ROUNDUP(MONTH(AQ4)/3,0)</f>
        <v/>
      </c>
      <c r="AR7" s="8">
        <f>"Q"&amp;ROUNDUP(MONTH(AR4)/3,0)</f>
        <v/>
      </c>
      <c r="AS7" s="8">
        <f>"Q"&amp;ROUNDUP(MONTH(AS4)/3,0)</f>
        <v/>
      </c>
      <c r="AT7" s="8">
        <f>"Q"&amp;ROUNDUP(MONTH(AT4)/3,0)</f>
        <v/>
      </c>
      <c r="AU7" s="8">
        <f>"Q"&amp;ROUNDUP(MONTH(AU4)/3,0)</f>
        <v/>
      </c>
      <c r="AV7" s="8">
        <f>"Q"&amp;ROUNDUP(MONTH(AV4)/3,0)</f>
        <v/>
      </c>
      <c r="AW7" s="8">
        <f>"Q"&amp;ROUNDUP(MONTH(AW4)/3,0)</f>
        <v/>
      </c>
      <c r="AX7" s="8">
        <f>"Q"&amp;ROUNDUP(MONTH(AX4)/3,0)</f>
        <v/>
      </c>
      <c r="AY7" s="8">
        <f>"Q"&amp;ROUNDUP(MONTH(AY4)/3,0)</f>
        <v/>
      </c>
      <c r="AZ7" s="8">
        <f>"Q"&amp;ROUNDUP(MONTH(AZ4)/3,0)</f>
        <v/>
      </c>
      <c r="BA7" s="8">
        <f>"Q"&amp;ROUNDUP(MONTH(BA4)/3,0)</f>
        <v/>
      </c>
      <c r="BB7" s="8">
        <f>"Q"&amp;ROUNDUP(MONTH(BB4)/3,0)</f>
        <v/>
      </c>
      <c r="BC7" s="8">
        <f>"Q"&amp;ROUNDUP(MONTH(BC4)/3,0)</f>
        <v/>
      </c>
      <c r="BD7" s="8">
        <f>"Q"&amp;ROUNDUP(MONTH(BD4)/3,0)</f>
        <v/>
      </c>
      <c r="BE7" s="8">
        <f>"Q"&amp;ROUNDUP(MONTH(BE4)/3,0)</f>
        <v/>
      </c>
      <c r="BF7" s="8">
        <f>"Q"&amp;ROUNDUP(MONTH(BF4)/3,0)</f>
        <v/>
      </c>
      <c r="BG7" s="8">
        <f>"Q"&amp;ROUNDUP(MONTH(BG4)/3,0)</f>
        <v/>
      </c>
      <c r="BH7" s="8">
        <f>"Q"&amp;ROUNDUP(MONTH(BH4)/3,0)</f>
        <v/>
      </c>
      <c r="BI7" s="8">
        <f>"Q"&amp;ROUNDUP(MONTH(BI4)/3,0)</f>
        <v/>
      </c>
      <c r="BJ7" s="8">
        <f>"Q"&amp;ROUNDUP(MONTH(BJ4)/3,0)</f>
        <v/>
      </c>
      <c r="BK7" s="8">
        <f>"Q"&amp;ROUNDUP(MONTH(BK4)/3,0)</f>
        <v/>
      </c>
      <c r="BL7" s="8">
        <f>"Q"&amp;ROUNDUP(MONTH(BL4)/3,0)</f>
        <v/>
      </c>
      <c r="BM7" s="8">
        <f>"Q"&amp;ROUNDUP(MONTH(BM4)/3,0)</f>
        <v/>
      </c>
      <c r="BN7" s="8">
        <f>"Q"&amp;ROUNDUP(MONTH(BN4)/3,0)</f>
        <v/>
      </c>
      <c r="BO7" s="8">
        <f>"Q"&amp;ROUNDUP(MONTH(BO4)/3,0)</f>
        <v/>
      </c>
      <c r="BP7" s="8">
        <f>"Q"&amp;ROUNDUP(MONTH(BP4)/3,0)</f>
        <v/>
      </c>
      <c r="BQ7" s="8">
        <f>"Q"&amp;ROUNDUP(MONTH(BQ4)/3,0)</f>
        <v/>
      </c>
      <c r="BR7" s="8">
        <f>"Q"&amp;ROUNDUP(MONTH(BR4)/3,0)</f>
        <v/>
      </c>
      <c r="BS7" s="8">
        <f>"Q"&amp;ROUNDUP(MONTH(BS4)/3,0)</f>
        <v/>
      </c>
      <c r="BT7" s="8">
        <f>"Q"&amp;ROUNDUP(MONTH(BT4)/3,0)</f>
        <v/>
      </c>
      <c r="BU7" s="8">
        <f>"Q"&amp;ROUNDUP(MONTH(BU4)/3,0)</f>
        <v/>
      </c>
      <c r="BV7" s="8">
        <f>"Q"&amp;ROUNDUP(MONTH(BV4)/3,0)</f>
        <v/>
      </c>
      <c r="BW7" s="8">
        <f>"Q"&amp;ROUNDUP(MONTH(BW4)/3,0)</f>
        <v/>
      </c>
      <c r="BX7" s="8">
        <f>"Q"&amp;ROUNDUP(MONTH(BX4)/3,0)</f>
        <v/>
      </c>
      <c r="BY7" s="8">
        <f>"Q"&amp;ROUNDUP(MONTH(BY4)/3,0)</f>
        <v/>
      </c>
      <c r="BZ7" s="8">
        <f>"Q"&amp;ROUNDUP(MONTH(BZ4)/3,0)</f>
        <v/>
      </c>
      <c r="CA7" s="8">
        <f>"Q"&amp;ROUNDUP(MONTH(CA4)/3,0)</f>
        <v/>
      </c>
      <c r="CB7" s="8">
        <f>"Q"&amp;ROUNDUP(MONTH(CB4)/3,0)</f>
        <v/>
      </c>
      <c r="CC7" s="8">
        <f>"Q"&amp;ROUNDUP(MONTH(CC4)/3,0)</f>
        <v/>
      </c>
      <c r="CD7" s="8">
        <f>"Q"&amp;ROUNDUP(MONTH(CD4)/3,0)</f>
        <v/>
      </c>
      <c r="CE7" s="8">
        <f>"Q"&amp;ROUNDUP(MONTH(CE4)/3,0)</f>
        <v/>
      </c>
      <c r="CF7" s="8">
        <f>"Q"&amp;ROUNDUP(MONTH(CF4)/3,0)</f>
        <v/>
      </c>
      <c r="CG7" s="8">
        <f>"Q"&amp;ROUNDUP(MONTH(CG4)/3,0)</f>
        <v/>
      </c>
      <c r="CH7" s="8">
        <f>"Q"&amp;ROUNDUP(MONTH(CH4)/3,0)</f>
        <v/>
      </c>
      <c r="CI7" s="8">
        <f>"Q"&amp;ROUNDUP(MONTH(CI4)/3,0)</f>
        <v/>
      </c>
      <c r="CJ7" s="8">
        <f>"Q"&amp;ROUNDUP(MONTH(CJ4)/3,0)</f>
        <v/>
      </c>
      <c r="CK7" s="8">
        <f>"Q"&amp;ROUNDUP(MONTH(CK4)/3,0)</f>
        <v/>
      </c>
      <c r="CL7" s="8">
        <f>"Q"&amp;ROUNDUP(MONTH(CL4)/3,0)</f>
        <v/>
      </c>
      <c r="CM7" s="8">
        <f>"Q"&amp;ROUNDUP(MONTH(CM4)/3,0)</f>
        <v/>
      </c>
      <c r="CN7" s="8">
        <f>"Q"&amp;ROUNDUP(MONTH(CN4)/3,0)</f>
        <v/>
      </c>
      <c r="CO7" s="8">
        <f>"Q"&amp;ROUNDUP(MONTH(CO4)/3,0)</f>
        <v/>
      </c>
      <c r="CP7" s="8">
        <f>"Q"&amp;ROUNDUP(MONTH(CP4)/3,0)</f>
        <v/>
      </c>
      <c r="CQ7" s="8">
        <f>"Q"&amp;ROUNDUP(MONTH(CQ4)/3,0)</f>
        <v/>
      </c>
      <c r="CR7" s="8">
        <f>"Q"&amp;ROUNDUP(MONTH(CR4)/3,0)</f>
        <v/>
      </c>
      <c r="CS7" s="8">
        <f>"Q"&amp;ROUNDUP(MONTH(CS4)/3,0)</f>
        <v/>
      </c>
      <c r="CT7" s="8">
        <f>"Q"&amp;ROUNDUP(MONTH(CT4)/3,0)</f>
        <v/>
      </c>
      <c r="CU7" s="8">
        <f>"Q"&amp;ROUNDUP(MONTH(CU4)/3,0)</f>
        <v/>
      </c>
      <c r="CV7" s="8">
        <f>"Q"&amp;ROUNDUP(MONTH(CV4)/3,0)</f>
        <v/>
      </c>
      <c r="CW7" s="8">
        <f>"Q"&amp;ROUNDUP(MONTH(CW4)/3,0)</f>
        <v/>
      </c>
      <c r="CX7" s="8">
        <f>"Q"&amp;ROUNDUP(MONTH(CX4)/3,0)</f>
        <v/>
      </c>
      <c r="CY7" s="8">
        <f>"Q"&amp;ROUNDUP(MONTH(CY4)/3,0)</f>
        <v/>
      </c>
      <c r="CZ7" s="8">
        <f>"Q"&amp;ROUNDUP(MONTH(CZ4)/3,0)</f>
        <v/>
      </c>
      <c r="DA7" s="8">
        <f>"Q"&amp;ROUNDUP(MONTH(DA4)/3,0)</f>
        <v/>
      </c>
      <c r="DB7" s="8">
        <f>"Q"&amp;ROUNDUP(MONTH(DB4)/3,0)</f>
        <v/>
      </c>
      <c r="DC7" s="8">
        <f>"Q"&amp;ROUNDUP(MONTH(DC4)/3,0)</f>
        <v/>
      </c>
      <c r="DD7" s="8">
        <f>"Q"&amp;ROUNDUP(MONTH(DD4)/3,0)</f>
        <v/>
      </c>
      <c r="DE7" s="8">
        <f>"Q"&amp;ROUNDUP(MONTH(DE4)/3,0)</f>
        <v/>
      </c>
      <c r="DF7" s="8">
        <f>"Q"&amp;ROUNDUP(MONTH(DF4)/3,0)</f>
        <v/>
      </c>
      <c r="DG7" s="8">
        <f>"Q"&amp;ROUNDUP(MONTH(DG4)/3,0)</f>
        <v/>
      </c>
      <c r="DH7" s="8">
        <f>"Q"&amp;ROUNDUP(MONTH(DH4)/3,0)</f>
        <v/>
      </c>
      <c r="DI7" s="8">
        <f>"Q"&amp;ROUNDUP(MONTH(DI4)/3,0)</f>
        <v/>
      </c>
      <c r="DJ7" s="8">
        <f>"Q"&amp;ROUNDUP(MONTH(DJ4)/3,0)</f>
        <v/>
      </c>
      <c r="DK7" s="8">
        <f>"Q"&amp;ROUNDUP(MONTH(DK4)/3,0)</f>
        <v/>
      </c>
      <c r="DL7" s="8">
        <f>"Q"&amp;ROUNDUP(MONTH(DL4)/3,0)</f>
        <v/>
      </c>
      <c r="DM7" s="8">
        <f>"Q"&amp;ROUNDUP(MONTH(DM4)/3,0)</f>
        <v/>
      </c>
      <c r="DN7" s="8">
        <f>"Q"&amp;ROUNDUP(MONTH(DN4)/3,0)</f>
        <v/>
      </c>
      <c r="DO7" s="8">
        <f>"Q"&amp;ROUNDUP(MONTH(DO4)/3,0)</f>
        <v/>
      </c>
      <c r="DP7" s="8">
        <f>"Q"&amp;ROUNDUP(MONTH(DP4)/3,0)</f>
        <v/>
      </c>
      <c r="DQ7" s="8">
        <f>"Q"&amp;ROUNDUP(MONTH(DQ4)/3,0)</f>
        <v/>
      </c>
      <c r="DR7" s="8">
        <f>"Q"&amp;ROUNDUP(MONTH(DR4)/3,0)</f>
        <v/>
      </c>
      <c r="DS7" s="8">
        <f>"Q"&amp;ROUNDUP(MONTH(DS4)/3,0)</f>
        <v/>
      </c>
      <c r="DT7" s="8">
        <f>"Q"&amp;ROUNDUP(MONTH(DT4)/3,0)</f>
        <v/>
      </c>
      <c r="DU7" s="8">
        <f>"Q"&amp;ROUNDUP(MONTH(DU4)/3,0)</f>
        <v/>
      </c>
    </row>
    <row r="10">
      <c r="A10" s="11" t="inlineStr">
        <is>
          <t>A&amp;P as % of Net Revenue</t>
        </is>
      </c>
    </row>
    <row r="11">
      <c r="A11" s="12" t="inlineStr">
        <is>
          <t>Period</t>
        </is>
      </c>
      <c r="B11" s="12" t="inlineStr">
        <is>
          <t>Base</t>
        </is>
      </c>
      <c r="C11" s="12" t="inlineStr">
        <is>
          <t>Upside</t>
        </is>
      </c>
      <c r="D11" s="12" t="inlineStr">
        <is>
          <t>Downside</t>
        </is>
      </c>
    </row>
    <row r="12">
      <c r="A12" t="inlineStr">
        <is>
          <t>Year 1-3</t>
        </is>
      </c>
      <c r="B12" s="22" t="n">
        <v>0.08</v>
      </c>
      <c r="C12" s="22" t="n">
        <v>0.07000000000000001</v>
      </c>
      <c r="D12" s="22" t="n">
        <v>0.09</v>
      </c>
    </row>
    <row r="13">
      <c r="A13" t="inlineStr">
        <is>
          <t>Year 4+</t>
        </is>
      </c>
      <c r="B13" s="22" t="n">
        <v>0.07000000000000001</v>
      </c>
      <c r="C13" s="22" t="n">
        <v>0.06</v>
      </c>
      <c r="D13" s="22" t="n">
        <v>0.08</v>
      </c>
    </row>
    <row r="15">
      <c r="A15" s="11" t="inlineStr">
        <is>
          <t>Sales Team</t>
        </is>
      </c>
    </row>
    <row r="16">
      <c r="A16" t="inlineStr">
        <is>
          <t>Headcount</t>
        </is>
      </c>
      <c r="B16" s="5" t="n">
        <v>15</v>
      </c>
      <c r="C16" s="5" t="n">
        <v>16</v>
      </c>
      <c r="D16" s="5" t="n">
        <v>14</v>
      </c>
    </row>
    <row r="17">
      <c r="A17" t="inlineStr">
        <is>
          <t>Avg salary ($/year)</t>
        </is>
      </c>
      <c r="B17" s="37" t="n">
        <v>70000</v>
      </c>
      <c r="C17" s="37" t="n">
        <v>70000</v>
      </c>
      <c r="D17" s="37" t="n">
        <v>70000</v>
      </c>
    </row>
    <row r="19">
      <c r="A19" s="11" t="inlineStr">
        <is>
          <t>Admin Team</t>
        </is>
      </c>
    </row>
    <row r="20">
      <c r="A20" t="inlineStr">
        <is>
          <t>Headcount</t>
        </is>
      </c>
      <c r="B20" s="5" t="n">
        <v>20</v>
      </c>
      <c r="C20" s="5" t="n">
        <v>22</v>
      </c>
      <c r="D20" s="5" t="n">
        <v>18</v>
      </c>
    </row>
    <row r="21">
      <c r="A21" t="inlineStr">
        <is>
          <t>Avg salary ($/year)</t>
        </is>
      </c>
      <c r="B21" s="37" t="n">
        <v>80000</v>
      </c>
      <c r="C21" s="37" t="n">
        <v>80000</v>
      </c>
      <c r="D21" s="37" t="n">
        <v>80000</v>
      </c>
    </row>
    <row r="23">
      <c r="A23" s="11" t="inlineStr">
        <is>
          <t>Office &amp; Other</t>
        </is>
      </c>
    </row>
    <row r="24">
      <c r="A24" t="inlineStr">
        <is>
          <t>Monthly cost</t>
        </is>
      </c>
      <c r="B24" s="37" t="n">
        <v>30000</v>
      </c>
      <c r="C24" s="37" t="n">
        <v>30000</v>
      </c>
      <c r="D24" s="37" t="n">
        <v>30000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U22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8" customWidth="1" min="4" max="4"/>
    <col width="12" customWidth="1" min="5" max="5"/>
    <col width="15" customWidth="1" min="6" max="6"/>
  </cols>
  <sheetData>
    <row r="1" ht="25" customHeight="1">
      <c r="A1" s="1" t="inlineStr">
        <is>
          <t>CAPEX SCHEDULE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8">
      <c r="A8" s="11" t="inlineStr">
        <is>
          <t>Capital Expenditure Plan</t>
        </is>
      </c>
    </row>
    <row r="9">
      <c r="A9" s="12" t="inlineStr">
        <is>
          <t>Description</t>
        </is>
      </c>
      <c r="B9" s="12" t="inlineStr">
        <is>
          <t>Capex Month</t>
        </is>
      </c>
      <c r="C9" s="12" t="inlineStr">
        <is>
          <t>Amount ($)</t>
        </is>
      </c>
      <c r="D9" s="12" t="inlineStr">
        <is>
          <t>Useful Life (years)</t>
        </is>
      </c>
      <c r="E9" s="12" t="inlineStr">
        <is>
          <t>Residual %</t>
        </is>
      </c>
      <c r="F9" s="12" t="inlineStr">
        <is>
          <t>Category</t>
        </is>
      </c>
    </row>
    <row r="10">
      <c r="A10" t="inlineStr">
        <is>
          <t>Initial brewhouse</t>
        </is>
      </c>
      <c r="B10" t="n">
        <v>1</v>
      </c>
      <c r="C10" s="37" t="n">
        <v>8000000</v>
      </c>
      <c r="D10" s="5" t="n">
        <v>15</v>
      </c>
      <c r="E10" s="38" t="n">
        <v>0.1</v>
      </c>
      <c r="F10" t="inlineStr">
        <is>
          <t>Brewery</t>
        </is>
      </c>
    </row>
    <row r="11">
      <c r="A11" t="inlineStr">
        <is>
          <t>Initial packaging line</t>
        </is>
      </c>
      <c r="B11" t="n">
        <v>1</v>
      </c>
      <c r="C11" s="37" t="n">
        <v>2500000</v>
      </c>
      <c r="D11" s="5" t="n">
        <v>10</v>
      </c>
      <c r="E11" s="38" t="n">
        <v>0.1</v>
      </c>
      <c r="F11" t="inlineStr">
        <is>
          <t>Packaging</t>
        </is>
      </c>
    </row>
    <row r="12">
      <c r="A12" t="inlineStr">
        <is>
          <t>Warehouse</t>
        </is>
      </c>
      <c r="B12" t="n">
        <v>1</v>
      </c>
      <c r="C12" s="37" t="n">
        <v>1500000</v>
      </c>
      <c r="D12" s="5" t="n">
        <v>25</v>
      </c>
      <c r="E12" s="38" t="n">
        <v>0.1</v>
      </c>
      <c r="F12" t="inlineStr">
        <is>
          <t>Warehouse</t>
        </is>
      </c>
    </row>
    <row r="13">
      <c r="A13" t="inlineStr">
        <is>
          <t>IT systems</t>
        </is>
      </c>
      <c r="B13" t="n">
        <v>1</v>
      </c>
      <c r="C13" s="37" t="n">
        <v>300000</v>
      </c>
      <c r="D13" s="5" t="n">
        <v>5</v>
      </c>
      <c r="E13" s="38" t="n">
        <v>0</v>
      </c>
      <c r="F13" t="inlineStr">
        <is>
          <t>IT</t>
        </is>
      </c>
    </row>
    <row r="14">
      <c r="A14" t="inlineStr">
        <is>
          <t>Vehicles &amp; kegs</t>
        </is>
      </c>
      <c r="B14" t="n">
        <v>1</v>
      </c>
      <c r="C14" s="37" t="n">
        <v>500000</v>
      </c>
      <c r="D14" s="5" t="n">
        <v>7</v>
      </c>
      <c r="E14" s="38" t="n">
        <v>0.1</v>
      </c>
      <c r="F14" t="inlineStr">
        <is>
          <t>Other</t>
        </is>
      </c>
    </row>
    <row r="17">
      <c r="A17" s="43" t="inlineStr">
        <is>
          <t>MONTHLY SUMMARY</t>
        </is>
      </c>
    </row>
    <row r="18">
      <c r="A18" t="inlineStr">
        <is>
          <t>Total capex (month)</t>
        </is>
      </c>
      <c r="F18" s="44">
        <f>IF(B10=1,C10,0)+IF(B11=1,C11,0)+IF(B12=1,C12,0)+IF(B13=1,C13,0)+IF(B14=1,C14,0)</f>
        <v/>
      </c>
      <c r="G18" s="44">
        <f>IF(B10=2,C10,0)+IF(B11=2,C11,0)+IF(B12=2,C12,0)+IF(B13=2,C13,0)+IF(B14=2,C14,0)</f>
        <v/>
      </c>
      <c r="H18" s="44">
        <f>IF(B10=3,C10,0)+IF(B11=3,C11,0)+IF(B12=3,C12,0)+IF(B13=3,C13,0)+IF(B14=3,C14,0)</f>
        <v/>
      </c>
      <c r="I18" s="44">
        <f>IF(B10=4,C10,0)+IF(B11=4,C11,0)+IF(B12=4,C12,0)+IF(B13=4,C13,0)+IF(B14=4,C14,0)</f>
        <v/>
      </c>
      <c r="J18" s="44">
        <f>IF(B10=5,C10,0)+IF(B11=5,C11,0)+IF(B12=5,C12,0)+IF(B13=5,C13,0)+IF(B14=5,C14,0)</f>
        <v/>
      </c>
      <c r="K18" s="44">
        <f>IF(B10=6,C10,0)+IF(B11=6,C11,0)+IF(B12=6,C12,0)+IF(B13=6,C13,0)+IF(B14=6,C14,0)</f>
        <v/>
      </c>
      <c r="L18" s="44">
        <f>IF(B10=7,C10,0)+IF(B11=7,C11,0)+IF(B12=7,C12,0)+IF(B13=7,C13,0)+IF(B14=7,C14,0)</f>
        <v/>
      </c>
      <c r="M18" s="44">
        <f>IF(B10=8,C10,0)+IF(B11=8,C11,0)+IF(B12=8,C12,0)+IF(B13=8,C13,0)+IF(B14=8,C14,0)</f>
        <v/>
      </c>
      <c r="N18" s="44">
        <f>IF(B10=9,C10,0)+IF(B11=9,C11,0)+IF(B12=9,C12,0)+IF(B13=9,C13,0)+IF(B14=9,C14,0)</f>
        <v/>
      </c>
      <c r="O18" s="44">
        <f>IF(B10=10,C10,0)+IF(B11=10,C11,0)+IF(B12=10,C12,0)+IF(B13=10,C13,0)+IF(B14=10,C14,0)</f>
        <v/>
      </c>
      <c r="P18" s="44">
        <f>IF(B10=11,C10,0)+IF(B11=11,C11,0)+IF(B12=11,C12,0)+IF(B13=11,C13,0)+IF(B14=11,C14,0)</f>
        <v/>
      </c>
      <c r="Q18" s="44">
        <f>IF(B10=12,C10,0)+IF(B11=12,C11,0)+IF(B12=12,C12,0)+IF(B13=12,C13,0)+IF(B14=12,C14,0)</f>
        <v/>
      </c>
      <c r="R18" s="44">
        <f>IF(B10=13,C10,0)+IF(B11=13,C11,0)+IF(B12=13,C12,0)+IF(B13=13,C13,0)+IF(B14=13,C14,0)</f>
        <v/>
      </c>
      <c r="S18" s="44">
        <f>IF(B10=14,C10,0)+IF(B11=14,C11,0)+IF(B12=14,C12,0)+IF(B13=14,C13,0)+IF(B14=14,C14,0)</f>
        <v/>
      </c>
      <c r="T18" s="44">
        <f>IF(B10=15,C10,0)+IF(B11=15,C11,0)+IF(B12=15,C12,0)+IF(B13=15,C13,0)+IF(B14=15,C14,0)</f>
        <v/>
      </c>
      <c r="U18" s="44">
        <f>IF(B10=16,C10,0)+IF(B11=16,C11,0)+IF(B12=16,C12,0)+IF(B13=16,C13,0)+IF(B14=16,C14,0)</f>
        <v/>
      </c>
      <c r="V18" s="44">
        <f>IF(B10=17,C10,0)+IF(B11=17,C11,0)+IF(B12=17,C12,0)+IF(B13=17,C13,0)+IF(B14=17,C14,0)</f>
        <v/>
      </c>
      <c r="W18" s="44">
        <f>IF(B10=18,C10,0)+IF(B11=18,C11,0)+IF(B12=18,C12,0)+IF(B13=18,C13,0)+IF(B14=18,C14,0)</f>
        <v/>
      </c>
      <c r="X18" s="44">
        <f>IF(B10=19,C10,0)+IF(B11=19,C11,0)+IF(B12=19,C12,0)+IF(B13=19,C13,0)+IF(B14=19,C14,0)</f>
        <v/>
      </c>
      <c r="Y18" s="44">
        <f>IF(B10=20,C10,0)+IF(B11=20,C11,0)+IF(B12=20,C12,0)+IF(B13=20,C13,0)+IF(B14=20,C14,0)</f>
        <v/>
      </c>
      <c r="Z18" s="44">
        <f>IF(B10=21,C10,0)+IF(B11=21,C11,0)+IF(B12=21,C12,0)+IF(B13=21,C13,0)+IF(B14=21,C14,0)</f>
        <v/>
      </c>
      <c r="AA18" s="44">
        <f>IF(B10=22,C10,0)+IF(B11=22,C11,0)+IF(B12=22,C12,0)+IF(B13=22,C13,0)+IF(B14=22,C14,0)</f>
        <v/>
      </c>
      <c r="AB18" s="44">
        <f>IF(B10=23,C10,0)+IF(B11=23,C11,0)+IF(B12=23,C12,0)+IF(B13=23,C13,0)+IF(B14=23,C14,0)</f>
        <v/>
      </c>
      <c r="AC18" s="44">
        <f>IF(B10=24,C10,0)+IF(B11=24,C11,0)+IF(B12=24,C12,0)+IF(B13=24,C13,0)+IF(B14=24,C14,0)</f>
        <v/>
      </c>
      <c r="AD18" s="44">
        <f>IF(B10=25,C10,0)+IF(B11=25,C11,0)+IF(B12=25,C12,0)+IF(B13=25,C13,0)+IF(B14=25,C14,0)</f>
        <v/>
      </c>
      <c r="AE18" s="44">
        <f>IF(B10=26,C10,0)+IF(B11=26,C11,0)+IF(B12=26,C12,0)+IF(B13=26,C13,0)+IF(B14=26,C14,0)</f>
        <v/>
      </c>
      <c r="AF18" s="44">
        <f>IF(B10=27,C10,0)+IF(B11=27,C11,0)+IF(B12=27,C12,0)+IF(B13=27,C13,0)+IF(B14=27,C14,0)</f>
        <v/>
      </c>
      <c r="AG18" s="44">
        <f>IF(B10=28,C10,0)+IF(B11=28,C11,0)+IF(B12=28,C12,0)+IF(B13=28,C13,0)+IF(B14=28,C14,0)</f>
        <v/>
      </c>
      <c r="AH18" s="44">
        <f>IF(B10=29,C10,0)+IF(B11=29,C11,0)+IF(B12=29,C12,0)+IF(B13=29,C13,0)+IF(B14=29,C14,0)</f>
        <v/>
      </c>
      <c r="AI18" s="44">
        <f>IF(B10=30,C10,0)+IF(B11=30,C11,0)+IF(B12=30,C12,0)+IF(B13=30,C13,0)+IF(B14=30,C14,0)</f>
        <v/>
      </c>
      <c r="AJ18" s="44">
        <f>IF(B10=31,C10,0)+IF(B11=31,C11,0)+IF(B12=31,C12,0)+IF(B13=31,C13,0)+IF(B14=31,C14,0)</f>
        <v/>
      </c>
      <c r="AK18" s="44">
        <f>IF(B10=32,C10,0)+IF(B11=32,C11,0)+IF(B12=32,C12,0)+IF(B13=32,C13,0)+IF(B14=32,C14,0)</f>
        <v/>
      </c>
      <c r="AL18" s="44">
        <f>IF(B10=33,C10,0)+IF(B11=33,C11,0)+IF(B12=33,C12,0)+IF(B13=33,C13,0)+IF(B14=33,C14,0)</f>
        <v/>
      </c>
      <c r="AM18" s="44">
        <f>IF(B10=34,C10,0)+IF(B11=34,C11,0)+IF(B12=34,C12,0)+IF(B13=34,C13,0)+IF(B14=34,C14,0)</f>
        <v/>
      </c>
      <c r="AN18" s="44">
        <f>IF(B10=35,C10,0)+IF(B11=35,C11,0)+IF(B12=35,C12,0)+IF(B13=35,C13,0)+IF(B14=35,C14,0)</f>
        <v/>
      </c>
      <c r="AO18" s="44">
        <f>IF(B10=36,C10,0)+IF(B11=36,C11,0)+IF(B12=36,C12,0)+IF(B13=36,C13,0)+IF(B14=36,C14,0)</f>
        <v/>
      </c>
      <c r="AP18" s="44">
        <f>IF(B10=37,C10,0)+IF(B11=37,C11,0)+IF(B12=37,C12,0)+IF(B13=37,C13,0)+IF(B14=37,C14,0)</f>
        <v/>
      </c>
      <c r="AQ18" s="44">
        <f>IF(B10=38,C10,0)+IF(B11=38,C11,0)+IF(B12=38,C12,0)+IF(B13=38,C13,0)+IF(B14=38,C14,0)</f>
        <v/>
      </c>
      <c r="AR18" s="44">
        <f>IF(B10=39,C10,0)+IF(B11=39,C11,0)+IF(B12=39,C12,0)+IF(B13=39,C13,0)+IF(B14=39,C14,0)</f>
        <v/>
      </c>
      <c r="AS18" s="44">
        <f>IF(B10=40,C10,0)+IF(B11=40,C11,0)+IF(B12=40,C12,0)+IF(B13=40,C13,0)+IF(B14=40,C14,0)</f>
        <v/>
      </c>
      <c r="AT18" s="44">
        <f>IF(B10=41,C10,0)+IF(B11=41,C11,0)+IF(B12=41,C12,0)+IF(B13=41,C13,0)+IF(B14=41,C14,0)</f>
        <v/>
      </c>
      <c r="AU18" s="44">
        <f>IF(B10=42,C10,0)+IF(B11=42,C11,0)+IF(B12=42,C12,0)+IF(B13=42,C13,0)+IF(B14=42,C14,0)</f>
        <v/>
      </c>
      <c r="AV18" s="44">
        <f>IF(B10=43,C10,0)+IF(B11=43,C11,0)+IF(B12=43,C12,0)+IF(B13=43,C13,0)+IF(B14=43,C14,0)</f>
        <v/>
      </c>
      <c r="AW18" s="44">
        <f>IF(B10=44,C10,0)+IF(B11=44,C11,0)+IF(B12=44,C12,0)+IF(B13=44,C13,0)+IF(B14=44,C14,0)</f>
        <v/>
      </c>
      <c r="AX18" s="44">
        <f>IF(B10=45,C10,0)+IF(B11=45,C11,0)+IF(B12=45,C12,0)+IF(B13=45,C13,0)+IF(B14=45,C14,0)</f>
        <v/>
      </c>
      <c r="AY18" s="44">
        <f>IF(B10=46,C10,0)+IF(B11=46,C11,0)+IF(B12=46,C12,0)+IF(B13=46,C13,0)+IF(B14=46,C14,0)</f>
        <v/>
      </c>
      <c r="AZ18" s="44">
        <f>IF(B10=47,C10,0)+IF(B11=47,C11,0)+IF(B12=47,C12,0)+IF(B13=47,C13,0)+IF(B14=47,C14,0)</f>
        <v/>
      </c>
      <c r="BA18" s="44">
        <f>IF(B10=48,C10,0)+IF(B11=48,C11,0)+IF(B12=48,C12,0)+IF(B13=48,C13,0)+IF(B14=48,C14,0)</f>
        <v/>
      </c>
      <c r="BB18" s="44">
        <f>IF(B10=49,C10,0)+IF(B11=49,C11,0)+IF(B12=49,C12,0)+IF(B13=49,C13,0)+IF(B14=49,C14,0)</f>
        <v/>
      </c>
      <c r="BC18" s="44">
        <f>IF(B10=50,C10,0)+IF(B11=50,C11,0)+IF(B12=50,C12,0)+IF(B13=50,C13,0)+IF(B14=50,C14,0)</f>
        <v/>
      </c>
      <c r="BD18" s="44">
        <f>IF(B10=51,C10,0)+IF(B11=51,C11,0)+IF(B12=51,C12,0)+IF(B13=51,C13,0)+IF(B14=51,C14,0)</f>
        <v/>
      </c>
      <c r="BE18" s="44">
        <f>IF(B10=52,C10,0)+IF(B11=52,C11,0)+IF(B12=52,C12,0)+IF(B13=52,C13,0)+IF(B14=52,C14,0)</f>
        <v/>
      </c>
      <c r="BF18" s="44">
        <f>IF(B10=53,C10,0)+IF(B11=53,C11,0)+IF(B12=53,C12,0)+IF(B13=53,C13,0)+IF(B14=53,C14,0)</f>
        <v/>
      </c>
      <c r="BG18" s="44">
        <f>IF(B10=54,C10,0)+IF(B11=54,C11,0)+IF(B12=54,C12,0)+IF(B13=54,C13,0)+IF(B14=54,C14,0)</f>
        <v/>
      </c>
      <c r="BH18" s="44">
        <f>IF(B10=55,C10,0)+IF(B11=55,C11,0)+IF(B12=55,C12,0)+IF(B13=55,C13,0)+IF(B14=55,C14,0)</f>
        <v/>
      </c>
      <c r="BI18" s="44">
        <f>IF(B10=56,C10,0)+IF(B11=56,C11,0)+IF(B12=56,C12,0)+IF(B13=56,C13,0)+IF(B14=56,C14,0)</f>
        <v/>
      </c>
      <c r="BJ18" s="44">
        <f>IF(B10=57,C10,0)+IF(B11=57,C11,0)+IF(B12=57,C12,0)+IF(B13=57,C13,0)+IF(B14=57,C14,0)</f>
        <v/>
      </c>
      <c r="BK18" s="44">
        <f>IF(B10=58,C10,0)+IF(B11=58,C11,0)+IF(B12=58,C12,0)+IF(B13=58,C13,0)+IF(B14=58,C14,0)</f>
        <v/>
      </c>
      <c r="BL18" s="44">
        <f>IF(B10=59,C10,0)+IF(B11=59,C11,0)+IF(B12=59,C12,0)+IF(B13=59,C13,0)+IF(B14=59,C14,0)</f>
        <v/>
      </c>
      <c r="BM18" s="44">
        <f>IF(B10=60,C10,0)+IF(B11=60,C11,0)+IF(B12=60,C12,0)+IF(B13=60,C13,0)+IF(B14=60,C14,0)</f>
        <v/>
      </c>
      <c r="BN18" s="44">
        <f>IF(B10=61,C10,0)+IF(B11=61,C11,0)+IF(B12=61,C12,0)+IF(B13=61,C13,0)+IF(B14=61,C14,0)</f>
        <v/>
      </c>
      <c r="BO18" s="44">
        <f>IF(B10=62,C10,0)+IF(B11=62,C11,0)+IF(B12=62,C12,0)+IF(B13=62,C13,0)+IF(B14=62,C14,0)</f>
        <v/>
      </c>
      <c r="BP18" s="44">
        <f>IF(B10=63,C10,0)+IF(B11=63,C11,0)+IF(B12=63,C12,0)+IF(B13=63,C13,0)+IF(B14=63,C14,0)</f>
        <v/>
      </c>
      <c r="BQ18" s="44">
        <f>IF(B10=64,C10,0)+IF(B11=64,C11,0)+IF(B12=64,C12,0)+IF(B13=64,C13,0)+IF(B14=64,C14,0)</f>
        <v/>
      </c>
      <c r="BR18" s="44">
        <f>IF(B10=65,C10,0)+IF(B11=65,C11,0)+IF(B12=65,C12,0)+IF(B13=65,C13,0)+IF(B14=65,C14,0)</f>
        <v/>
      </c>
      <c r="BS18" s="44">
        <f>IF(B10=66,C10,0)+IF(B11=66,C11,0)+IF(B12=66,C12,0)+IF(B13=66,C13,0)+IF(B14=66,C14,0)</f>
        <v/>
      </c>
      <c r="BT18" s="44">
        <f>IF(B10=67,C10,0)+IF(B11=67,C11,0)+IF(B12=67,C12,0)+IF(B13=67,C13,0)+IF(B14=67,C14,0)</f>
        <v/>
      </c>
      <c r="BU18" s="44">
        <f>IF(B10=68,C10,0)+IF(B11=68,C11,0)+IF(B12=68,C12,0)+IF(B13=68,C13,0)+IF(B14=68,C14,0)</f>
        <v/>
      </c>
      <c r="BV18" s="44">
        <f>IF(B10=69,C10,0)+IF(B11=69,C11,0)+IF(B12=69,C12,0)+IF(B13=69,C13,0)+IF(B14=69,C14,0)</f>
        <v/>
      </c>
      <c r="BW18" s="44">
        <f>IF(B10=70,C10,0)+IF(B11=70,C11,0)+IF(B12=70,C12,0)+IF(B13=70,C13,0)+IF(B14=70,C14,0)</f>
        <v/>
      </c>
      <c r="BX18" s="44">
        <f>IF(B10=71,C10,0)+IF(B11=71,C11,0)+IF(B12=71,C12,0)+IF(B13=71,C13,0)+IF(B14=71,C14,0)</f>
        <v/>
      </c>
      <c r="BY18" s="44">
        <f>IF(B10=72,C10,0)+IF(B11=72,C11,0)+IF(B12=72,C12,0)+IF(B13=72,C13,0)+IF(B14=72,C14,0)</f>
        <v/>
      </c>
      <c r="BZ18" s="44">
        <f>IF(B10=73,C10,0)+IF(B11=73,C11,0)+IF(B12=73,C12,0)+IF(B13=73,C13,0)+IF(B14=73,C14,0)</f>
        <v/>
      </c>
      <c r="CA18" s="44">
        <f>IF(B10=74,C10,0)+IF(B11=74,C11,0)+IF(B12=74,C12,0)+IF(B13=74,C13,0)+IF(B14=74,C14,0)</f>
        <v/>
      </c>
      <c r="CB18" s="44">
        <f>IF(B10=75,C10,0)+IF(B11=75,C11,0)+IF(B12=75,C12,0)+IF(B13=75,C13,0)+IF(B14=75,C14,0)</f>
        <v/>
      </c>
      <c r="CC18" s="44">
        <f>IF(B10=76,C10,0)+IF(B11=76,C11,0)+IF(B12=76,C12,0)+IF(B13=76,C13,0)+IF(B14=76,C14,0)</f>
        <v/>
      </c>
      <c r="CD18" s="44">
        <f>IF(B10=77,C10,0)+IF(B11=77,C11,0)+IF(B12=77,C12,0)+IF(B13=77,C13,0)+IF(B14=77,C14,0)</f>
        <v/>
      </c>
      <c r="CE18" s="44">
        <f>IF(B10=78,C10,0)+IF(B11=78,C11,0)+IF(B12=78,C12,0)+IF(B13=78,C13,0)+IF(B14=78,C14,0)</f>
        <v/>
      </c>
      <c r="CF18" s="44">
        <f>IF(B10=79,C10,0)+IF(B11=79,C11,0)+IF(B12=79,C12,0)+IF(B13=79,C13,0)+IF(B14=79,C14,0)</f>
        <v/>
      </c>
      <c r="CG18" s="44">
        <f>IF(B10=80,C10,0)+IF(B11=80,C11,0)+IF(B12=80,C12,0)+IF(B13=80,C13,0)+IF(B14=80,C14,0)</f>
        <v/>
      </c>
      <c r="CH18" s="44">
        <f>IF(B10=81,C10,0)+IF(B11=81,C11,0)+IF(B12=81,C12,0)+IF(B13=81,C13,0)+IF(B14=81,C14,0)</f>
        <v/>
      </c>
      <c r="CI18" s="44">
        <f>IF(B10=82,C10,0)+IF(B11=82,C11,0)+IF(B12=82,C12,0)+IF(B13=82,C13,0)+IF(B14=82,C14,0)</f>
        <v/>
      </c>
      <c r="CJ18" s="44">
        <f>IF(B10=83,C10,0)+IF(B11=83,C11,0)+IF(B12=83,C12,0)+IF(B13=83,C13,0)+IF(B14=83,C14,0)</f>
        <v/>
      </c>
      <c r="CK18" s="44">
        <f>IF(B10=84,C10,0)+IF(B11=84,C11,0)+IF(B12=84,C12,0)+IF(B13=84,C13,0)+IF(B14=84,C14,0)</f>
        <v/>
      </c>
      <c r="CL18" s="44">
        <f>IF(B10=85,C10,0)+IF(B11=85,C11,0)+IF(B12=85,C12,0)+IF(B13=85,C13,0)+IF(B14=85,C14,0)</f>
        <v/>
      </c>
      <c r="CM18" s="44">
        <f>IF(B10=86,C10,0)+IF(B11=86,C11,0)+IF(B12=86,C12,0)+IF(B13=86,C13,0)+IF(B14=86,C14,0)</f>
        <v/>
      </c>
      <c r="CN18" s="44">
        <f>IF(B10=87,C10,0)+IF(B11=87,C11,0)+IF(B12=87,C12,0)+IF(B13=87,C13,0)+IF(B14=87,C14,0)</f>
        <v/>
      </c>
      <c r="CO18" s="44">
        <f>IF(B10=88,C10,0)+IF(B11=88,C11,0)+IF(B12=88,C12,0)+IF(B13=88,C13,0)+IF(B14=88,C14,0)</f>
        <v/>
      </c>
      <c r="CP18" s="44">
        <f>IF(B10=89,C10,0)+IF(B11=89,C11,0)+IF(B12=89,C12,0)+IF(B13=89,C13,0)+IF(B14=89,C14,0)</f>
        <v/>
      </c>
      <c r="CQ18" s="44">
        <f>IF(B10=90,C10,0)+IF(B11=90,C11,0)+IF(B12=90,C12,0)+IF(B13=90,C13,0)+IF(B14=90,C14,0)</f>
        <v/>
      </c>
      <c r="CR18" s="44">
        <f>IF(B10=91,C10,0)+IF(B11=91,C11,0)+IF(B12=91,C12,0)+IF(B13=91,C13,0)+IF(B14=91,C14,0)</f>
        <v/>
      </c>
      <c r="CS18" s="44">
        <f>IF(B10=92,C10,0)+IF(B11=92,C11,0)+IF(B12=92,C12,0)+IF(B13=92,C13,0)+IF(B14=92,C14,0)</f>
        <v/>
      </c>
      <c r="CT18" s="44">
        <f>IF(B10=93,C10,0)+IF(B11=93,C11,0)+IF(B12=93,C12,0)+IF(B13=93,C13,0)+IF(B14=93,C14,0)</f>
        <v/>
      </c>
      <c r="CU18" s="44">
        <f>IF(B10=94,C10,0)+IF(B11=94,C11,0)+IF(B12=94,C12,0)+IF(B13=94,C13,0)+IF(B14=94,C14,0)</f>
        <v/>
      </c>
      <c r="CV18" s="44">
        <f>IF(B10=95,C10,0)+IF(B11=95,C11,0)+IF(B12=95,C12,0)+IF(B13=95,C13,0)+IF(B14=95,C14,0)</f>
        <v/>
      </c>
      <c r="CW18" s="44">
        <f>IF(B10=96,C10,0)+IF(B11=96,C11,0)+IF(B12=96,C12,0)+IF(B13=96,C13,0)+IF(B14=96,C14,0)</f>
        <v/>
      </c>
      <c r="CX18" s="44">
        <f>IF(B10=97,C10,0)+IF(B11=97,C11,0)+IF(B12=97,C12,0)+IF(B13=97,C13,0)+IF(B14=97,C14,0)</f>
        <v/>
      </c>
      <c r="CY18" s="44">
        <f>IF(B10=98,C10,0)+IF(B11=98,C11,0)+IF(B12=98,C12,0)+IF(B13=98,C13,0)+IF(B14=98,C14,0)</f>
        <v/>
      </c>
      <c r="CZ18" s="44">
        <f>IF(B10=99,C10,0)+IF(B11=99,C11,0)+IF(B12=99,C12,0)+IF(B13=99,C13,0)+IF(B14=99,C14,0)</f>
        <v/>
      </c>
      <c r="DA18" s="44">
        <f>IF(B10=100,C10,0)+IF(B11=100,C11,0)+IF(B12=100,C12,0)+IF(B13=100,C13,0)+IF(B14=100,C14,0)</f>
        <v/>
      </c>
      <c r="DB18" s="44">
        <f>IF(B10=101,C10,0)+IF(B11=101,C11,0)+IF(B12=101,C12,0)+IF(B13=101,C13,0)+IF(B14=101,C14,0)</f>
        <v/>
      </c>
      <c r="DC18" s="44">
        <f>IF(B10=102,C10,0)+IF(B11=102,C11,0)+IF(B12=102,C12,0)+IF(B13=102,C13,0)+IF(B14=102,C14,0)</f>
        <v/>
      </c>
      <c r="DD18" s="44">
        <f>IF(B10=103,C10,0)+IF(B11=103,C11,0)+IF(B12=103,C12,0)+IF(B13=103,C13,0)+IF(B14=103,C14,0)</f>
        <v/>
      </c>
      <c r="DE18" s="44">
        <f>IF(B10=104,C10,0)+IF(B11=104,C11,0)+IF(B12=104,C12,0)+IF(B13=104,C13,0)+IF(B14=104,C14,0)</f>
        <v/>
      </c>
      <c r="DF18" s="44">
        <f>IF(B10=105,C10,0)+IF(B11=105,C11,0)+IF(B12=105,C12,0)+IF(B13=105,C13,0)+IF(B14=105,C14,0)</f>
        <v/>
      </c>
      <c r="DG18" s="44">
        <f>IF(B10=106,C10,0)+IF(B11=106,C11,0)+IF(B12=106,C12,0)+IF(B13=106,C13,0)+IF(B14=106,C14,0)</f>
        <v/>
      </c>
      <c r="DH18" s="44">
        <f>IF(B10=107,C10,0)+IF(B11=107,C11,0)+IF(B12=107,C12,0)+IF(B13=107,C13,0)+IF(B14=107,C14,0)</f>
        <v/>
      </c>
      <c r="DI18" s="44">
        <f>IF(B10=108,C10,0)+IF(B11=108,C11,0)+IF(B12=108,C12,0)+IF(B13=108,C13,0)+IF(B14=108,C14,0)</f>
        <v/>
      </c>
      <c r="DJ18" s="44">
        <f>IF(B10=109,C10,0)+IF(B11=109,C11,0)+IF(B12=109,C12,0)+IF(B13=109,C13,0)+IF(B14=109,C14,0)</f>
        <v/>
      </c>
      <c r="DK18" s="44">
        <f>IF(B10=110,C10,0)+IF(B11=110,C11,0)+IF(B12=110,C12,0)+IF(B13=110,C13,0)+IF(B14=110,C14,0)</f>
        <v/>
      </c>
      <c r="DL18" s="44">
        <f>IF(B10=111,C10,0)+IF(B11=111,C11,0)+IF(B12=111,C12,0)+IF(B13=111,C13,0)+IF(B14=111,C14,0)</f>
        <v/>
      </c>
      <c r="DM18" s="44">
        <f>IF(B10=112,C10,0)+IF(B11=112,C11,0)+IF(B12=112,C12,0)+IF(B13=112,C13,0)+IF(B14=112,C14,0)</f>
        <v/>
      </c>
      <c r="DN18" s="44">
        <f>IF(B10=113,C10,0)+IF(B11=113,C11,0)+IF(B12=113,C12,0)+IF(B13=113,C13,0)+IF(B14=113,C14,0)</f>
        <v/>
      </c>
      <c r="DO18" s="44">
        <f>IF(B10=114,C10,0)+IF(B11=114,C11,0)+IF(B12=114,C12,0)+IF(B13=114,C13,0)+IF(B14=114,C14,0)</f>
        <v/>
      </c>
      <c r="DP18" s="44">
        <f>IF(B10=115,C10,0)+IF(B11=115,C11,0)+IF(B12=115,C12,0)+IF(B13=115,C13,0)+IF(B14=115,C14,0)</f>
        <v/>
      </c>
      <c r="DQ18" s="44">
        <f>IF(B10=116,C10,0)+IF(B11=116,C11,0)+IF(B12=116,C12,0)+IF(B13=116,C13,0)+IF(B14=116,C14,0)</f>
        <v/>
      </c>
      <c r="DR18" s="44">
        <f>IF(B10=117,C10,0)+IF(B11=117,C11,0)+IF(B12=117,C12,0)+IF(B13=117,C13,0)+IF(B14=117,C14,0)</f>
        <v/>
      </c>
      <c r="DS18" s="44">
        <f>IF(B10=118,C10,0)+IF(B11=118,C11,0)+IF(B12=118,C12,0)+IF(B13=118,C13,0)+IF(B14=118,C14,0)</f>
        <v/>
      </c>
      <c r="DT18" s="44">
        <f>IF(B10=119,C10,0)+IF(B11=119,C11,0)+IF(B12=119,C12,0)+IF(B13=119,C13,0)+IF(B14=119,C14,0)</f>
        <v/>
      </c>
      <c r="DU18" s="44">
        <f>IF(B10=120,C10,0)+IF(B11=120,C11,0)+IF(B12=120,C12,0)+IF(B13=120,C13,0)+IF(B14=120,C14,0)</f>
        <v/>
      </c>
    </row>
    <row r="19">
      <c r="A19" t="inlineStr">
        <is>
          <t>Total depreciation (month)</t>
        </is>
      </c>
      <c r="F19" s="44">
        <f>IF(1&gt;=B10,(C10*(1-E10))/(D10*12),0)+IF(1&gt;=B11,(C11*(1-E11))/(D11*12),0)+IF(1&gt;=B12,(C12*(1-E12))/(D12*12),0)+IF(1&gt;=B13,(C13*(1-E13))/(D13*12),0)+IF(1&gt;=B14,(C14*(1-E14))/(D14*12),0)</f>
        <v/>
      </c>
      <c r="G19" s="44">
        <f>IF(2&gt;=B10,(C10*(1-E10))/(D10*12),0)+IF(2&gt;=B11,(C11*(1-E11))/(D11*12),0)+IF(2&gt;=B12,(C12*(1-E12))/(D12*12),0)+IF(2&gt;=B13,(C13*(1-E13))/(D13*12),0)+IF(2&gt;=B14,(C14*(1-E14))/(D14*12),0)</f>
        <v/>
      </c>
      <c r="H19" s="44">
        <f>IF(3&gt;=B10,(C10*(1-E10))/(D10*12),0)+IF(3&gt;=B11,(C11*(1-E11))/(D11*12),0)+IF(3&gt;=B12,(C12*(1-E12))/(D12*12),0)+IF(3&gt;=B13,(C13*(1-E13))/(D13*12),0)+IF(3&gt;=B14,(C14*(1-E14))/(D14*12),0)</f>
        <v/>
      </c>
      <c r="I19" s="44">
        <f>IF(4&gt;=B10,(C10*(1-E10))/(D10*12),0)+IF(4&gt;=B11,(C11*(1-E11))/(D11*12),0)+IF(4&gt;=B12,(C12*(1-E12))/(D12*12),0)+IF(4&gt;=B13,(C13*(1-E13))/(D13*12),0)+IF(4&gt;=B14,(C14*(1-E14))/(D14*12),0)</f>
        <v/>
      </c>
      <c r="J19" s="44">
        <f>IF(5&gt;=B10,(C10*(1-E10))/(D10*12),0)+IF(5&gt;=B11,(C11*(1-E11))/(D11*12),0)+IF(5&gt;=B12,(C12*(1-E12))/(D12*12),0)+IF(5&gt;=B13,(C13*(1-E13))/(D13*12),0)+IF(5&gt;=B14,(C14*(1-E14))/(D14*12),0)</f>
        <v/>
      </c>
      <c r="K19" s="44">
        <f>IF(6&gt;=B10,(C10*(1-E10))/(D10*12),0)+IF(6&gt;=B11,(C11*(1-E11))/(D11*12),0)+IF(6&gt;=B12,(C12*(1-E12))/(D12*12),0)+IF(6&gt;=B13,(C13*(1-E13))/(D13*12),0)+IF(6&gt;=B14,(C14*(1-E14))/(D14*12),0)</f>
        <v/>
      </c>
      <c r="L19" s="44">
        <f>IF(7&gt;=B10,(C10*(1-E10))/(D10*12),0)+IF(7&gt;=B11,(C11*(1-E11))/(D11*12),0)+IF(7&gt;=B12,(C12*(1-E12))/(D12*12),0)+IF(7&gt;=B13,(C13*(1-E13))/(D13*12),0)+IF(7&gt;=B14,(C14*(1-E14))/(D14*12),0)</f>
        <v/>
      </c>
      <c r="M19" s="44">
        <f>IF(8&gt;=B10,(C10*(1-E10))/(D10*12),0)+IF(8&gt;=B11,(C11*(1-E11))/(D11*12),0)+IF(8&gt;=B12,(C12*(1-E12))/(D12*12),0)+IF(8&gt;=B13,(C13*(1-E13))/(D13*12),0)+IF(8&gt;=B14,(C14*(1-E14))/(D14*12),0)</f>
        <v/>
      </c>
      <c r="N19" s="44">
        <f>IF(9&gt;=B10,(C10*(1-E10))/(D10*12),0)+IF(9&gt;=B11,(C11*(1-E11))/(D11*12),0)+IF(9&gt;=B12,(C12*(1-E12))/(D12*12),0)+IF(9&gt;=B13,(C13*(1-E13))/(D13*12),0)+IF(9&gt;=B14,(C14*(1-E14))/(D14*12),0)</f>
        <v/>
      </c>
      <c r="O19" s="44">
        <f>IF(10&gt;=B10,(C10*(1-E10))/(D10*12),0)+IF(10&gt;=B11,(C11*(1-E11))/(D11*12),0)+IF(10&gt;=B12,(C12*(1-E12))/(D12*12),0)+IF(10&gt;=B13,(C13*(1-E13))/(D13*12),0)+IF(10&gt;=B14,(C14*(1-E14))/(D14*12),0)</f>
        <v/>
      </c>
      <c r="P19" s="44">
        <f>IF(11&gt;=B10,(C10*(1-E10))/(D10*12),0)+IF(11&gt;=B11,(C11*(1-E11))/(D11*12),0)+IF(11&gt;=B12,(C12*(1-E12))/(D12*12),0)+IF(11&gt;=B13,(C13*(1-E13))/(D13*12),0)+IF(11&gt;=B14,(C14*(1-E14))/(D14*12),0)</f>
        <v/>
      </c>
      <c r="Q19" s="44">
        <f>IF(12&gt;=B10,(C10*(1-E10))/(D10*12),0)+IF(12&gt;=B11,(C11*(1-E11))/(D11*12),0)+IF(12&gt;=B12,(C12*(1-E12))/(D12*12),0)+IF(12&gt;=B13,(C13*(1-E13))/(D13*12),0)+IF(12&gt;=B14,(C14*(1-E14))/(D14*12),0)</f>
        <v/>
      </c>
      <c r="R19" s="44">
        <f>IF(13&gt;=B10,(C10*(1-E10))/(D10*12),0)+IF(13&gt;=B11,(C11*(1-E11))/(D11*12),0)+IF(13&gt;=B12,(C12*(1-E12))/(D12*12),0)+IF(13&gt;=B13,(C13*(1-E13))/(D13*12),0)+IF(13&gt;=B14,(C14*(1-E14))/(D14*12),0)</f>
        <v/>
      </c>
      <c r="S19" s="44">
        <f>IF(14&gt;=B10,(C10*(1-E10))/(D10*12),0)+IF(14&gt;=B11,(C11*(1-E11))/(D11*12),0)+IF(14&gt;=B12,(C12*(1-E12))/(D12*12),0)+IF(14&gt;=B13,(C13*(1-E13))/(D13*12),0)+IF(14&gt;=B14,(C14*(1-E14))/(D14*12),0)</f>
        <v/>
      </c>
      <c r="T19" s="44">
        <f>IF(15&gt;=B10,(C10*(1-E10))/(D10*12),0)+IF(15&gt;=B11,(C11*(1-E11))/(D11*12),0)+IF(15&gt;=B12,(C12*(1-E12))/(D12*12),0)+IF(15&gt;=B13,(C13*(1-E13))/(D13*12),0)+IF(15&gt;=B14,(C14*(1-E14))/(D14*12),0)</f>
        <v/>
      </c>
      <c r="U19" s="44">
        <f>IF(16&gt;=B10,(C10*(1-E10))/(D10*12),0)+IF(16&gt;=B11,(C11*(1-E11))/(D11*12),0)+IF(16&gt;=B12,(C12*(1-E12))/(D12*12),0)+IF(16&gt;=B13,(C13*(1-E13))/(D13*12),0)+IF(16&gt;=B14,(C14*(1-E14))/(D14*12),0)</f>
        <v/>
      </c>
      <c r="V19" s="44">
        <f>IF(17&gt;=B10,(C10*(1-E10))/(D10*12),0)+IF(17&gt;=B11,(C11*(1-E11))/(D11*12),0)+IF(17&gt;=B12,(C12*(1-E12))/(D12*12),0)+IF(17&gt;=B13,(C13*(1-E13))/(D13*12),0)+IF(17&gt;=B14,(C14*(1-E14))/(D14*12),0)</f>
        <v/>
      </c>
      <c r="W19" s="44">
        <f>IF(18&gt;=B10,(C10*(1-E10))/(D10*12),0)+IF(18&gt;=B11,(C11*(1-E11))/(D11*12),0)+IF(18&gt;=B12,(C12*(1-E12))/(D12*12),0)+IF(18&gt;=B13,(C13*(1-E13))/(D13*12),0)+IF(18&gt;=B14,(C14*(1-E14))/(D14*12),0)</f>
        <v/>
      </c>
      <c r="X19" s="44">
        <f>IF(19&gt;=B10,(C10*(1-E10))/(D10*12),0)+IF(19&gt;=B11,(C11*(1-E11))/(D11*12),0)+IF(19&gt;=B12,(C12*(1-E12))/(D12*12),0)+IF(19&gt;=B13,(C13*(1-E13))/(D13*12),0)+IF(19&gt;=B14,(C14*(1-E14))/(D14*12),0)</f>
        <v/>
      </c>
      <c r="Y19" s="44">
        <f>IF(20&gt;=B10,(C10*(1-E10))/(D10*12),0)+IF(20&gt;=B11,(C11*(1-E11))/(D11*12),0)+IF(20&gt;=B12,(C12*(1-E12))/(D12*12),0)+IF(20&gt;=B13,(C13*(1-E13))/(D13*12),0)+IF(20&gt;=B14,(C14*(1-E14))/(D14*12),0)</f>
        <v/>
      </c>
      <c r="Z19" s="44">
        <f>IF(21&gt;=B10,(C10*(1-E10))/(D10*12),0)+IF(21&gt;=B11,(C11*(1-E11))/(D11*12),0)+IF(21&gt;=B12,(C12*(1-E12))/(D12*12),0)+IF(21&gt;=B13,(C13*(1-E13))/(D13*12),0)+IF(21&gt;=B14,(C14*(1-E14))/(D14*12),0)</f>
        <v/>
      </c>
      <c r="AA19" s="44">
        <f>IF(22&gt;=B10,(C10*(1-E10))/(D10*12),0)+IF(22&gt;=B11,(C11*(1-E11))/(D11*12),0)+IF(22&gt;=B12,(C12*(1-E12))/(D12*12),0)+IF(22&gt;=B13,(C13*(1-E13))/(D13*12),0)+IF(22&gt;=B14,(C14*(1-E14))/(D14*12),0)</f>
        <v/>
      </c>
      <c r="AB19" s="44">
        <f>IF(23&gt;=B10,(C10*(1-E10))/(D10*12),0)+IF(23&gt;=B11,(C11*(1-E11))/(D11*12),0)+IF(23&gt;=B12,(C12*(1-E12))/(D12*12),0)+IF(23&gt;=B13,(C13*(1-E13))/(D13*12),0)+IF(23&gt;=B14,(C14*(1-E14))/(D14*12),0)</f>
        <v/>
      </c>
      <c r="AC19" s="44">
        <f>IF(24&gt;=B10,(C10*(1-E10))/(D10*12),0)+IF(24&gt;=B11,(C11*(1-E11))/(D11*12),0)+IF(24&gt;=B12,(C12*(1-E12))/(D12*12),0)+IF(24&gt;=B13,(C13*(1-E13))/(D13*12),0)+IF(24&gt;=B14,(C14*(1-E14))/(D14*12),0)</f>
        <v/>
      </c>
      <c r="AD19" s="44">
        <f>IF(25&gt;=B10,(C10*(1-E10))/(D10*12),0)+IF(25&gt;=B11,(C11*(1-E11))/(D11*12),0)+IF(25&gt;=B12,(C12*(1-E12))/(D12*12),0)+IF(25&gt;=B13,(C13*(1-E13))/(D13*12),0)+IF(25&gt;=B14,(C14*(1-E14))/(D14*12),0)</f>
        <v/>
      </c>
      <c r="AE19" s="44">
        <f>IF(26&gt;=B10,(C10*(1-E10))/(D10*12),0)+IF(26&gt;=B11,(C11*(1-E11))/(D11*12),0)+IF(26&gt;=B12,(C12*(1-E12))/(D12*12),0)+IF(26&gt;=B13,(C13*(1-E13))/(D13*12),0)+IF(26&gt;=B14,(C14*(1-E14))/(D14*12),0)</f>
        <v/>
      </c>
      <c r="AF19" s="44">
        <f>IF(27&gt;=B10,(C10*(1-E10))/(D10*12),0)+IF(27&gt;=B11,(C11*(1-E11))/(D11*12),0)+IF(27&gt;=B12,(C12*(1-E12))/(D12*12),0)+IF(27&gt;=B13,(C13*(1-E13))/(D13*12),0)+IF(27&gt;=B14,(C14*(1-E14))/(D14*12),0)</f>
        <v/>
      </c>
      <c r="AG19" s="44">
        <f>IF(28&gt;=B10,(C10*(1-E10))/(D10*12),0)+IF(28&gt;=B11,(C11*(1-E11))/(D11*12),0)+IF(28&gt;=B12,(C12*(1-E12))/(D12*12),0)+IF(28&gt;=B13,(C13*(1-E13))/(D13*12),0)+IF(28&gt;=B14,(C14*(1-E14))/(D14*12),0)</f>
        <v/>
      </c>
      <c r="AH19" s="44">
        <f>IF(29&gt;=B10,(C10*(1-E10))/(D10*12),0)+IF(29&gt;=B11,(C11*(1-E11))/(D11*12),0)+IF(29&gt;=B12,(C12*(1-E12))/(D12*12),0)+IF(29&gt;=B13,(C13*(1-E13))/(D13*12),0)+IF(29&gt;=B14,(C14*(1-E14))/(D14*12),0)</f>
        <v/>
      </c>
      <c r="AI19" s="44">
        <f>IF(30&gt;=B10,(C10*(1-E10))/(D10*12),0)+IF(30&gt;=B11,(C11*(1-E11))/(D11*12),0)+IF(30&gt;=B12,(C12*(1-E12))/(D12*12),0)+IF(30&gt;=B13,(C13*(1-E13))/(D13*12),0)+IF(30&gt;=B14,(C14*(1-E14))/(D14*12),0)</f>
        <v/>
      </c>
      <c r="AJ19" s="44">
        <f>IF(31&gt;=B10,(C10*(1-E10))/(D10*12),0)+IF(31&gt;=B11,(C11*(1-E11))/(D11*12),0)+IF(31&gt;=B12,(C12*(1-E12))/(D12*12),0)+IF(31&gt;=B13,(C13*(1-E13))/(D13*12),0)+IF(31&gt;=B14,(C14*(1-E14))/(D14*12),0)</f>
        <v/>
      </c>
      <c r="AK19" s="44">
        <f>IF(32&gt;=B10,(C10*(1-E10))/(D10*12),0)+IF(32&gt;=B11,(C11*(1-E11))/(D11*12),0)+IF(32&gt;=B12,(C12*(1-E12))/(D12*12),0)+IF(32&gt;=B13,(C13*(1-E13))/(D13*12),0)+IF(32&gt;=B14,(C14*(1-E14))/(D14*12),0)</f>
        <v/>
      </c>
      <c r="AL19" s="44">
        <f>IF(33&gt;=B10,(C10*(1-E10))/(D10*12),0)+IF(33&gt;=B11,(C11*(1-E11))/(D11*12),0)+IF(33&gt;=B12,(C12*(1-E12))/(D12*12),0)+IF(33&gt;=B13,(C13*(1-E13))/(D13*12),0)+IF(33&gt;=B14,(C14*(1-E14))/(D14*12),0)</f>
        <v/>
      </c>
      <c r="AM19" s="44">
        <f>IF(34&gt;=B10,(C10*(1-E10))/(D10*12),0)+IF(34&gt;=B11,(C11*(1-E11))/(D11*12),0)+IF(34&gt;=B12,(C12*(1-E12))/(D12*12),0)+IF(34&gt;=B13,(C13*(1-E13))/(D13*12),0)+IF(34&gt;=B14,(C14*(1-E14))/(D14*12),0)</f>
        <v/>
      </c>
      <c r="AN19" s="44">
        <f>IF(35&gt;=B10,(C10*(1-E10))/(D10*12),0)+IF(35&gt;=B11,(C11*(1-E11))/(D11*12),0)+IF(35&gt;=B12,(C12*(1-E12))/(D12*12),0)+IF(35&gt;=B13,(C13*(1-E13))/(D13*12),0)+IF(35&gt;=B14,(C14*(1-E14))/(D14*12),0)</f>
        <v/>
      </c>
      <c r="AO19" s="44">
        <f>IF(36&gt;=B10,(C10*(1-E10))/(D10*12),0)+IF(36&gt;=B11,(C11*(1-E11))/(D11*12),0)+IF(36&gt;=B12,(C12*(1-E12))/(D12*12),0)+IF(36&gt;=B13,(C13*(1-E13))/(D13*12),0)+IF(36&gt;=B14,(C14*(1-E14))/(D14*12),0)</f>
        <v/>
      </c>
      <c r="AP19" s="44">
        <f>IF(37&gt;=B10,(C10*(1-E10))/(D10*12),0)+IF(37&gt;=B11,(C11*(1-E11))/(D11*12),0)+IF(37&gt;=B12,(C12*(1-E12))/(D12*12),0)+IF(37&gt;=B13,(C13*(1-E13))/(D13*12),0)+IF(37&gt;=B14,(C14*(1-E14))/(D14*12),0)</f>
        <v/>
      </c>
      <c r="AQ19" s="44">
        <f>IF(38&gt;=B10,(C10*(1-E10))/(D10*12),0)+IF(38&gt;=B11,(C11*(1-E11))/(D11*12),0)+IF(38&gt;=B12,(C12*(1-E12))/(D12*12),0)+IF(38&gt;=B13,(C13*(1-E13))/(D13*12),0)+IF(38&gt;=B14,(C14*(1-E14))/(D14*12),0)</f>
        <v/>
      </c>
      <c r="AR19" s="44">
        <f>IF(39&gt;=B10,(C10*(1-E10))/(D10*12),0)+IF(39&gt;=B11,(C11*(1-E11))/(D11*12),0)+IF(39&gt;=B12,(C12*(1-E12))/(D12*12),0)+IF(39&gt;=B13,(C13*(1-E13))/(D13*12),0)+IF(39&gt;=B14,(C14*(1-E14))/(D14*12),0)</f>
        <v/>
      </c>
      <c r="AS19" s="44">
        <f>IF(40&gt;=B10,(C10*(1-E10))/(D10*12),0)+IF(40&gt;=B11,(C11*(1-E11))/(D11*12),0)+IF(40&gt;=B12,(C12*(1-E12))/(D12*12),0)+IF(40&gt;=B13,(C13*(1-E13))/(D13*12),0)+IF(40&gt;=B14,(C14*(1-E14))/(D14*12),0)</f>
        <v/>
      </c>
      <c r="AT19" s="44">
        <f>IF(41&gt;=B10,(C10*(1-E10))/(D10*12),0)+IF(41&gt;=B11,(C11*(1-E11))/(D11*12),0)+IF(41&gt;=B12,(C12*(1-E12))/(D12*12),0)+IF(41&gt;=B13,(C13*(1-E13))/(D13*12),0)+IF(41&gt;=B14,(C14*(1-E14))/(D14*12),0)</f>
        <v/>
      </c>
      <c r="AU19" s="44">
        <f>IF(42&gt;=B10,(C10*(1-E10))/(D10*12),0)+IF(42&gt;=B11,(C11*(1-E11))/(D11*12),0)+IF(42&gt;=B12,(C12*(1-E12))/(D12*12),0)+IF(42&gt;=B13,(C13*(1-E13))/(D13*12),0)+IF(42&gt;=B14,(C14*(1-E14))/(D14*12),0)</f>
        <v/>
      </c>
      <c r="AV19" s="44">
        <f>IF(43&gt;=B10,(C10*(1-E10))/(D10*12),0)+IF(43&gt;=B11,(C11*(1-E11))/(D11*12),0)+IF(43&gt;=B12,(C12*(1-E12))/(D12*12),0)+IF(43&gt;=B13,(C13*(1-E13))/(D13*12),0)+IF(43&gt;=B14,(C14*(1-E14))/(D14*12),0)</f>
        <v/>
      </c>
      <c r="AW19" s="44">
        <f>IF(44&gt;=B10,(C10*(1-E10))/(D10*12),0)+IF(44&gt;=B11,(C11*(1-E11))/(D11*12),0)+IF(44&gt;=B12,(C12*(1-E12))/(D12*12),0)+IF(44&gt;=B13,(C13*(1-E13))/(D13*12),0)+IF(44&gt;=B14,(C14*(1-E14))/(D14*12),0)</f>
        <v/>
      </c>
      <c r="AX19" s="44">
        <f>IF(45&gt;=B10,(C10*(1-E10))/(D10*12),0)+IF(45&gt;=B11,(C11*(1-E11))/(D11*12),0)+IF(45&gt;=B12,(C12*(1-E12))/(D12*12),0)+IF(45&gt;=B13,(C13*(1-E13))/(D13*12),0)+IF(45&gt;=B14,(C14*(1-E14))/(D14*12),0)</f>
        <v/>
      </c>
      <c r="AY19" s="44">
        <f>IF(46&gt;=B10,(C10*(1-E10))/(D10*12),0)+IF(46&gt;=B11,(C11*(1-E11))/(D11*12),0)+IF(46&gt;=B12,(C12*(1-E12))/(D12*12),0)+IF(46&gt;=B13,(C13*(1-E13))/(D13*12),0)+IF(46&gt;=B14,(C14*(1-E14))/(D14*12),0)</f>
        <v/>
      </c>
      <c r="AZ19" s="44">
        <f>IF(47&gt;=B10,(C10*(1-E10))/(D10*12),0)+IF(47&gt;=B11,(C11*(1-E11))/(D11*12),0)+IF(47&gt;=B12,(C12*(1-E12))/(D12*12),0)+IF(47&gt;=B13,(C13*(1-E13))/(D13*12),0)+IF(47&gt;=B14,(C14*(1-E14))/(D14*12),0)</f>
        <v/>
      </c>
      <c r="BA19" s="44">
        <f>IF(48&gt;=B10,(C10*(1-E10))/(D10*12),0)+IF(48&gt;=B11,(C11*(1-E11))/(D11*12),0)+IF(48&gt;=B12,(C12*(1-E12))/(D12*12),0)+IF(48&gt;=B13,(C13*(1-E13))/(D13*12),0)+IF(48&gt;=B14,(C14*(1-E14))/(D14*12),0)</f>
        <v/>
      </c>
      <c r="BB19" s="44">
        <f>IF(49&gt;=B10,(C10*(1-E10))/(D10*12),0)+IF(49&gt;=B11,(C11*(1-E11))/(D11*12),0)+IF(49&gt;=B12,(C12*(1-E12))/(D12*12),0)+IF(49&gt;=B13,(C13*(1-E13))/(D13*12),0)+IF(49&gt;=B14,(C14*(1-E14))/(D14*12),0)</f>
        <v/>
      </c>
      <c r="BC19" s="44">
        <f>IF(50&gt;=B10,(C10*(1-E10))/(D10*12),0)+IF(50&gt;=B11,(C11*(1-E11))/(D11*12),0)+IF(50&gt;=B12,(C12*(1-E12))/(D12*12),0)+IF(50&gt;=B13,(C13*(1-E13))/(D13*12),0)+IF(50&gt;=B14,(C14*(1-E14))/(D14*12),0)</f>
        <v/>
      </c>
      <c r="BD19" s="44">
        <f>IF(51&gt;=B10,(C10*(1-E10))/(D10*12),0)+IF(51&gt;=B11,(C11*(1-E11))/(D11*12),0)+IF(51&gt;=B12,(C12*(1-E12))/(D12*12),0)+IF(51&gt;=B13,(C13*(1-E13))/(D13*12),0)+IF(51&gt;=B14,(C14*(1-E14))/(D14*12),0)</f>
        <v/>
      </c>
      <c r="BE19" s="44">
        <f>IF(52&gt;=B10,(C10*(1-E10))/(D10*12),0)+IF(52&gt;=B11,(C11*(1-E11))/(D11*12),0)+IF(52&gt;=B12,(C12*(1-E12))/(D12*12),0)+IF(52&gt;=B13,(C13*(1-E13))/(D13*12),0)+IF(52&gt;=B14,(C14*(1-E14))/(D14*12),0)</f>
        <v/>
      </c>
      <c r="BF19" s="44">
        <f>IF(53&gt;=B10,(C10*(1-E10))/(D10*12),0)+IF(53&gt;=B11,(C11*(1-E11))/(D11*12),0)+IF(53&gt;=B12,(C12*(1-E12))/(D12*12),0)+IF(53&gt;=B13,(C13*(1-E13))/(D13*12),0)+IF(53&gt;=B14,(C14*(1-E14))/(D14*12),0)</f>
        <v/>
      </c>
      <c r="BG19" s="44">
        <f>IF(54&gt;=B10,(C10*(1-E10))/(D10*12),0)+IF(54&gt;=B11,(C11*(1-E11))/(D11*12),0)+IF(54&gt;=B12,(C12*(1-E12))/(D12*12),0)+IF(54&gt;=B13,(C13*(1-E13))/(D13*12),0)+IF(54&gt;=B14,(C14*(1-E14))/(D14*12),0)</f>
        <v/>
      </c>
      <c r="BH19" s="44">
        <f>IF(55&gt;=B10,(C10*(1-E10))/(D10*12),0)+IF(55&gt;=B11,(C11*(1-E11))/(D11*12),0)+IF(55&gt;=B12,(C12*(1-E12))/(D12*12),0)+IF(55&gt;=B13,(C13*(1-E13))/(D13*12),0)+IF(55&gt;=B14,(C14*(1-E14))/(D14*12),0)</f>
        <v/>
      </c>
      <c r="BI19" s="44">
        <f>IF(56&gt;=B10,(C10*(1-E10))/(D10*12),0)+IF(56&gt;=B11,(C11*(1-E11))/(D11*12),0)+IF(56&gt;=B12,(C12*(1-E12))/(D12*12),0)+IF(56&gt;=B13,(C13*(1-E13))/(D13*12),0)+IF(56&gt;=B14,(C14*(1-E14))/(D14*12),0)</f>
        <v/>
      </c>
      <c r="BJ19" s="44">
        <f>IF(57&gt;=B10,(C10*(1-E10))/(D10*12),0)+IF(57&gt;=B11,(C11*(1-E11))/(D11*12),0)+IF(57&gt;=B12,(C12*(1-E12))/(D12*12),0)+IF(57&gt;=B13,(C13*(1-E13))/(D13*12),0)+IF(57&gt;=B14,(C14*(1-E14))/(D14*12),0)</f>
        <v/>
      </c>
      <c r="BK19" s="44">
        <f>IF(58&gt;=B10,(C10*(1-E10))/(D10*12),0)+IF(58&gt;=B11,(C11*(1-E11))/(D11*12),0)+IF(58&gt;=B12,(C12*(1-E12))/(D12*12),0)+IF(58&gt;=B13,(C13*(1-E13))/(D13*12),0)+IF(58&gt;=B14,(C14*(1-E14))/(D14*12),0)</f>
        <v/>
      </c>
      <c r="BL19" s="44">
        <f>IF(59&gt;=B10,(C10*(1-E10))/(D10*12),0)+IF(59&gt;=B11,(C11*(1-E11))/(D11*12),0)+IF(59&gt;=B12,(C12*(1-E12))/(D12*12),0)+IF(59&gt;=B13,(C13*(1-E13))/(D13*12),0)+IF(59&gt;=B14,(C14*(1-E14))/(D14*12),0)</f>
        <v/>
      </c>
      <c r="BM19" s="44">
        <f>IF(60&gt;=B10,(C10*(1-E10))/(D10*12),0)+IF(60&gt;=B11,(C11*(1-E11))/(D11*12),0)+IF(60&gt;=B12,(C12*(1-E12))/(D12*12),0)+IF(60&gt;=B13,(C13*(1-E13))/(D13*12),0)+IF(60&gt;=B14,(C14*(1-E14))/(D14*12),0)</f>
        <v/>
      </c>
      <c r="BN19" s="44">
        <f>IF(61&gt;=B10,(C10*(1-E10))/(D10*12),0)+IF(61&gt;=B11,(C11*(1-E11))/(D11*12),0)+IF(61&gt;=B12,(C12*(1-E12))/(D12*12),0)+IF(61&gt;=B13,(C13*(1-E13))/(D13*12),0)+IF(61&gt;=B14,(C14*(1-E14))/(D14*12),0)</f>
        <v/>
      </c>
      <c r="BO19" s="44">
        <f>IF(62&gt;=B10,(C10*(1-E10))/(D10*12),0)+IF(62&gt;=B11,(C11*(1-E11))/(D11*12),0)+IF(62&gt;=B12,(C12*(1-E12))/(D12*12),0)+IF(62&gt;=B13,(C13*(1-E13))/(D13*12),0)+IF(62&gt;=B14,(C14*(1-E14))/(D14*12),0)</f>
        <v/>
      </c>
      <c r="BP19" s="44">
        <f>IF(63&gt;=B10,(C10*(1-E10))/(D10*12),0)+IF(63&gt;=B11,(C11*(1-E11))/(D11*12),0)+IF(63&gt;=B12,(C12*(1-E12))/(D12*12),0)+IF(63&gt;=B13,(C13*(1-E13))/(D13*12),0)+IF(63&gt;=B14,(C14*(1-E14))/(D14*12),0)</f>
        <v/>
      </c>
      <c r="BQ19" s="44">
        <f>IF(64&gt;=B10,(C10*(1-E10))/(D10*12),0)+IF(64&gt;=B11,(C11*(1-E11))/(D11*12),0)+IF(64&gt;=B12,(C12*(1-E12))/(D12*12),0)+IF(64&gt;=B13,(C13*(1-E13))/(D13*12),0)+IF(64&gt;=B14,(C14*(1-E14))/(D14*12),0)</f>
        <v/>
      </c>
      <c r="BR19" s="44">
        <f>IF(65&gt;=B10,(C10*(1-E10))/(D10*12),0)+IF(65&gt;=B11,(C11*(1-E11))/(D11*12),0)+IF(65&gt;=B12,(C12*(1-E12))/(D12*12),0)+IF(65&gt;=B13,(C13*(1-E13))/(D13*12),0)+IF(65&gt;=B14,(C14*(1-E14))/(D14*12),0)</f>
        <v/>
      </c>
      <c r="BS19" s="44">
        <f>IF(66&gt;=B10,(C10*(1-E10))/(D10*12),0)+IF(66&gt;=B11,(C11*(1-E11))/(D11*12),0)+IF(66&gt;=B12,(C12*(1-E12))/(D12*12),0)+IF(66&gt;=B13,(C13*(1-E13))/(D13*12),0)+IF(66&gt;=B14,(C14*(1-E14))/(D14*12),0)</f>
        <v/>
      </c>
      <c r="BT19" s="44">
        <f>IF(67&gt;=B10,(C10*(1-E10))/(D10*12),0)+IF(67&gt;=B11,(C11*(1-E11))/(D11*12),0)+IF(67&gt;=B12,(C12*(1-E12))/(D12*12),0)+IF(67&gt;=B13,(C13*(1-E13))/(D13*12),0)+IF(67&gt;=B14,(C14*(1-E14))/(D14*12),0)</f>
        <v/>
      </c>
      <c r="BU19" s="44">
        <f>IF(68&gt;=B10,(C10*(1-E10))/(D10*12),0)+IF(68&gt;=B11,(C11*(1-E11))/(D11*12),0)+IF(68&gt;=B12,(C12*(1-E12))/(D12*12),0)+IF(68&gt;=B13,(C13*(1-E13))/(D13*12),0)+IF(68&gt;=B14,(C14*(1-E14))/(D14*12),0)</f>
        <v/>
      </c>
      <c r="BV19" s="44">
        <f>IF(69&gt;=B10,(C10*(1-E10))/(D10*12),0)+IF(69&gt;=B11,(C11*(1-E11))/(D11*12),0)+IF(69&gt;=B12,(C12*(1-E12))/(D12*12),0)+IF(69&gt;=B13,(C13*(1-E13))/(D13*12),0)+IF(69&gt;=B14,(C14*(1-E14))/(D14*12),0)</f>
        <v/>
      </c>
      <c r="BW19" s="44">
        <f>IF(70&gt;=B10,(C10*(1-E10))/(D10*12),0)+IF(70&gt;=B11,(C11*(1-E11))/(D11*12),0)+IF(70&gt;=B12,(C12*(1-E12))/(D12*12),0)+IF(70&gt;=B13,(C13*(1-E13))/(D13*12),0)+IF(70&gt;=B14,(C14*(1-E14))/(D14*12),0)</f>
        <v/>
      </c>
      <c r="BX19" s="44">
        <f>IF(71&gt;=B10,(C10*(1-E10))/(D10*12),0)+IF(71&gt;=B11,(C11*(1-E11))/(D11*12),0)+IF(71&gt;=B12,(C12*(1-E12))/(D12*12),0)+IF(71&gt;=B13,(C13*(1-E13))/(D13*12),0)+IF(71&gt;=B14,(C14*(1-E14))/(D14*12),0)</f>
        <v/>
      </c>
      <c r="BY19" s="44">
        <f>IF(72&gt;=B10,(C10*(1-E10))/(D10*12),0)+IF(72&gt;=B11,(C11*(1-E11))/(D11*12),0)+IF(72&gt;=B12,(C12*(1-E12))/(D12*12),0)+IF(72&gt;=B13,(C13*(1-E13))/(D13*12),0)+IF(72&gt;=B14,(C14*(1-E14))/(D14*12),0)</f>
        <v/>
      </c>
      <c r="BZ19" s="44">
        <f>IF(73&gt;=B10,(C10*(1-E10))/(D10*12),0)+IF(73&gt;=B11,(C11*(1-E11))/(D11*12),0)+IF(73&gt;=B12,(C12*(1-E12))/(D12*12),0)+IF(73&gt;=B13,(C13*(1-E13))/(D13*12),0)+IF(73&gt;=B14,(C14*(1-E14))/(D14*12),0)</f>
        <v/>
      </c>
      <c r="CA19" s="44">
        <f>IF(74&gt;=B10,(C10*(1-E10))/(D10*12),0)+IF(74&gt;=B11,(C11*(1-E11))/(D11*12),0)+IF(74&gt;=B12,(C12*(1-E12))/(D12*12),0)+IF(74&gt;=B13,(C13*(1-E13))/(D13*12),0)+IF(74&gt;=B14,(C14*(1-E14))/(D14*12),0)</f>
        <v/>
      </c>
      <c r="CB19" s="44">
        <f>IF(75&gt;=B10,(C10*(1-E10))/(D10*12),0)+IF(75&gt;=B11,(C11*(1-E11))/(D11*12),0)+IF(75&gt;=B12,(C12*(1-E12))/(D12*12),0)+IF(75&gt;=B13,(C13*(1-E13))/(D13*12),0)+IF(75&gt;=B14,(C14*(1-E14))/(D14*12),0)</f>
        <v/>
      </c>
      <c r="CC19" s="44">
        <f>IF(76&gt;=B10,(C10*(1-E10))/(D10*12),0)+IF(76&gt;=B11,(C11*(1-E11))/(D11*12),0)+IF(76&gt;=B12,(C12*(1-E12))/(D12*12),0)+IF(76&gt;=B13,(C13*(1-E13))/(D13*12),0)+IF(76&gt;=B14,(C14*(1-E14))/(D14*12),0)</f>
        <v/>
      </c>
      <c r="CD19" s="44">
        <f>IF(77&gt;=B10,(C10*(1-E10))/(D10*12),0)+IF(77&gt;=B11,(C11*(1-E11))/(D11*12),0)+IF(77&gt;=B12,(C12*(1-E12))/(D12*12),0)+IF(77&gt;=B13,(C13*(1-E13))/(D13*12),0)+IF(77&gt;=B14,(C14*(1-E14))/(D14*12),0)</f>
        <v/>
      </c>
      <c r="CE19" s="44">
        <f>IF(78&gt;=B10,(C10*(1-E10))/(D10*12),0)+IF(78&gt;=B11,(C11*(1-E11))/(D11*12),0)+IF(78&gt;=B12,(C12*(1-E12))/(D12*12),0)+IF(78&gt;=B13,(C13*(1-E13))/(D13*12),0)+IF(78&gt;=B14,(C14*(1-E14))/(D14*12),0)</f>
        <v/>
      </c>
      <c r="CF19" s="44">
        <f>IF(79&gt;=B10,(C10*(1-E10))/(D10*12),0)+IF(79&gt;=B11,(C11*(1-E11))/(D11*12),0)+IF(79&gt;=B12,(C12*(1-E12))/(D12*12),0)+IF(79&gt;=B13,(C13*(1-E13))/(D13*12),0)+IF(79&gt;=B14,(C14*(1-E14))/(D14*12),0)</f>
        <v/>
      </c>
      <c r="CG19" s="44">
        <f>IF(80&gt;=B10,(C10*(1-E10))/(D10*12),0)+IF(80&gt;=B11,(C11*(1-E11))/(D11*12),0)+IF(80&gt;=B12,(C12*(1-E12))/(D12*12),0)+IF(80&gt;=B13,(C13*(1-E13))/(D13*12),0)+IF(80&gt;=B14,(C14*(1-E14))/(D14*12),0)</f>
        <v/>
      </c>
      <c r="CH19" s="44">
        <f>IF(81&gt;=B10,(C10*(1-E10))/(D10*12),0)+IF(81&gt;=B11,(C11*(1-E11))/(D11*12),0)+IF(81&gt;=B12,(C12*(1-E12))/(D12*12),0)+IF(81&gt;=B13,(C13*(1-E13))/(D13*12),0)+IF(81&gt;=B14,(C14*(1-E14))/(D14*12),0)</f>
        <v/>
      </c>
      <c r="CI19" s="44">
        <f>IF(82&gt;=B10,(C10*(1-E10))/(D10*12),0)+IF(82&gt;=B11,(C11*(1-E11))/(D11*12),0)+IF(82&gt;=B12,(C12*(1-E12))/(D12*12),0)+IF(82&gt;=B13,(C13*(1-E13))/(D13*12),0)+IF(82&gt;=B14,(C14*(1-E14))/(D14*12),0)</f>
        <v/>
      </c>
      <c r="CJ19" s="44">
        <f>IF(83&gt;=B10,(C10*(1-E10))/(D10*12),0)+IF(83&gt;=B11,(C11*(1-E11))/(D11*12),0)+IF(83&gt;=B12,(C12*(1-E12))/(D12*12),0)+IF(83&gt;=B13,(C13*(1-E13))/(D13*12),0)+IF(83&gt;=B14,(C14*(1-E14))/(D14*12),0)</f>
        <v/>
      </c>
      <c r="CK19" s="44">
        <f>IF(84&gt;=B10,(C10*(1-E10))/(D10*12),0)+IF(84&gt;=B11,(C11*(1-E11))/(D11*12),0)+IF(84&gt;=B12,(C12*(1-E12))/(D12*12),0)+IF(84&gt;=B13,(C13*(1-E13))/(D13*12),0)+IF(84&gt;=B14,(C14*(1-E14))/(D14*12),0)</f>
        <v/>
      </c>
      <c r="CL19" s="44">
        <f>IF(85&gt;=B10,(C10*(1-E10))/(D10*12),0)+IF(85&gt;=B11,(C11*(1-E11))/(D11*12),0)+IF(85&gt;=B12,(C12*(1-E12))/(D12*12),0)+IF(85&gt;=B13,(C13*(1-E13))/(D13*12),0)+IF(85&gt;=B14,(C14*(1-E14))/(D14*12),0)</f>
        <v/>
      </c>
      <c r="CM19" s="44">
        <f>IF(86&gt;=B10,(C10*(1-E10))/(D10*12),0)+IF(86&gt;=B11,(C11*(1-E11))/(D11*12),0)+IF(86&gt;=B12,(C12*(1-E12))/(D12*12),0)+IF(86&gt;=B13,(C13*(1-E13))/(D13*12),0)+IF(86&gt;=B14,(C14*(1-E14))/(D14*12),0)</f>
        <v/>
      </c>
      <c r="CN19" s="44">
        <f>IF(87&gt;=B10,(C10*(1-E10))/(D10*12),0)+IF(87&gt;=B11,(C11*(1-E11))/(D11*12),0)+IF(87&gt;=B12,(C12*(1-E12))/(D12*12),0)+IF(87&gt;=B13,(C13*(1-E13))/(D13*12),0)+IF(87&gt;=B14,(C14*(1-E14))/(D14*12),0)</f>
        <v/>
      </c>
      <c r="CO19" s="44">
        <f>IF(88&gt;=B10,(C10*(1-E10))/(D10*12),0)+IF(88&gt;=B11,(C11*(1-E11))/(D11*12),0)+IF(88&gt;=B12,(C12*(1-E12))/(D12*12),0)+IF(88&gt;=B13,(C13*(1-E13))/(D13*12),0)+IF(88&gt;=B14,(C14*(1-E14))/(D14*12),0)</f>
        <v/>
      </c>
      <c r="CP19" s="44">
        <f>IF(89&gt;=B10,(C10*(1-E10))/(D10*12),0)+IF(89&gt;=B11,(C11*(1-E11))/(D11*12),0)+IF(89&gt;=B12,(C12*(1-E12))/(D12*12),0)+IF(89&gt;=B13,(C13*(1-E13))/(D13*12),0)+IF(89&gt;=B14,(C14*(1-E14))/(D14*12),0)</f>
        <v/>
      </c>
      <c r="CQ19" s="44">
        <f>IF(90&gt;=B10,(C10*(1-E10))/(D10*12),0)+IF(90&gt;=B11,(C11*(1-E11))/(D11*12),0)+IF(90&gt;=B12,(C12*(1-E12))/(D12*12),0)+IF(90&gt;=B13,(C13*(1-E13))/(D13*12),0)+IF(90&gt;=B14,(C14*(1-E14))/(D14*12),0)</f>
        <v/>
      </c>
      <c r="CR19" s="44">
        <f>IF(91&gt;=B10,(C10*(1-E10))/(D10*12),0)+IF(91&gt;=B11,(C11*(1-E11))/(D11*12),0)+IF(91&gt;=B12,(C12*(1-E12))/(D12*12),0)+IF(91&gt;=B13,(C13*(1-E13))/(D13*12),0)+IF(91&gt;=B14,(C14*(1-E14))/(D14*12),0)</f>
        <v/>
      </c>
      <c r="CS19" s="44">
        <f>IF(92&gt;=B10,(C10*(1-E10))/(D10*12),0)+IF(92&gt;=B11,(C11*(1-E11))/(D11*12),0)+IF(92&gt;=B12,(C12*(1-E12))/(D12*12),0)+IF(92&gt;=B13,(C13*(1-E13))/(D13*12),0)+IF(92&gt;=B14,(C14*(1-E14))/(D14*12),0)</f>
        <v/>
      </c>
      <c r="CT19" s="44">
        <f>IF(93&gt;=B10,(C10*(1-E10))/(D10*12),0)+IF(93&gt;=B11,(C11*(1-E11))/(D11*12),0)+IF(93&gt;=B12,(C12*(1-E12))/(D12*12),0)+IF(93&gt;=B13,(C13*(1-E13))/(D13*12),0)+IF(93&gt;=B14,(C14*(1-E14))/(D14*12),0)</f>
        <v/>
      </c>
      <c r="CU19" s="44">
        <f>IF(94&gt;=B10,(C10*(1-E10))/(D10*12),0)+IF(94&gt;=B11,(C11*(1-E11))/(D11*12),0)+IF(94&gt;=B12,(C12*(1-E12))/(D12*12),0)+IF(94&gt;=B13,(C13*(1-E13))/(D13*12),0)+IF(94&gt;=B14,(C14*(1-E14))/(D14*12),0)</f>
        <v/>
      </c>
      <c r="CV19" s="44">
        <f>IF(95&gt;=B10,(C10*(1-E10))/(D10*12),0)+IF(95&gt;=B11,(C11*(1-E11))/(D11*12),0)+IF(95&gt;=B12,(C12*(1-E12))/(D12*12),0)+IF(95&gt;=B13,(C13*(1-E13))/(D13*12),0)+IF(95&gt;=B14,(C14*(1-E14))/(D14*12),0)</f>
        <v/>
      </c>
      <c r="CW19" s="44">
        <f>IF(96&gt;=B10,(C10*(1-E10))/(D10*12),0)+IF(96&gt;=B11,(C11*(1-E11))/(D11*12),0)+IF(96&gt;=B12,(C12*(1-E12))/(D12*12),0)+IF(96&gt;=B13,(C13*(1-E13))/(D13*12),0)+IF(96&gt;=B14,(C14*(1-E14))/(D14*12),0)</f>
        <v/>
      </c>
      <c r="CX19" s="44">
        <f>IF(97&gt;=B10,(C10*(1-E10))/(D10*12),0)+IF(97&gt;=B11,(C11*(1-E11))/(D11*12),0)+IF(97&gt;=B12,(C12*(1-E12))/(D12*12),0)+IF(97&gt;=B13,(C13*(1-E13))/(D13*12),0)+IF(97&gt;=B14,(C14*(1-E14))/(D14*12),0)</f>
        <v/>
      </c>
      <c r="CY19" s="44">
        <f>IF(98&gt;=B10,(C10*(1-E10))/(D10*12),0)+IF(98&gt;=B11,(C11*(1-E11))/(D11*12),0)+IF(98&gt;=B12,(C12*(1-E12))/(D12*12),0)+IF(98&gt;=B13,(C13*(1-E13))/(D13*12),0)+IF(98&gt;=B14,(C14*(1-E14))/(D14*12),0)</f>
        <v/>
      </c>
      <c r="CZ19" s="44">
        <f>IF(99&gt;=B10,(C10*(1-E10))/(D10*12),0)+IF(99&gt;=B11,(C11*(1-E11))/(D11*12),0)+IF(99&gt;=B12,(C12*(1-E12))/(D12*12),0)+IF(99&gt;=B13,(C13*(1-E13))/(D13*12),0)+IF(99&gt;=B14,(C14*(1-E14))/(D14*12),0)</f>
        <v/>
      </c>
      <c r="DA19" s="44">
        <f>IF(100&gt;=B10,(C10*(1-E10))/(D10*12),0)+IF(100&gt;=B11,(C11*(1-E11))/(D11*12),0)+IF(100&gt;=B12,(C12*(1-E12))/(D12*12),0)+IF(100&gt;=B13,(C13*(1-E13))/(D13*12),0)+IF(100&gt;=B14,(C14*(1-E14))/(D14*12),0)</f>
        <v/>
      </c>
      <c r="DB19" s="44">
        <f>IF(101&gt;=B10,(C10*(1-E10))/(D10*12),0)+IF(101&gt;=B11,(C11*(1-E11))/(D11*12),0)+IF(101&gt;=B12,(C12*(1-E12))/(D12*12),0)+IF(101&gt;=B13,(C13*(1-E13))/(D13*12),0)+IF(101&gt;=B14,(C14*(1-E14))/(D14*12),0)</f>
        <v/>
      </c>
      <c r="DC19" s="44">
        <f>IF(102&gt;=B10,(C10*(1-E10))/(D10*12),0)+IF(102&gt;=B11,(C11*(1-E11))/(D11*12),0)+IF(102&gt;=B12,(C12*(1-E12))/(D12*12),0)+IF(102&gt;=B13,(C13*(1-E13))/(D13*12),0)+IF(102&gt;=B14,(C14*(1-E14))/(D14*12),0)</f>
        <v/>
      </c>
      <c r="DD19" s="44">
        <f>IF(103&gt;=B10,(C10*(1-E10))/(D10*12),0)+IF(103&gt;=B11,(C11*(1-E11))/(D11*12),0)+IF(103&gt;=B12,(C12*(1-E12))/(D12*12),0)+IF(103&gt;=B13,(C13*(1-E13))/(D13*12),0)+IF(103&gt;=B14,(C14*(1-E14))/(D14*12),0)</f>
        <v/>
      </c>
      <c r="DE19" s="44">
        <f>IF(104&gt;=B10,(C10*(1-E10))/(D10*12),0)+IF(104&gt;=B11,(C11*(1-E11))/(D11*12),0)+IF(104&gt;=B12,(C12*(1-E12))/(D12*12),0)+IF(104&gt;=B13,(C13*(1-E13))/(D13*12),0)+IF(104&gt;=B14,(C14*(1-E14))/(D14*12),0)</f>
        <v/>
      </c>
      <c r="DF19" s="44">
        <f>IF(105&gt;=B10,(C10*(1-E10))/(D10*12),0)+IF(105&gt;=B11,(C11*(1-E11))/(D11*12),0)+IF(105&gt;=B12,(C12*(1-E12))/(D12*12),0)+IF(105&gt;=B13,(C13*(1-E13))/(D13*12),0)+IF(105&gt;=B14,(C14*(1-E14))/(D14*12),0)</f>
        <v/>
      </c>
      <c r="DG19" s="44">
        <f>IF(106&gt;=B10,(C10*(1-E10))/(D10*12),0)+IF(106&gt;=B11,(C11*(1-E11))/(D11*12),0)+IF(106&gt;=B12,(C12*(1-E12))/(D12*12),0)+IF(106&gt;=B13,(C13*(1-E13))/(D13*12),0)+IF(106&gt;=B14,(C14*(1-E14))/(D14*12),0)</f>
        <v/>
      </c>
      <c r="DH19" s="44">
        <f>IF(107&gt;=B10,(C10*(1-E10))/(D10*12),0)+IF(107&gt;=B11,(C11*(1-E11))/(D11*12),0)+IF(107&gt;=B12,(C12*(1-E12))/(D12*12),0)+IF(107&gt;=B13,(C13*(1-E13))/(D13*12),0)+IF(107&gt;=B14,(C14*(1-E14))/(D14*12),0)</f>
        <v/>
      </c>
      <c r="DI19" s="44">
        <f>IF(108&gt;=B10,(C10*(1-E10))/(D10*12),0)+IF(108&gt;=B11,(C11*(1-E11))/(D11*12),0)+IF(108&gt;=B12,(C12*(1-E12))/(D12*12),0)+IF(108&gt;=B13,(C13*(1-E13))/(D13*12),0)+IF(108&gt;=B14,(C14*(1-E14))/(D14*12),0)</f>
        <v/>
      </c>
      <c r="DJ19" s="44">
        <f>IF(109&gt;=B10,(C10*(1-E10))/(D10*12),0)+IF(109&gt;=B11,(C11*(1-E11))/(D11*12),0)+IF(109&gt;=B12,(C12*(1-E12))/(D12*12),0)+IF(109&gt;=B13,(C13*(1-E13))/(D13*12),0)+IF(109&gt;=B14,(C14*(1-E14))/(D14*12),0)</f>
        <v/>
      </c>
      <c r="DK19" s="44">
        <f>IF(110&gt;=B10,(C10*(1-E10))/(D10*12),0)+IF(110&gt;=B11,(C11*(1-E11))/(D11*12),0)+IF(110&gt;=B12,(C12*(1-E12))/(D12*12),0)+IF(110&gt;=B13,(C13*(1-E13))/(D13*12),0)+IF(110&gt;=B14,(C14*(1-E14))/(D14*12),0)</f>
        <v/>
      </c>
      <c r="DL19" s="44">
        <f>IF(111&gt;=B10,(C10*(1-E10))/(D10*12),0)+IF(111&gt;=B11,(C11*(1-E11))/(D11*12),0)+IF(111&gt;=B12,(C12*(1-E12))/(D12*12),0)+IF(111&gt;=B13,(C13*(1-E13))/(D13*12),0)+IF(111&gt;=B14,(C14*(1-E14))/(D14*12),0)</f>
        <v/>
      </c>
      <c r="DM19" s="44">
        <f>IF(112&gt;=B10,(C10*(1-E10))/(D10*12),0)+IF(112&gt;=B11,(C11*(1-E11))/(D11*12),0)+IF(112&gt;=B12,(C12*(1-E12))/(D12*12),0)+IF(112&gt;=B13,(C13*(1-E13))/(D13*12),0)+IF(112&gt;=B14,(C14*(1-E14))/(D14*12),0)</f>
        <v/>
      </c>
      <c r="DN19" s="44">
        <f>IF(113&gt;=B10,(C10*(1-E10))/(D10*12),0)+IF(113&gt;=B11,(C11*(1-E11))/(D11*12),0)+IF(113&gt;=B12,(C12*(1-E12))/(D12*12),0)+IF(113&gt;=B13,(C13*(1-E13))/(D13*12),0)+IF(113&gt;=B14,(C14*(1-E14))/(D14*12),0)</f>
        <v/>
      </c>
      <c r="DO19" s="44">
        <f>IF(114&gt;=B10,(C10*(1-E10))/(D10*12),0)+IF(114&gt;=B11,(C11*(1-E11))/(D11*12),0)+IF(114&gt;=B12,(C12*(1-E12))/(D12*12),0)+IF(114&gt;=B13,(C13*(1-E13))/(D13*12),0)+IF(114&gt;=B14,(C14*(1-E14))/(D14*12),0)</f>
        <v/>
      </c>
      <c r="DP19" s="44">
        <f>IF(115&gt;=B10,(C10*(1-E10))/(D10*12),0)+IF(115&gt;=B11,(C11*(1-E11))/(D11*12),0)+IF(115&gt;=B12,(C12*(1-E12))/(D12*12),0)+IF(115&gt;=B13,(C13*(1-E13))/(D13*12),0)+IF(115&gt;=B14,(C14*(1-E14))/(D14*12),0)</f>
        <v/>
      </c>
      <c r="DQ19" s="44">
        <f>IF(116&gt;=B10,(C10*(1-E10))/(D10*12),0)+IF(116&gt;=B11,(C11*(1-E11))/(D11*12),0)+IF(116&gt;=B12,(C12*(1-E12))/(D12*12),0)+IF(116&gt;=B13,(C13*(1-E13))/(D13*12),0)+IF(116&gt;=B14,(C14*(1-E14))/(D14*12),0)</f>
        <v/>
      </c>
      <c r="DR19" s="44">
        <f>IF(117&gt;=B10,(C10*(1-E10))/(D10*12),0)+IF(117&gt;=B11,(C11*(1-E11))/(D11*12),0)+IF(117&gt;=B12,(C12*(1-E12))/(D12*12),0)+IF(117&gt;=B13,(C13*(1-E13))/(D13*12),0)+IF(117&gt;=B14,(C14*(1-E14))/(D14*12),0)</f>
        <v/>
      </c>
      <c r="DS19" s="44">
        <f>IF(118&gt;=B10,(C10*(1-E10))/(D10*12),0)+IF(118&gt;=B11,(C11*(1-E11))/(D11*12),0)+IF(118&gt;=B12,(C12*(1-E12))/(D12*12),0)+IF(118&gt;=B13,(C13*(1-E13))/(D13*12),0)+IF(118&gt;=B14,(C14*(1-E14))/(D14*12),0)</f>
        <v/>
      </c>
      <c r="DT19" s="44">
        <f>IF(119&gt;=B10,(C10*(1-E10))/(D10*12),0)+IF(119&gt;=B11,(C11*(1-E11))/(D11*12),0)+IF(119&gt;=B12,(C12*(1-E12))/(D12*12),0)+IF(119&gt;=B13,(C13*(1-E13))/(D13*12),0)+IF(119&gt;=B14,(C14*(1-E14))/(D14*12),0)</f>
        <v/>
      </c>
      <c r="DU19" s="44">
        <f>IF(120&gt;=B10,(C10*(1-E10))/(D10*12),0)+IF(120&gt;=B11,(C11*(1-E11))/(D11*12),0)+IF(120&gt;=B12,(C12*(1-E12))/(D12*12),0)+IF(120&gt;=B13,(C13*(1-E13))/(D13*12),0)+IF(120&gt;=B14,(C14*(1-E14))/(D14*12),0)</f>
        <v/>
      </c>
    </row>
    <row r="20">
      <c r="A20" t="inlineStr">
        <is>
          <t>Cumulative capex</t>
        </is>
      </c>
      <c r="F20" s="44">
        <f>F18</f>
        <v/>
      </c>
      <c r="G20" s="44">
        <f>F20+G18</f>
        <v/>
      </c>
      <c r="H20" s="44">
        <f>G20+H18</f>
        <v/>
      </c>
      <c r="I20" s="44">
        <f>H20+I18</f>
        <v/>
      </c>
      <c r="J20" s="44">
        <f>I20+J18</f>
        <v/>
      </c>
      <c r="K20" s="44">
        <f>J20+K18</f>
        <v/>
      </c>
      <c r="L20" s="44">
        <f>K20+L18</f>
        <v/>
      </c>
      <c r="M20" s="44">
        <f>L20+M18</f>
        <v/>
      </c>
      <c r="N20" s="44">
        <f>M20+N18</f>
        <v/>
      </c>
      <c r="O20" s="44">
        <f>N20+O18</f>
        <v/>
      </c>
      <c r="P20" s="44">
        <f>O20+P18</f>
        <v/>
      </c>
      <c r="Q20" s="44">
        <f>P20+Q18</f>
        <v/>
      </c>
      <c r="R20" s="44">
        <f>Q20+R18</f>
        <v/>
      </c>
      <c r="S20" s="44">
        <f>R20+S18</f>
        <v/>
      </c>
      <c r="T20" s="44">
        <f>S20+T18</f>
        <v/>
      </c>
      <c r="U20" s="44">
        <f>T20+U18</f>
        <v/>
      </c>
      <c r="V20" s="44">
        <f>U20+V18</f>
        <v/>
      </c>
      <c r="W20" s="44">
        <f>V20+W18</f>
        <v/>
      </c>
      <c r="X20" s="44">
        <f>W20+X18</f>
        <v/>
      </c>
      <c r="Y20" s="44">
        <f>X20+Y18</f>
        <v/>
      </c>
      <c r="Z20" s="44">
        <f>Y20+Z18</f>
        <v/>
      </c>
      <c r="AA20" s="44">
        <f>Z20+AA18</f>
        <v/>
      </c>
      <c r="AB20" s="44">
        <f>AA20+AB18</f>
        <v/>
      </c>
      <c r="AC20" s="44">
        <f>AB20+AC18</f>
        <v/>
      </c>
      <c r="AD20" s="44">
        <f>AC20+AD18</f>
        <v/>
      </c>
      <c r="AE20" s="44">
        <f>AD20+AE18</f>
        <v/>
      </c>
      <c r="AF20" s="44">
        <f>AE20+AF18</f>
        <v/>
      </c>
      <c r="AG20" s="44">
        <f>AF20+AG18</f>
        <v/>
      </c>
      <c r="AH20" s="44">
        <f>AG20+AH18</f>
        <v/>
      </c>
      <c r="AI20" s="44">
        <f>AH20+AI18</f>
        <v/>
      </c>
      <c r="AJ20" s="44">
        <f>AI20+AJ18</f>
        <v/>
      </c>
      <c r="AK20" s="44">
        <f>AJ20+AK18</f>
        <v/>
      </c>
      <c r="AL20" s="44">
        <f>AK20+AL18</f>
        <v/>
      </c>
      <c r="AM20" s="44">
        <f>AL20+AM18</f>
        <v/>
      </c>
      <c r="AN20" s="44">
        <f>AM20+AN18</f>
        <v/>
      </c>
      <c r="AO20" s="44">
        <f>AN20+AO18</f>
        <v/>
      </c>
      <c r="AP20" s="44">
        <f>AO20+AP18</f>
        <v/>
      </c>
      <c r="AQ20" s="44">
        <f>AP20+AQ18</f>
        <v/>
      </c>
      <c r="AR20" s="44">
        <f>AQ20+AR18</f>
        <v/>
      </c>
      <c r="AS20" s="44">
        <f>AR20+AS18</f>
        <v/>
      </c>
      <c r="AT20" s="44">
        <f>AS20+AT18</f>
        <v/>
      </c>
      <c r="AU20" s="44">
        <f>AT20+AU18</f>
        <v/>
      </c>
      <c r="AV20" s="44">
        <f>AU20+AV18</f>
        <v/>
      </c>
      <c r="AW20" s="44">
        <f>AV20+AW18</f>
        <v/>
      </c>
      <c r="AX20" s="44">
        <f>AW20+AX18</f>
        <v/>
      </c>
      <c r="AY20" s="44">
        <f>AX20+AY18</f>
        <v/>
      </c>
      <c r="AZ20" s="44">
        <f>AY20+AZ18</f>
        <v/>
      </c>
      <c r="BA20" s="44">
        <f>AZ20+BA18</f>
        <v/>
      </c>
      <c r="BB20" s="44">
        <f>BA20+BB18</f>
        <v/>
      </c>
      <c r="BC20" s="44">
        <f>BB20+BC18</f>
        <v/>
      </c>
      <c r="BD20" s="44">
        <f>BC20+BD18</f>
        <v/>
      </c>
      <c r="BE20" s="44">
        <f>BD20+BE18</f>
        <v/>
      </c>
      <c r="BF20" s="44">
        <f>BE20+BF18</f>
        <v/>
      </c>
      <c r="BG20" s="44">
        <f>BF20+BG18</f>
        <v/>
      </c>
      <c r="BH20" s="44">
        <f>BG20+BH18</f>
        <v/>
      </c>
      <c r="BI20" s="44">
        <f>BH20+BI18</f>
        <v/>
      </c>
      <c r="BJ20" s="44">
        <f>BI20+BJ18</f>
        <v/>
      </c>
      <c r="BK20" s="44">
        <f>BJ20+BK18</f>
        <v/>
      </c>
      <c r="BL20" s="44">
        <f>BK20+BL18</f>
        <v/>
      </c>
      <c r="BM20" s="44">
        <f>BL20+BM18</f>
        <v/>
      </c>
      <c r="BN20" s="44">
        <f>BM20+BN18</f>
        <v/>
      </c>
      <c r="BO20" s="44">
        <f>BN20+BO18</f>
        <v/>
      </c>
      <c r="BP20" s="44">
        <f>BO20+BP18</f>
        <v/>
      </c>
      <c r="BQ20" s="44">
        <f>BP20+BQ18</f>
        <v/>
      </c>
      <c r="BR20" s="44">
        <f>BQ20+BR18</f>
        <v/>
      </c>
      <c r="BS20" s="44">
        <f>BR20+BS18</f>
        <v/>
      </c>
      <c r="BT20" s="44">
        <f>BS20+BT18</f>
        <v/>
      </c>
      <c r="BU20" s="44">
        <f>BT20+BU18</f>
        <v/>
      </c>
      <c r="BV20" s="44">
        <f>BU20+BV18</f>
        <v/>
      </c>
      <c r="BW20" s="44">
        <f>BV20+BW18</f>
        <v/>
      </c>
      <c r="BX20" s="44">
        <f>BW20+BX18</f>
        <v/>
      </c>
      <c r="BY20" s="44">
        <f>BX20+BY18</f>
        <v/>
      </c>
      <c r="BZ20" s="44">
        <f>BY20+BZ18</f>
        <v/>
      </c>
      <c r="CA20" s="44">
        <f>BZ20+CA18</f>
        <v/>
      </c>
      <c r="CB20" s="44">
        <f>CA20+CB18</f>
        <v/>
      </c>
      <c r="CC20" s="44">
        <f>CB20+CC18</f>
        <v/>
      </c>
      <c r="CD20" s="44">
        <f>CC20+CD18</f>
        <v/>
      </c>
      <c r="CE20" s="44">
        <f>CD20+CE18</f>
        <v/>
      </c>
      <c r="CF20" s="44">
        <f>CE20+CF18</f>
        <v/>
      </c>
      <c r="CG20" s="44">
        <f>CF20+CG18</f>
        <v/>
      </c>
      <c r="CH20" s="44">
        <f>CG20+CH18</f>
        <v/>
      </c>
      <c r="CI20" s="44">
        <f>CH20+CI18</f>
        <v/>
      </c>
      <c r="CJ20" s="44">
        <f>CI20+CJ18</f>
        <v/>
      </c>
      <c r="CK20" s="44">
        <f>CJ20+CK18</f>
        <v/>
      </c>
      <c r="CL20" s="44">
        <f>CK20+CL18</f>
        <v/>
      </c>
      <c r="CM20" s="44">
        <f>CL20+CM18</f>
        <v/>
      </c>
      <c r="CN20" s="44">
        <f>CM20+CN18</f>
        <v/>
      </c>
      <c r="CO20" s="44">
        <f>CN20+CO18</f>
        <v/>
      </c>
      <c r="CP20" s="44">
        <f>CO20+CP18</f>
        <v/>
      </c>
      <c r="CQ20" s="44">
        <f>CP20+CQ18</f>
        <v/>
      </c>
      <c r="CR20" s="44">
        <f>CQ20+CR18</f>
        <v/>
      </c>
      <c r="CS20" s="44">
        <f>CR20+CS18</f>
        <v/>
      </c>
      <c r="CT20" s="44">
        <f>CS20+CT18</f>
        <v/>
      </c>
      <c r="CU20" s="44">
        <f>CT20+CU18</f>
        <v/>
      </c>
      <c r="CV20" s="44">
        <f>CU20+CV18</f>
        <v/>
      </c>
      <c r="CW20" s="44">
        <f>CV20+CW18</f>
        <v/>
      </c>
      <c r="CX20" s="44">
        <f>CW20+CX18</f>
        <v/>
      </c>
      <c r="CY20" s="44">
        <f>CX20+CY18</f>
        <v/>
      </c>
      <c r="CZ20" s="44">
        <f>CY20+CZ18</f>
        <v/>
      </c>
      <c r="DA20" s="44">
        <f>CZ20+DA18</f>
        <v/>
      </c>
      <c r="DB20" s="44">
        <f>DA20+DB18</f>
        <v/>
      </c>
      <c r="DC20" s="44">
        <f>DB20+DC18</f>
        <v/>
      </c>
      <c r="DD20" s="44">
        <f>DC20+DD18</f>
        <v/>
      </c>
      <c r="DE20" s="44">
        <f>DD20+DE18</f>
        <v/>
      </c>
      <c r="DF20" s="44">
        <f>DE20+DF18</f>
        <v/>
      </c>
      <c r="DG20" s="44">
        <f>DF20+DG18</f>
        <v/>
      </c>
      <c r="DH20" s="44">
        <f>DG20+DH18</f>
        <v/>
      </c>
      <c r="DI20" s="44">
        <f>DH20+DI18</f>
        <v/>
      </c>
      <c r="DJ20" s="44">
        <f>DI20+DJ18</f>
        <v/>
      </c>
      <c r="DK20" s="44">
        <f>DJ20+DK18</f>
        <v/>
      </c>
      <c r="DL20" s="44">
        <f>DK20+DL18</f>
        <v/>
      </c>
      <c r="DM20" s="44">
        <f>DL20+DM18</f>
        <v/>
      </c>
      <c r="DN20" s="44">
        <f>DM20+DN18</f>
        <v/>
      </c>
      <c r="DO20" s="44">
        <f>DN20+DO18</f>
        <v/>
      </c>
      <c r="DP20" s="44">
        <f>DO20+DP18</f>
        <v/>
      </c>
      <c r="DQ20" s="44">
        <f>DP20+DQ18</f>
        <v/>
      </c>
      <c r="DR20" s="44">
        <f>DQ20+DR18</f>
        <v/>
      </c>
      <c r="DS20" s="44">
        <f>DR20+DS18</f>
        <v/>
      </c>
      <c r="DT20" s="44">
        <f>DS20+DT18</f>
        <v/>
      </c>
      <c r="DU20" s="44">
        <f>DT20+DU18</f>
        <v/>
      </c>
    </row>
    <row r="21">
      <c r="A21" t="inlineStr">
        <is>
          <t>Cumulative depreciation</t>
        </is>
      </c>
      <c r="F21" s="44">
        <f>F19</f>
        <v/>
      </c>
      <c r="G21" s="44">
        <f>F21+G19</f>
        <v/>
      </c>
      <c r="H21" s="44">
        <f>G21+H19</f>
        <v/>
      </c>
      <c r="I21" s="44">
        <f>H21+I19</f>
        <v/>
      </c>
      <c r="J21" s="44">
        <f>I21+J19</f>
        <v/>
      </c>
      <c r="K21" s="44">
        <f>J21+K19</f>
        <v/>
      </c>
      <c r="L21" s="44">
        <f>K21+L19</f>
        <v/>
      </c>
      <c r="M21" s="44">
        <f>L21+M19</f>
        <v/>
      </c>
      <c r="N21" s="44">
        <f>M21+N19</f>
        <v/>
      </c>
      <c r="O21" s="44">
        <f>N21+O19</f>
        <v/>
      </c>
      <c r="P21" s="44">
        <f>O21+P19</f>
        <v/>
      </c>
      <c r="Q21" s="44">
        <f>P21+Q19</f>
        <v/>
      </c>
      <c r="R21" s="44">
        <f>Q21+R19</f>
        <v/>
      </c>
      <c r="S21" s="44">
        <f>R21+S19</f>
        <v/>
      </c>
      <c r="T21" s="44">
        <f>S21+T19</f>
        <v/>
      </c>
      <c r="U21" s="44">
        <f>T21+U19</f>
        <v/>
      </c>
      <c r="V21" s="44">
        <f>U21+V19</f>
        <v/>
      </c>
      <c r="W21" s="44">
        <f>V21+W19</f>
        <v/>
      </c>
      <c r="X21" s="44">
        <f>W21+X19</f>
        <v/>
      </c>
      <c r="Y21" s="44">
        <f>X21+Y19</f>
        <v/>
      </c>
      <c r="Z21" s="44">
        <f>Y21+Z19</f>
        <v/>
      </c>
      <c r="AA21" s="44">
        <f>Z21+AA19</f>
        <v/>
      </c>
      <c r="AB21" s="44">
        <f>AA21+AB19</f>
        <v/>
      </c>
      <c r="AC21" s="44">
        <f>AB21+AC19</f>
        <v/>
      </c>
      <c r="AD21" s="44">
        <f>AC21+AD19</f>
        <v/>
      </c>
      <c r="AE21" s="44">
        <f>AD21+AE19</f>
        <v/>
      </c>
      <c r="AF21" s="44">
        <f>AE21+AF19</f>
        <v/>
      </c>
      <c r="AG21" s="44">
        <f>AF21+AG19</f>
        <v/>
      </c>
      <c r="AH21" s="44">
        <f>AG21+AH19</f>
        <v/>
      </c>
      <c r="AI21" s="44">
        <f>AH21+AI19</f>
        <v/>
      </c>
      <c r="AJ21" s="44">
        <f>AI21+AJ19</f>
        <v/>
      </c>
      <c r="AK21" s="44">
        <f>AJ21+AK19</f>
        <v/>
      </c>
      <c r="AL21" s="44">
        <f>AK21+AL19</f>
        <v/>
      </c>
      <c r="AM21" s="44">
        <f>AL21+AM19</f>
        <v/>
      </c>
      <c r="AN21" s="44">
        <f>AM21+AN19</f>
        <v/>
      </c>
      <c r="AO21" s="44">
        <f>AN21+AO19</f>
        <v/>
      </c>
      <c r="AP21" s="44">
        <f>AO21+AP19</f>
        <v/>
      </c>
      <c r="AQ21" s="44">
        <f>AP21+AQ19</f>
        <v/>
      </c>
      <c r="AR21" s="44">
        <f>AQ21+AR19</f>
        <v/>
      </c>
      <c r="AS21" s="44">
        <f>AR21+AS19</f>
        <v/>
      </c>
      <c r="AT21" s="44">
        <f>AS21+AT19</f>
        <v/>
      </c>
      <c r="AU21" s="44">
        <f>AT21+AU19</f>
        <v/>
      </c>
      <c r="AV21" s="44">
        <f>AU21+AV19</f>
        <v/>
      </c>
      <c r="AW21" s="44">
        <f>AV21+AW19</f>
        <v/>
      </c>
      <c r="AX21" s="44">
        <f>AW21+AX19</f>
        <v/>
      </c>
      <c r="AY21" s="44">
        <f>AX21+AY19</f>
        <v/>
      </c>
      <c r="AZ21" s="44">
        <f>AY21+AZ19</f>
        <v/>
      </c>
      <c r="BA21" s="44">
        <f>AZ21+BA19</f>
        <v/>
      </c>
      <c r="BB21" s="44">
        <f>BA21+BB19</f>
        <v/>
      </c>
      <c r="BC21" s="44">
        <f>BB21+BC19</f>
        <v/>
      </c>
      <c r="BD21" s="44">
        <f>BC21+BD19</f>
        <v/>
      </c>
      <c r="BE21" s="44">
        <f>BD21+BE19</f>
        <v/>
      </c>
      <c r="BF21" s="44">
        <f>BE21+BF19</f>
        <v/>
      </c>
      <c r="BG21" s="44">
        <f>BF21+BG19</f>
        <v/>
      </c>
      <c r="BH21" s="44">
        <f>BG21+BH19</f>
        <v/>
      </c>
      <c r="BI21" s="44">
        <f>BH21+BI19</f>
        <v/>
      </c>
      <c r="BJ21" s="44">
        <f>BI21+BJ19</f>
        <v/>
      </c>
      <c r="BK21" s="44">
        <f>BJ21+BK19</f>
        <v/>
      </c>
      <c r="BL21" s="44">
        <f>BK21+BL19</f>
        <v/>
      </c>
      <c r="BM21" s="44">
        <f>BL21+BM19</f>
        <v/>
      </c>
      <c r="BN21" s="44">
        <f>BM21+BN19</f>
        <v/>
      </c>
      <c r="BO21" s="44">
        <f>BN21+BO19</f>
        <v/>
      </c>
      <c r="BP21" s="44">
        <f>BO21+BP19</f>
        <v/>
      </c>
      <c r="BQ21" s="44">
        <f>BP21+BQ19</f>
        <v/>
      </c>
      <c r="BR21" s="44">
        <f>BQ21+BR19</f>
        <v/>
      </c>
      <c r="BS21" s="44">
        <f>BR21+BS19</f>
        <v/>
      </c>
      <c r="BT21" s="44">
        <f>BS21+BT19</f>
        <v/>
      </c>
      <c r="BU21" s="44">
        <f>BT21+BU19</f>
        <v/>
      </c>
      <c r="BV21" s="44">
        <f>BU21+BV19</f>
        <v/>
      </c>
      <c r="BW21" s="44">
        <f>BV21+BW19</f>
        <v/>
      </c>
      <c r="BX21" s="44">
        <f>BW21+BX19</f>
        <v/>
      </c>
      <c r="BY21" s="44">
        <f>BX21+BY19</f>
        <v/>
      </c>
      <c r="BZ21" s="44">
        <f>BY21+BZ19</f>
        <v/>
      </c>
      <c r="CA21" s="44">
        <f>BZ21+CA19</f>
        <v/>
      </c>
      <c r="CB21" s="44">
        <f>CA21+CB19</f>
        <v/>
      </c>
      <c r="CC21" s="44">
        <f>CB21+CC19</f>
        <v/>
      </c>
      <c r="CD21" s="44">
        <f>CC21+CD19</f>
        <v/>
      </c>
      <c r="CE21" s="44">
        <f>CD21+CE19</f>
        <v/>
      </c>
      <c r="CF21" s="44">
        <f>CE21+CF19</f>
        <v/>
      </c>
      <c r="CG21" s="44">
        <f>CF21+CG19</f>
        <v/>
      </c>
      <c r="CH21" s="44">
        <f>CG21+CH19</f>
        <v/>
      </c>
      <c r="CI21" s="44">
        <f>CH21+CI19</f>
        <v/>
      </c>
      <c r="CJ21" s="44">
        <f>CI21+CJ19</f>
        <v/>
      </c>
      <c r="CK21" s="44">
        <f>CJ21+CK19</f>
        <v/>
      </c>
      <c r="CL21" s="44">
        <f>CK21+CL19</f>
        <v/>
      </c>
      <c r="CM21" s="44">
        <f>CL21+CM19</f>
        <v/>
      </c>
      <c r="CN21" s="44">
        <f>CM21+CN19</f>
        <v/>
      </c>
      <c r="CO21" s="44">
        <f>CN21+CO19</f>
        <v/>
      </c>
      <c r="CP21" s="44">
        <f>CO21+CP19</f>
        <v/>
      </c>
      <c r="CQ21" s="44">
        <f>CP21+CQ19</f>
        <v/>
      </c>
      <c r="CR21" s="44">
        <f>CQ21+CR19</f>
        <v/>
      </c>
      <c r="CS21" s="44">
        <f>CR21+CS19</f>
        <v/>
      </c>
      <c r="CT21" s="44">
        <f>CS21+CT19</f>
        <v/>
      </c>
      <c r="CU21" s="44">
        <f>CT21+CU19</f>
        <v/>
      </c>
      <c r="CV21" s="44">
        <f>CU21+CV19</f>
        <v/>
      </c>
      <c r="CW21" s="44">
        <f>CV21+CW19</f>
        <v/>
      </c>
      <c r="CX21" s="44">
        <f>CW21+CX19</f>
        <v/>
      </c>
      <c r="CY21" s="44">
        <f>CX21+CY19</f>
        <v/>
      </c>
      <c r="CZ21" s="44">
        <f>CY21+CZ19</f>
        <v/>
      </c>
      <c r="DA21" s="44">
        <f>CZ21+DA19</f>
        <v/>
      </c>
      <c r="DB21" s="44">
        <f>DA21+DB19</f>
        <v/>
      </c>
      <c r="DC21" s="44">
        <f>DB21+DC19</f>
        <v/>
      </c>
      <c r="DD21" s="44">
        <f>DC21+DD19</f>
        <v/>
      </c>
      <c r="DE21" s="44">
        <f>DD21+DE19</f>
        <v/>
      </c>
      <c r="DF21" s="44">
        <f>DE21+DF19</f>
        <v/>
      </c>
      <c r="DG21" s="44">
        <f>DF21+DG19</f>
        <v/>
      </c>
      <c r="DH21" s="44">
        <f>DG21+DH19</f>
        <v/>
      </c>
      <c r="DI21" s="44">
        <f>DH21+DI19</f>
        <v/>
      </c>
      <c r="DJ21" s="44">
        <f>DI21+DJ19</f>
        <v/>
      </c>
      <c r="DK21" s="44">
        <f>DJ21+DK19</f>
        <v/>
      </c>
      <c r="DL21" s="44">
        <f>DK21+DL19</f>
        <v/>
      </c>
      <c r="DM21" s="44">
        <f>DL21+DM19</f>
        <v/>
      </c>
      <c r="DN21" s="44">
        <f>DM21+DN19</f>
        <v/>
      </c>
      <c r="DO21" s="44">
        <f>DN21+DO19</f>
        <v/>
      </c>
      <c r="DP21" s="44">
        <f>DO21+DP19</f>
        <v/>
      </c>
      <c r="DQ21" s="44">
        <f>DP21+DQ19</f>
        <v/>
      </c>
      <c r="DR21" s="44">
        <f>DQ21+DR19</f>
        <v/>
      </c>
      <c r="DS21" s="44">
        <f>DR21+DS19</f>
        <v/>
      </c>
      <c r="DT21" s="44">
        <f>DS21+DT19</f>
        <v/>
      </c>
      <c r="DU21" s="44">
        <f>DT21+DU19</f>
        <v/>
      </c>
    </row>
    <row r="22">
      <c r="A22" t="inlineStr">
        <is>
          <t>Net book value</t>
        </is>
      </c>
      <c r="F22" s="45">
        <f>F20-F21</f>
        <v/>
      </c>
      <c r="G22" s="45">
        <f>G20-G21</f>
        <v/>
      </c>
      <c r="H22" s="45">
        <f>H20-H21</f>
        <v/>
      </c>
      <c r="I22" s="45">
        <f>I20-I21</f>
        <v/>
      </c>
      <c r="J22" s="45">
        <f>J20-J21</f>
        <v/>
      </c>
      <c r="K22" s="45">
        <f>K20-K21</f>
        <v/>
      </c>
      <c r="L22" s="45">
        <f>L20-L21</f>
        <v/>
      </c>
      <c r="M22" s="45">
        <f>M20-M21</f>
        <v/>
      </c>
      <c r="N22" s="45">
        <f>N20-N21</f>
        <v/>
      </c>
      <c r="O22" s="45">
        <f>O20-O21</f>
        <v/>
      </c>
      <c r="P22" s="45">
        <f>P20-P21</f>
        <v/>
      </c>
      <c r="Q22" s="45">
        <f>Q20-Q21</f>
        <v/>
      </c>
      <c r="R22" s="45">
        <f>R20-R21</f>
        <v/>
      </c>
      <c r="S22" s="45">
        <f>S20-S21</f>
        <v/>
      </c>
      <c r="T22" s="45">
        <f>T20-T21</f>
        <v/>
      </c>
      <c r="U22" s="45">
        <f>U20-U21</f>
        <v/>
      </c>
      <c r="V22" s="45">
        <f>V20-V21</f>
        <v/>
      </c>
      <c r="W22" s="45">
        <f>W20-W21</f>
        <v/>
      </c>
      <c r="X22" s="45">
        <f>X20-X21</f>
        <v/>
      </c>
      <c r="Y22" s="45">
        <f>Y20-Y21</f>
        <v/>
      </c>
      <c r="Z22" s="45">
        <f>Z20-Z21</f>
        <v/>
      </c>
      <c r="AA22" s="45">
        <f>AA20-AA21</f>
        <v/>
      </c>
      <c r="AB22" s="45">
        <f>AB20-AB21</f>
        <v/>
      </c>
      <c r="AC22" s="45">
        <f>AC20-AC21</f>
        <v/>
      </c>
      <c r="AD22" s="45">
        <f>AD20-AD21</f>
        <v/>
      </c>
      <c r="AE22" s="45">
        <f>AE20-AE21</f>
        <v/>
      </c>
      <c r="AF22" s="45">
        <f>AF20-AF21</f>
        <v/>
      </c>
      <c r="AG22" s="45">
        <f>AG20-AG21</f>
        <v/>
      </c>
      <c r="AH22" s="45">
        <f>AH20-AH21</f>
        <v/>
      </c>
      <c r="AI22" s="45">
        <f>AI20-AI21</f>
        <v/>
      </c>
      <c r="AJ22" s="45">
        <f>AJ20-AJ21</f>
        <v/>
      </c>
      <c r="AK22" s="45">
        <f>AK20-AK21</f>
        <v/>
      </c>
      <c r="AL22" s="45">
        <f>AL20-AL21</f>
        <v/>
      </c>
      <c r="AM22" s="45">
        <f>AM20-AM21</f>
        <v/>
      </c>
      <c r="AN22" s="45">
        <f>AN20-AN21</f>
        <v/>
      </c>
      <c r="AO22" s="45">
        <f>AO20-AO21</f>
        <v/>
      </c>
      <c r="AP22" s="45">
        <f>AP20-AP21</f>
        <v/>
      </c>
      <c r="AQ22" s="45">
        <f>AQ20-AQ21</f>
        <v/>
      </c>
      <c r="AR22" s="45">
        <f>AR20-AR21</f>
        <v/>
      </c>
      <c r="AS22" s="45">
        <f>AS20-AS21</f>
        <v/>
      </c>
      <c r="AT22" s="45">
        <f>AT20-AT21</f>
        <v/>
      </c>
      <c r="AU22" s="45">
        <f>AU20-AU21</f>
        <v/>
      </c>
      <c r="AV22" s="45">
        <f>AV20-AV21</f>
        <v/>
      </c>
      <c r="AW22" s="45">
        <f>AW20-AW21</f>
        <v/>
      </c>
      <c r="AX22" s="45">
        <f>AX20-AX21</f>
        <v/>
      </c>
      <c r="AY22" s="45">
        <f>AY20-AY21</f>
        <v/>
      </c>
      <c r="AZ22" s="45">
        <f>AZ20-AZ21</f>
        <v/>
      </c>
      <c r="BA22" s="45">
        <f>BA20-BA21</f>
        <v/>
      </c>
      <c r="BB22" s="45">
        <f>BB20-BB21</f>
        <v/>
      </c>
      <c r="BC22" s="45">
        <f>BC20-BC21</f>
        <v/>
      </c>
      <c r="BD22" s="45">
        <f>BD20-BD21</f>
        <v/>
      </c>
      <c r="BE22" s="45">
        <f>BE20-BE21</f>
        <v/>
      </c>
      <c r="BF22" s="45">
        <f>BF20-BF21</f>
        <v/>
      </c>
      <c r="BG22" s="45">
        <f>BG20-BG21</f>
        <v/>
      </c>
      <c r="BH22" s="45">
        <f>BH20-BH21</f>
        <v/>
      </c>
      <c r="BI22" s="45">
        <f>BI20-BI21</f>
        <v/>
      </c>
      <c r="BJ22" s="45">
        <f>BJ20-BJ21</f>
        <v/>
      </c>
      <c r="BK22" s="45">
        <f>BK20-BK21</f>
        <v/>
      </c>
      <c r="BL22" s="45">
        <f>BL20-BL21</f>
        <v/>
      </c>
      <c r="BM22" s="45">
        <f>BM20-BM21</f>
        <v/>
      </c>
      <c r="BN22" s="45">
        <f>BN20-BN21</f>
        <v/>
      </c>
      <c r="BO22" s="45">
        <f>BO20-BO21</f>
        <v/>
      </c>
      <c r="BP22" s="45">
        <f>BP20-BP21</f>
        <v/>
      </c>
      <c r="BQ22" s="45">
        <f>BQ20-BQ21</f>
        <v/>
      </c>
      <c r="BR22" s="45">
        <f>BR20-BR21</f>
        <v/>
      </c>
      <c r="BS22" s="45">
        <f>BS20-BS21</f>
        <v/>
      </c>
      <c r="BT22" s="45">
        <f>BT20-BT21</f>
        <v/>
      </c>
      <c r="BU22" s="45">
        <f>BU20-BU21</f>
        <v/>
      </c>
      <c r="BV22" s="45">
        <f>BV20-BV21</f>
        <v/>
      </c>
      <c r="BW22" s="45">
        <f>BW20-BW21</f>
        <v/>
      </c>
      <c r="BX22" s="45">
        <f>BX20-BX21</f>
        <v/>
      </c>
      <c r="BY22" s="45">
        <f>BY20-BY21</f>
        <v/>
      </c>
      <c r="BZ22" s="45">
        <f>BZ20-BZ21</f>
        <v/>
      </c>
      <c r="CA22" s="45">
        <f>CA20-CA21</f>
        <v/>
      </c>
      <c r="CB22" s="45">
        <f>CB20-CB21</f>
        <v/>
      </c>
      <c r="CC22" s="45">
        <f>CC20-CC21</f>
        <v/>
      </c>
      <c r="CD22" s="45">
        <f>CD20-CD21</f>
        <v/>
      </c>
      <c r="CE22" s="45">
        <f>CE20-CE21</f>
        <v/>
      </c>
      <c r="CF22" s="45">
        <f>CF20-CF21</f>
        <v/>
      </c>
      <c r="CG22" s="45">
        <f>CG20-CG21</f>
        <v/>
      </c>
      <c r="CH22" s="45">
        <f>CH20-CH21</f>
        <v/>
      </c>
      <c r="CI22" s="45">
        <f>CI20-CI21</f>
        <v/>
      </c>
      <c r="CJ22" s="45">
        <f>CJ20-CJ21</f>
        <v/>
      </c>
      <c r="CK22" s="45">
        <f>CK20-CK21</f>
        <v/>
      </c>
      <c r="CL22" s="45">
        <f>CL20-CL21</f>
        <v/>
      </c>
      <c r="CM22" s="45">
        <f>CM20-CM21</f>
        <v/>
      </c>
      <c r="CN22" s="45">
        <f>CN20-CN21</f>
        <v/>
      </c>
      <c r="CO22" s="45">
        <f>CO20-CO21</f>
        <v/>
      </c>
      <c r="CP22" s="45">
        <f>CP20-CP21</f>
        <v/>
      </c>
      <c r="CQ22" s="45">
        <f>CQ20-CQ21</f>
        <v/>
      </c>
      <c r="CR22" s="45">
        <f>CR20-CR21</f>
        <v/>
      </c>
      <c r="CS22" s="45">
        <f>CS20-CS21</f>
        <v/>
      </c>
      <c r="CT22" s="45">
        <f>CT20-CT21</f>
        <v/>
      </c>
      <c r="CU22" s="45">
        <f>CU20-CU21</f>
        <v/>
      </c>
      <c r="CV22" s="45">
        <f>CV20-CV21</f>
        <v/>
      </c>
      <c r="CW22" s="45">
        <f>CW20-CW21</f>
        <v/>
      </c>
      <c r="CX22" s="45">
        <f>CX20-CX21</f>
        <v/>
      </c>
      <c r="CY22" s="45">
        <f>CY20-CY21</f>
        <v/>
      </c>
      <c r="CZ22" s="45">
        <f>CZ20-CZ21</f>
        <v/>
      </c>
      <c r="DA22" s="45">
        <f>DA20-DA21</f>
        <v/>
      </c>
      <c r="DB22" s="45">
        <f>DB20-DB21</f>
        <v/>
      </c>
      <c r="DC22" s="45">
        <f>DC20-DC21</f>
        <v/>
      </c>
      <c r="DD22" s="45">
        <f>DD20-DD21</f>
        <v/>
      </c>
      <c r="DE22" s="45">
        <f>DE20-DE21</f>
        <v/>
      </c>
      <c r="DF22" s="45">
        <f>DF20-DF21</f>
        <v/>
      </c>
      <c r="DG22" s="45">
        <f>DG20-DG21</f>
        <v/>
      </c>
      <c r="DH22" s="45">
        <f>DH20-DH21</f>
        <v/>
      </c>
      <c r="DI22" s="45">
        <f>DI20-DI21</f>
        <v/>
      </c>
      <c r="DJ22" s="45">
        <f>DJ20-DJ21</f>
        <v/>
      </c>
      <c r="DK22" s="45">
        <f>DK20-DK21</f>
        <v/>
      </c>
      <c r="DL22" s="45">
        <f>DL20-DL21</f>
        <v/>
      </c>
      <c r="DM22" s="45">
        <f>DM20-DM21</f>
        <v/>
      </c>
      <c r="DN22" s="45">
        <f>DN20-DN21</f>
        <v/>
      </c>
      <c r="DO22" s="45">
        <f>DO20-DO21</f>
        <v/>
      </c>
      <c r="DP22" s="45">
        <f>DP20-DP21</f>
        <v/>
      </c>
      <c r="DQ22" s="45">
        <f>DQ20-DQ21</f>
        <v/>
      </c>
      <c r="DR22" s="45">
        <f>DR20-DR21</f>
        <v/>
      </c>
      <c r="DS22" s="45">
        <f>DS20-DS21</f>
        <v/>
      </c>
      <c r="DT22" s="45">
        <f>DT20-DT21</f>
        <v/>
      </c>
      <c r="DU22" s="45">
        <f>DU20-DU21</f>
        <v/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U15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</cols>
  <sheetData>
    <row r="1" ht="25" customHeight="1">
      <c r="A1" s="1" t="inlineStr">
        <is>
          <t>WORKING CAPITAL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8">
      <c r="A8" s="11" t="inlineStr">
        <is>
          <t>Working Capital Days</t>
        </is>
      </c>
    </row>
    <row r="9">
      <c r="A9" s="12" t="inlineStr"/>
      <c r="B9" s="12" t="inlineStr">
        <is>
          <t>Base</t>
        </is>
      </c>
      <c r="C9" s="12" t="inlineStr">
        <is>
          <t>Upside</t>
        </is>
      </c>
      <c r="D9" s="12" t="inlineStr">
        <is>
          <t>Downside</t>
        </is>
      </c>
      <c r="E9" s="12" t="inlineStr">
        <is>
          <t>Active</t>
        </is>
      </c>
    </row>
    <row r="10">
      <c r="A10" t="inlineStr">
        <is>
          <t>Inventory days (total)</t>
        </is>
      </c>
      <c r="B10" s="5" t="n">
        <v>66</v>
      </c>
      <c r="C10" s="5" t="n">
        <v>60</v>
      </c>
      <c r="D10" s="5" t="n">
        <v>72</v>
      </c>
      <c r="E10" s="7">
        <f>INDEX(B10:D10,1,Control!$B$10)</f>
        <v/>
      </c>
    </row>
    <row r="11">
      <c r="A11" t="inlineStr">
        <is>
          <t>DSO - OnTrade</t>
        </is>
      </c>
      <c r="B11" s="5" t="n">
        <v>45</v>
      </c>
      <c r="C11" s="5" t="n">
        <v>42</v>
      </c>
      <c r="D11" s="5" t="n">
        <v>48</v>
      </c>
      <c r="E11" s="7">
        <f>INDEX(B11:D11,1,Control!$B$10)</f>
        <v/>
      </c>
    </row>
    <row r="12">
      <c r="A12" t="inlineStr">
        <is>
          <t>DSO - OffTrade</t>
        </is>
      </c>
      <c r="B12" s="5" t="n">
        <v>30</v>
      </c>
      <c r="C12" s="5" t="n">
        <v>28</v>
      </c>
      <c r="D12" s="5" t="n">
        <v>32</v>
      </c>
      <c r="E12" s="7">
        <f>INDEX(B12:D12,1,Control!$B$10)</f>
        <v/>
      </c>
    </row>
    <row r="13">
      <c r="A13" t="inlineStr">
        <is>
          <t>DPO (supplier terms)</t>
        </is>
      </c>
      <c r="B13" s="5" t="n">
        <v>45</v>
      </c>
      <c r="C13" s="5" t="n">
        <v>50</v>
      </c>
      <c r="D13" s="5" t="n">
        <v>40</v>
      </c>
      <c r="E13" s="7">
        <f>INDEX(B13:D13,1,Control!$B$10)</f>
        <v/>
      </c>
    </row>
    <row r="15">
      <c r="A15" s="9" t="inlineStr">
        <is>
          <t>Note: Detailed WC calculations integrated in Balance Sheet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U22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25" customHeight="1">
      <c r="A1" s="1" t="inlineStr">
        <is>
          <t>DEBT SCHEDULE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8">
      <c r="A8" s="11" t="inlineStr">
        <is>
          <t>Term Loan</t>
        </is>
      </c>
    </row>
    <row r="9">
      <c r="A9" t="inlineStr">
        <is>
          <t>Facility size</t>
        </is>
      </c>
      <c r="B9" s="37" t="n">
        <v>10000000</v>
      </c>
    </row>
    <row r="10">
      <c r="A10" t="inlineStr">
        <is>
          <t>Drawdown month</t>
        </is>
      </c>
      <c r="B10" s="5" t="n">
        <v>1</v>
      </c>
    </row>
    <row r="11">
      <c r="A11" t="inlineStr">
        <is>
          <t>Interest rate (% p.a.)</t>
        </is>
      </c>
      <c r="B11" s="22" t="n">
        <v>0.065</v>
      </c>
    </row>
    <row r="12">
      <c r="A12" t="inlineStr">
        <is>
          <t>Term (years)</t>
        </is>
      </c>
      <c r="B12" s="5" t="n">
        <v>7</v>
      </c>
    </row>
    <row r="13">
      <c r="A13" t="inlineStr">
        <is>
          <t>Repayment frequency</t>
        </is>
      </c>
      <c r="B13" t="inlineStr">
        <is>
          <t>Quarterly</t>
        </is>
      </c>
    </row>
    <row r="14">
      <c r="A14" t="inlineStr">
        <is>
          <t>Principal per repayment</t>
        </is>
      </c>
      <c r="B14" s="46">
        <f>$B$9/($B$12*4)</f>
        <v/>
      </c>
    </row>
    <row r="17">
      <c r="A17" s="43" t="inlineStr">
        <is>
          <t>MONTHLY SCHEDULE</t>
        </is>
      </c>
      <c r="E17" s="47" t="inlineStr">
        <is>
          <t>M0</t>
        </is>
      </c>
    </row>
    <row r="18">
      <c r="A18" t="inlineStr">
        <is>
          <t>Opening balance</t>
        </is>
      </c>
      <c r="E18" s="44" t="n">
        <v>0</v>
      </c>
      <c r="F18" s="44">
        <f>E22</f>
        <v/>
      </c>
      <c r="G18" s="44">
        <f>F22</f>
        <v/>
      </c>
      <c r="H18" s="44">
        <f>G22</f>
        <v/>
      </c>
      <c r="I18" s="44">
        <f>H22</f>
        <v/>
      </c>
      <c r="J18" s="44">
        <f>I22</f>
        <v/>
      </c>
      <c r="K18" s="44">
        <f>J22</f>
        <v/>
      </c>
      <c r="L18" s="44">
        <f>K22</f>
        <v/>
      </c>
      <c r="M18" s="44">
        <f>L22</f>
        <v/>
      </c>
      <c r="N18" s="44">
        <f>M22</f>
        <v/>
      </c>
      <c r="O18" s="44">
        <f>N22</f>
        <v/>
      </c>
      <c r="P18" s="44">
        <f>O22</f>
        <v/>
      </c>
      <c r="Q18" s="44">
        <f>P22</f>
        <v/>
      </c>
      <c r="R18" s="44">
        <f>Q22</f>
        <v/>
      </c>
      <c r="S18" s="44">
        <f>R22</f>
        <v/>
      </c>
      <c r="T18" s="44">
        <f>S22</f>
        <v/>
      </c>
      <c r="U18" s="44">
        <f>T22</f>
        <v/>
      </c>
      <c r="V18" s="44">
        <f>U22</f>
        <v/>
      </c>
      <c r="W18" s="44">
        <f>V22</f>
        <v/>
      </c>
      <c r="X18" s="44">
        <f>W22</f>
        <v/>
      </c>
      <c r="Y18" s="44">
        <f>X22</f>
        <v/>
      </c>
      <c r="Z18" s="44">
        <f>Y22</f>
        <v/>
      </c>
      <c r="AA18" s="44">
        <f>Z22</f>
        <v/>
      </c>
      <c r="AB18" s="44">
        <f>AA22</f>
        <v/>
      </c>
      <c r="AC18" s="44">
        <f>AB22</f>
        <v/>
      </c>
      <c r="AD18" s="44">
        <f>AC22</f>
        <v/>
      </c>
      <c r="AE18" s="44">
        <f>AD22</f>
        <v/>
      </c>
      <c r="AF18" s="44">
        <f>AE22</f>
        <v/>
      </c>
      <c r="AG18" s="44">
        <f>AF22</f>
        <v/>
      </c>
      <c r="AH18" s="44">
        <f>AG22</f>
        <v/>
      </c>
      <c r="AI18" s="44">
        <f>AH22</f>
        <v/>
      </c>
      <c r="AJ18" s="44">
        <f>AI22</f>
        <v/>
      </c>
      <c r="AK18" s="44">
        <f>AJ22</f>
        <v/>
      </c>
      <c r="AL18" s="44">
        <f>AK22</f>
        <v/>
      </c>
      <c r="AM18" s="44">
        <f>AL22</f>
        <v/>
      </c>
      <c r="AN18" s="44">
        <f>AM22</f>
        <v/>
      </c>
      <c r="AO18" s="44">
        <f>AN22</f>
        <v/>
      </c>
      <c r="AP18" s="44">
        <f>AO22</f>
        <v/>
      </c>
      <c r="AQ18" s="44">
        <f>AP22</f>
        <v/>
      </c>
      <c r="AR18" s="44">
        <f>AQ22</f>
        <v/>
      </c>
      <c r="AS18" s="44">
        <f>AR22</f>
        <v/>
      </c>
      <c r="AT18" s="44">
        <f>AS22</f>
        <v/>
      </c>
      <c r="AU18" s="44">
        <f>AT22</f>
        <v/>
      </c>
      <c r="AV18" s="44">
        <f>AU22</f>
        <v/>
      </c>
      <c r="AW18" s="44">
        <f>AV22</f>
        <v/>
      </c>
      <c r="AX18" s="44">
        <f>AW22</f>
        <v/>
      </c>
      <c r="AY18" s="44">
        <f>AX22</f>
        <v/>
      </c>
      <c r="AZ18" s="44">
        <f>AY22</f>
        <v/>
      </c>
      <c r="BA18" s="44">
        <f>AZ22</f>
        <v/>
      </c>
      <c r="BB18" s="44">
        <f>BA22</f>
        <v/>
      </c>
      <c r="BC18" s="44">
        <f>BB22</f>
        <v/>
      </c>
      <c r="BD18" s="44">
        <f>BC22</f>
        <v/>
      </c>
      <c r="BE18" s="44">
        <f>BD22</f>
        <v/>
      </c>
      <c r="BF18" s="44">
        <f>BE22</f>
        <v/>
      </c>
      <c r="BG18" s="44">
        <f>BF22</f>
        <v/>
      </c>
      <c r="BH18" s="44">
        <f>BG22</f>
        <v/>
      </c>
      <c r="BI18" s="44">
        <f>BH22</f>
        <v/>
      </c>
      <c r="BJ18" s="44">
        <f>BI22</f>
        <v/>
      </c>
      <c r="BK18" s="44">
        <f>BJ22</f>
        <v/>
      </c>
      <c r="BL18" s="44">
        <f>BK22</f>
        <v/>
      </c>
      <c r="BM18" s="44">
        <f>BL22</f>
        <v/>
      </c>
      <c r="BN18" s="44">
        <f>BM22</f>
        <v/>
      </c>
      <c r="BO18" s="44">
        <f>BN22</f>
        <v/>
      </c>
      <c r="BP18" s="44">
        <f>BO22</f>
        <v/>
      </c>
      <c r="BQ18" s="44">
        <f>BP22</f>
        <v/>
      </c>
      <c r="BR18" s="44">
        <f>BQ22</f>
        <v/>
      </c>
      <c r="BS18" s="44">
        <f>BR22</f>
        <v/>
      </c>
      <c r="BT18" s="44">
        <f>BS22</f>
        <v/>
      </c>
      <c r="BU18" s="44">
        <f>BT22</f>
        <v/>
      </c>
      <c r="BV18" s="44">
        <f>BU22</f>
        <v/>
      </c>
      <c r="BW18" s="44">
        <f>BV22</f>
        <v/>
      </c>
      <c r="BX18" s="44">
        <f>BW22</f>
        <v/>
      </c>
      <c r="BY18" s="44">
        <f>BX22</f>
        <v/>
      </c>
      <c r="BZ18" s="44">
        <f>BY22</f>
        <v/>
      </c>
      <c r="CA18" s="44">
        <f>BZ22</f>
        <v/>
      </c>
      <c r="CB18" s="44">
        <f>CA22</f>
        <v/>
      </c>
      <c r="CC18" s="44">
        <f>CB22</f>
        <v/>
      </c>
      <c r="CD18" s="44">
        <f>CC22</f>
        <v/>
      </c>
      <c r="CE18" s="44">
        <f>CD22</f>
        <v/>
      </c>
      <c r="CF18" s="44">
        <f>CE22</f>
        <v/>
      </c>
      <c r="CG18" s="44">
        <f>CF22</f>
        <v/>
      </c>
      <c r="CH18" s="44">
        <f>CG22</f>
        <v/>
      </c>
      <c r="CI18" s="44">
        <f>CH22</f>
        <v/>
      </c>
      <c r="CJ18" s="44">
        <f>CI22</f>
        <v/>
      </c>
      <c r="CK18" s="44">
        <f>CJ22</f>
        <v/>
      </c>
      <c r="CL18" s="44">
        <f>CK22</f>
        <v/>
      </c>
      <c r="CM18" s="44">
        <f>CL22</f>
        <v/>
      </c>
      <c r="CN18" s="44">
        <f>CM22</f>
        <v/>
      </c>
      <c r="CO18" s="44">
        <f>CN22</f>
        <v/>
      </c>
      <c r="CP18" s="44">
        <f>CO22</f>
        <v/>
      </c>
      <c r="CQ18" s="44">
        <f>CP22</f>
        <v/>
      </c>
      <c r="CR18" s="44">
        <f>CQ22</f>
        <v/>
      </c>
      <c r="CS18" s="44">
        <f>CR22</f>
        <v/>
      </c>
      <c r="CT18" s="44">
        <f>CS22</f>
        <v/>
      </c>
      <c r="CU18" s="44">
        <f>CT22</f>
        <v/>
      </c>
      <c r="CV18" s="44">
        <f>CU22</f>
        <v/>
      </c>
      <c r="CW18" s="44">
        <f>CV22</f>
        <v/>
      </c>
      <c r="CX18" s="44">
        <f>CW22</f>
        <v/>
      </c>
      <c r="CY18" s="44">
        <f>CX22</f>
        <v/>
      </c>
      <c r="CZ18" s="44">
        <f>CY22</f>
        <v/>
      </c>
      <c r="DA18" s="44">
        <f>CZ22</f>
        <v/>
      </c>
      <c r="DB18" s="44">
        <f>DA22</f>
        <v/>
      </c>
      <c r="DC18" s="44">
        <f>DB22</f>
        <v/>
      </c>
      <c r="DD18" s="44">
        <f>DC22</f>
        <v/>
      </c>
      <c r="DE18" s="44">
        <f>DD22</f>
        <v/>
      </c>
      <c r="DF18" s="44">
        <f>DE22</f>
        <v/>
      </c>
      <c r="DG18" s="44">
        <f>DF22</f>
        <v/>
      </c>
      <c r="DH18" s="44">
        <f>DG22</f>
        <v/>
      </c>
      <c r="DI18" s="44">
        <f>DH22</f>
        <v/>
      </c>
      <c r="DJ18" s="44">
        <f>DI22</f>
        <v/>
      </c>
      <c r="DK18" s="44">
        <f>DJ22</f>
        <v/>
      </c>
      <c r="DL18" s="44">
        <f>DK22</f>
        <v/>
      </c>
      <c r="DM18" s="44">
        <f>DL22</f>
        <v/>
      </c>
      <c r="DN18" s="44">
        <f>DM22</f>
        <v/>
      </c>
      <c r="DO18" s="44">
        <f>DN22</f>
        <v/>
      </c>
      <c r="DP18" s="44">
        <f>DO22</f>
        <v/>
      </c>
      <c r="DQ18" s="44">
        <f>DP22</f>
        <v/>
      </c>
      <c r="DR18" s="44">
        <f>DQ22</f>
        <v/>
      </c>
      <c r="DS18" s="44">
        <f>DR22</f>
        <v/>
      </c>
      <c r="DT18" s="44">
        <f>DS22</f>
        <v/>
      </c>
      <c r="DU18" s="44">
        <f>DT22</f>
        <v/>
      </c>
    </row>
    <row r="19">
      <c r="A19" t="inlineStr">
        <is>
          <t>Drawdown</t>
        </is>
      </c>
      <c r="E19" s="44" t="n">
        <v>0</v>
      </c>
      <c r="F19" s="44">
        <f>IF(1=$B$10,$B$9,0)</f>
        <v/>
      </c>
      <c r="G19" s="44">
        <f>IF(2=$B$10,$B$9,0)</f>
        <v/>
      </c>
      <c r="H19" s="44">
        <f>IF(3=$B$10,$B$9,0)</f>
        <v/>
      </c>
      <c r="I19" s="44">
        <f>IF(4=$B$10,$B$9,0)</f>
        <v/>
      </c>
      <c r="J19" s="44">
        <f>IF(5=$B$10,$B$9,0)</f>
        <v/>
      </c>
      <c r="K19" s="44">
        <f>IF(6=$B$10,$B$9,0)</f>
        <v/>
      </c>
      <c r="L19" s="44">
        <f>IF(7=$B$10,$B$9,0)</f>
        <v/>
      </c>
      <c r="M19" s="44">
        <f>IF(8=$B$10,$B$9,0)</f>
        <v/>
      </c>
      <c r="N19" s="44">
        <f>IF(9=$B$10,$B$9,0)</f>
        <v/>
      </c>
      <c r="O19" s="44">
        <f>IF(10=$B$10,$B$9,0)</f>
        <v/>
      </c>
      <c r="P19" s="44">
        <f>IF(11=$B$10,$B$9,0)</f>
        <v/>
      </c>
      <c r="Q19" s="44">
        <f>IF(12=$B$10,$B$9,0)</f>
        <v/>
      </c>
      <c r="R19" s="44">
        <f>IF(13=$B$10,$B$9,0)</f>
        <v/>
      </c>
      <c r="S19" s="44">
        <f>IF(14=$B$10,$B$9,0)</f>
        <v/>
      </c>
      <c r="T19" s="44">
        <f>IF(15=$B$10,$B$9,0)</f>
        <v/>
      </c>
      <c r="U19" s="44">
        <f>IF(16=$B$10,$B$9,0)</f>
        <v/>
      </c>
      <c r="V19" s="44">
        <f>IF(17=$B$10,$B$9,0)</f>
        <v/>
      </c>
      <c r="W19" s="44">
        <f>IF(18=$B$10,$B$9,0)</f>
        <v/>
      </c>
      <c r="X19" s="44">
        <f>IF(19=$B$10,$B$9,0)</f>
        <v/>
      </c>
      <c r="Y19" s="44">
        <f>IF(20=$B$10,$B$9,0)</f>
        <v/>
      </c>
      <c r="Z19" s="44">
        <f>IF(21=$B$10,$B$9,0)</f>
        <v/>
      </c>
      <c r="AA19" s="44">
        <f>IF(22=$B$10,$B$9,0)</f>
        <v/>
      </c>
      <c r="AB19" s="44">
        <f>IF(23=$B$10,$B$9,0)</f>
        <v/>
      </c>
      <c r="AC19" s="44">
        <f>IF(24=$B$10,$B$9,0)</f>
        <v/>
      </c>
      <c r="AD19" s="44">
        <f>IF(25=$B$10,$B$9,0)</f>
        <v/>
      </c>
      <c r="AE19" s="44">
        <f>IF(26=$B$10,$B$9,0)</f>
        <v/>
      </c>
      <c r="AF19" s="44">
        <f>IF(27=$B$10,$B$9,0)</f>
        <v/>
      </c>
      <c r="AG19" s="44">
        <f>IF(28=$B$10,$B$9,0)</f>
        <v/>
      </c>
      <c r="AH19" s="44">
        <f>IF(29=$B$10,$B$9,0)</f>
        <v/>
      </c>
      <c r="AI19" s="44">
        <f>IF(30=$B$10,$B$9,0)</f>
        <v/>
      </c>
      <c r="AJ19" s="44">
        <f>IF(31=$B$10,$B$9,0)</f>
        <v/>
      </c>
      <c r="AK19" s="44">
        <f>IF(32=$B$10,$B$9,0)</f>
        <v/>
      </c>
      <c r="AL19" s="44">
        <f>IF(33=$B$10,$B$9,0)</f>
        <v/>
      </c>
      <c r="AM19" s="44">
        <f>IF(34=$B$10,$B$9,0)</f>
        <v/>
      </c>
      <c r="AN19" s="44">
        <f>IF(35=$B$10,$B$9,0)</f>
        <v/>
      </c>
      <c r="AO19" s="44">
        <f>IF(36=$B$10,$B$9,0)</f>
        <v/>
      </c>
      <c r="AP19" s="44">
        <f>IF(37=$B$10,$B$9,0)</f>
        <v/>
      </c>
      <c r="AQ19" s="44">
        <f>IF(38=$B$10,$B$9,0)</f>
        <v/>
      </c>
      <c r="AR19" s="44">
        <f>IF(39=$B$10,$B$9,0)</f>
        <v/>
      </c>
      <c r="AS19" s="44">
        <f>IF(40=$B$10,$B$9,0)</f>
        <v/>
      </c>
      <c r="AT19" s="44">
        <f>IF(41=$B$10,$B$9,0)</f>
        <v/>
      </c>
      <c r="AU19" s="44">
        <f>IF(42=$B$10,$B$9,0)</f>
        <v/>
      </c>
      <c r="AV19" s="44">
        <f>IF(43=$B$10,$B$9,0)</f>
        <v/>
      </c>
      <c r="AW19" s="44">
        <f>IF(44=$B$10,$B$9,0)</f>
        <v/>
      </c>
      <c r="AX19" s="44">
        <f>IF(45=$B$10,$B$9,0)</f>
        <v/>
      </c>
      <c r="AY19" s="44">
        <f>IF(46=$B$10,$B$9,0)</f>
        <v/>
      </c>
      <c r="AZ19" s="44">
        <f>IF(47=$B$10,$B$9,0)</f>
        <v/>
      </c>
      <c r="BA19" s="44">
        <f>IF(48=$B$10,$B$9,0)</f>
        <v/>
      </c>
      <c r="BB19" s="44">
        <f>IF(49=$B$10,$B$9,0)</f>
        <v/>
      </c>
      <c r="BC19" s="44">
        <f>IF(50=$B$10,$B$9,0)</f>
        <v/>
      </c>
      <c r="BD19" s="44">
        <f>IF(51=$B$10,$B$9,0)</f>
        <v/>
      </c>
      <c r="BE19" s="44">
        <f>IF(52=$B$10,$B$9,0)</f>
        <v/>
      </c>
      <c r="BF19" s="44">
        <f>IF(53=$B$10,$B$9,0)</f>
        <v/>
      </c>
      <c r="BG19" s="44">
        <f>IF(54=$B$10,$B$9,0)</f>
        <v/>
      </c>
      <c r="BH19" s="44">
        <f>IF(55=$B$10,$B$9,0)</f>
        <v/>
      </c>
      <c r="BI19" s="44">
        <f>IF(56=$B$10,$B$9,0)</f>
        <v/>
      </c>
      <c r="BJ19" s="44">
        <f>IF(57=$B$10,$B$9,0)</f>
        <v/>
      </c>
      <c r="BK19" s="44">
        <f>IF(58=$B$10,$B$9,0)</f>
        <v/>
      </c>
      <c r="BL19" s="44">
        <f>IF(59=$B$10,$B$9,0)</f>
        <v/>
      </c>
      <c r="BM19" s="44">
        <f>IF(60=$B$10,$B$9,0)</f>
        <v/>
      </c>
      <c r="BN19" s="44">
        <f>IF(61=$B$10,$B$9,0)</f>
        <v/>
      </c>
      <c r="BO19" s="44">
        <f>IF(62=$B$10,$B$9,0)</f>
        <v/>
      </c>
      <c r="BP19" s="44">
        <f>IF(63=$B$10,$B$9,0)</f>
        <v/>
      </c>
      <c r="BQ19" s="44">
        <f>IF(64=$B$10,$B$9,0)</f>
        <v/>
      </c>
      <c r="BR19" s="44">
        <f>IF(65=$B$10,$B$9,0)</f>
        <v/>
      </c>
      <c r="BS19" s="44">
        <f>IF(66=$B$10,$B$9,0)</f>
        <v/>
      </c>
      <c r="BT19" s="44">
        <f>IF(67=$B$10,$B$9,0)</f>
        <v/>
      </c>
      <c r="BU19" s="44">
        <f>IF(68=$B$10,$B$9,0)</f>
        <v/>
      </c>
      <c r="BV19" s="44">
        <f>IF(69=$B$10,$B$9,0)</f>
        <v/>
      </c>
      <c r="BW19" s="44">
        <f>IF(70=$B$10,$B$9,0)</f>
        <v/>
      </c>
      <c r="BX19" s="44">
        <f>IF(71=$B$10,$B$9,0)</f>
        <v/>
      </c>
      <c r="BY19" s="44">
        <f>IF(72=$B$10,$B$9,0)</f>
        <v/>
      </c>
      <c r="BZ19" s="44">
        <f>IF(73=$B$10,$B$9,0)</f>
        <v/>
      </c>
      <c r="CA19" s="44">
        <f>IF(74=$B$10,$B$9,0)</f>
        <v/>
      </c>
      <c r="CB19" s="44">
        <f>IF(75=$B$10,$B$9,0)</f>
        <v/>
      </c>
      <c r="CC19" s="44">
        <f>IF(76=$B$10,$B$9,0)</f>
        <v/>
      </c>
      <c r="CD19" s="44">
        <f>IF(77=$B$10,$B$9,0)</f>
        <v/>
      </c>
      <c r="CE19" s="44">
        <f>IF(78=$B$10,$B$9,0)</f>
        <v/>
      </c>
      <c r="CF19" s="44">
        <f>IF(79=$B$10,$B$9,0)</f>
        <v/>
      </c>
      <c r="CG19" s="44">
        <f>IF(80=$B$10,$B$9,0)</f>
        <v/>
      </c>
      <c r="CH19" s="44">
        <f>IF(81=$B$10,$B$9,0)</f>
        <v/>
      </c>
      <c r="CI19" s="44">
        <f>IF(82=$B$10,$B$9,0)</f>
        <v/>
      </c>
      <c r="CJ19" s="44">
        <f>IF(83=$B$10,$B$9,0)</f>
        <v/>
      </c>
      <c r="CK19" s="44">
        <f>IF(84=$B$10,$B$9,0)</f>
        <v/>
      </c>
      <c r="CL19" s="44">
        <f>IF(85=$B$10,$B$9,0)</f>
        <v/>
      </c>
      <c r="CM19" s="44">
        <f>IF(86=$B$10,$B$9,0)</f>
        <v/>
      </c>
      <c r="CN19" s="44">
        <f>IF(87=$B$10,$B$9,0)</f>
        <v/>
      </c>
      <c r="CO19" s="44">
        <f>IF(88=$B$10,$B$9,0)</f>
        <v/>
      </c>
      <c r="CP19" s="44">
        <f>IF(89=$B$10,$B$9,0)</f>
        <v/>
      </c>
      <c r="CQ19" s="44">
        <f>IF(90=$B$10,$B$9,0)</f>
        <v/>
      </c>
      <c r="CR19" s="44">
        <f>IF(91=$B$10,$B$9,0)</f>
        <v/>
      </c>
      <c r="CS19" s="44">
        <f>IF(92=$B$10,$B$9,0)</f>
        <v/>
      </c>
      <c r="CT19" s="44">
        <f>IF(93=$B$10,$B$9,0)</f>
        <v/>
      </c>
      <c r="CU19" s="44">
        <f>IF(94=$B$10,$B$9,0)</f>
        <v/>
      </c>
      <c r="CV19" s="44">
        <f>IF(95=$B$10,$B$9,0)</f>
        <v/>
      </c>
      <c r="CW19" s="44">
        <f>IF(96=$B$10,$B$9,0)</f>
        <v/>
      </c>
      <c r="CX19" s="44">
        <f>IF(97=$B$10,$B$9,0)</f>
        <v/>
      </c>
      <c r="CY19" s="44">
        <f>IF(98=$B$10,$B$9,0)</f>
        <v/>
      </c>
      <c r="CZ19" s="44">
        <f>IF(99=$B$10,$B$9,0)</f>
        <v/>
      </c>
      <c r="DA19" s="44">
        <f>IF(100=$B$10,$B$9,0)</f>
        <v/>
      </c>
      <c r="DB19" s="44">
        <f>IF(101=$B$10,$B$9,0)</f>
        <v/>
      </c>
      <c r="DC19" s="44">
        <f>IF(102=$B$10,$B$9,0)</f>
        <v/>
      </c>
      <c r="DD19" s="44">
        <f>IF(103=$B$10,$B$9,0)</f>
        <v/>
      </c>
      <c r="DE19" s="44">
        <f>IF(104=$B$10,$B$9,0)</f>
        <v/>
      </c>
      <c r="DF19" s="44">
        <f>IF(105=$B$10,$B$9,0)</f>
        <v/>
      </c>
      <c r="DG19" s="44">
        <f>IF(106=$B$10,$B$9,0)</f>
        <v/>
      </c>
      <c r="DH19" s="44">
        <f>IF(107=$B$10,$B$9,0)</f>
        <v/>
      </c>
      <c r="DI19" s="44">
        <f>IF(108=$B$10,$B$9,0)</f>
        <v/>
      </c>
      <c r="DJ19" s="44">
        <f>IF(109=$B$10,$B$9,0)</f>
        <v/>
      </c>
      <c r="DK19" s="44">
        <f>IF(110=$B$10,$B$9,0)</f>
        <v/>
      </c>
      <c r="DL19" s="44">
        <f>IF(111=$B$10,$B$9,0)</f>
        <v/>
      </c>
      <c r="DM19" s="44">
        <f>IF(112=$B$10,$B$9,0)</f>
        <v/>
      </c>
      <c r="DN19" s="44">
        <f>IF(113=$B$10,$B$9,0)</f>
        <v/>
      </c>
      <c r="DO19" s="44">
        <f>IF(114=$B$10,$B$9,0)</f>
        <v/>
      </c>
      <c r="DP19" s="44">
        <f>IF(115=$B$10,$B$9,0)</f>
        <v/>
      </c>
      <c r="DQ19" s="44">
        <f>IF(116=$B$10,$B$9,0)</f>
        <v/>
      </c>
      <c r="DR19" s="44">
        <f>IF(117=$B$10,$B$9,0)</f>
        <v/>
      </c>
      <c r="DS19" s="44">
        <f>IF(118=$B$10,$B$9,0)</f>
        <v/>
      </c>
      <c r="DT19" s="44">
        <f>IF(119=$B$10,$B$9,0)</f>
        <v/>
      </c>
      <c r="DU19" s="44">
        <f>IF(120=$B$10,$B$9,0)</f>
        <v/>
      </c>
    </row>
    <row r="20">
      <c r="A20" t="inlineStr">
        <is>
          <t>Interest expense</t>
        </is>
      </c>
      <c r="E20" s="44" t="n">
        <v>0</v>
      </c>
      <c r="F20" s="44">
        <f>AVERAGE(F18,F22)*($B$11/12)</f>
        <v/>
      </c>
      <c r="G20" s="44">
        <f>AVERAGE(G18,G22)*($B$11/12)</f>
        <v/>
      </c>
      <c r="H20" s="44">
        <f>AVERAGE(H18,H22)*($B$11/12)</f>
        <v/>
      </c>
      <c r="I20" s="44">
        <f>AVERAGE(I18,I22)*($B$11/12)</f>
        <v/>
      </c>
      <c r="J20" s="44">
        <f>AVERAGE(J18,J22)*($B$11/12)</f>
        <v/>
      </c>
      <c r="K20" s="44">
        <f>AVERAGE(K18,K22)*($B$11/12)</f>
        <v/>
      </c>
      <c r="L20" s="44">
        <f>AVERAGE(L18,L22)*($B$11/12)</f>
        <v/>
      </c>
      <c r="M20" s="44">
        <f>AVERAGE(M18,M22)*($B$11/12)</f>
        <v/>
      </c>
      <c r="N20" s="44">
        <f>AVERAGE(N18,N22)*($B$11/12)</f>
        <v/>
      </c>
      <c r="O20" s="44">
        <f>AVERAGE(O18,O22)*($B$11/12)</f>
        <v/>
      </c>
      <c r="P20" s="44">
        <f>AVERAGE(P18,P22)*($B$11/12)</f>
        <v/>
      </c>
      <c r="Q20" s="44">
        <f>AVERAGE(Q18,Q22)*($B$11/12)</f>
        <v/>
      </c>
      <c r="R20" s="44">
        <f>AVERAGE(R18,R22)*($B$11/12)</f>
        <v/>
      </c>
      <c r="S20" s="44">
        <f>AVERAGE(S18,S22)*($B$11/12)</f>
        <v/>
      </c>
      <c r="T20" s="44">
        <f>AVERAGE(T18,T22)*($B$11/12)</f>
        <v/>
      </c>
      <c r="U20" s="44">
        <f>AVERAGE(U18,U22)*($B$11/12)</f>
        <v/>
      </c>
      <c r="V20" s="44">
        <f>AVERAGE(V18,V22)*($B$11/12)</f>
        <v/>
      </c>
      <c r="W20" s="44">
        <f>AVERAGE(W18,W22)*($B$11/12)</f>
        <v/>
      </c>
      <c r="X20" s="44">
        <f>AVERAGE(X18,X22)*($B$11/12)</f>
        <v/>
      </c>
      <c r="Y20" s="44">
        <f>AVERAGE(Y18,Y22)*($B$11/12)</f>
        <v/>
      </c>
      <c r="Z20" s="44">
        <f>AVERAGE(Z18,Z22)*($B$11/12)</f>
        <v/>
      </c>
      <c r="AA20" s="44">
        <f>AVERAGE(AA18,AA22)*($B$11/12)</f>
        <v/>
      </c>
      <c r="AB20" s="44">
        <f>AVERAGE(AB18,AB22)*($B$11/12)</f>
        <v/>
      </c>
      <c r="AC20" s="44">
        <f>AVERAGE(AC18,AC22)*($B$11/12)</f>
        <v/>
      </c>
      <c r="AD20" s="44">
        <f>AVERAGE(AD18,AD22)*($B$11/12)</f>
        <v/>
      </c>
      <c r="AE20" s="44">
        <f>AVERAGE(AE18,AE22)*($B$11/12)</f>
        <v/>
      </c>
      <c r="AF20" s="44">
        <f>AVERAGE(AF18,AF22)*($B$11/12)</f>
        <v/>
      </c>
      <c r="AG20" s="44">
        <f>AVERAGE(AG18,AG22)*($B$11/12)</f>
        <v/>
      </c>
      <c r="AH20" s="44">
        <f>AVERAGE(AH18,AH22)*($B$11/12)</f>
        <v/>
      </c>
      <c r="AI20" s="44">
        <f>AVERAGE(AI18,AI22)*($B$11/12)</f>
        <v/>
      </c>
      <c r="AJ20" s="44">
        <f>AVERAGE(AJ18,AJ22)*($B$11/12)</f>
        <v/>
      </c>
      <c r="AK20" s="44">
        <f>AVERAGE(AK18,AK22)*($B$11/12)</f>
        <v/>
      </c>
      <c r="AL20" s="44">
        <f>AVERAGE(AL18,AL22)*($B$11/12)</f>
        <v/>
      </c>
      <c r="AM20" s="44">
        <f>AVERAGE(AM18,AM22)*($B$11/12)</f>
        <v/>
      </c>
      <c r="AN20" s="44">
        <f>AVERAGE(AN18,AN22)*($B$11/12)</f>
        <v/>
      </c>
      <c r="AO20" s="44">
        <f>AVERAGE(AO18,AO22)*($B$11/12)</f>
        <v/>
      </c>
      <c r="AP20" s="44">
        <f>AVERAGE(AP18,AP22)*($B$11/12)</f>
        <v/>
      </c>
      <c r="AQ20" s="44">
        <f>AVERAGE(AQ18,AQ22)*($B$11/12)</f>
        <v/>
      </c>
      <c r="AR20" s="44">
        <f>AVERAGE(AR18,AR22)*($B$11/12)</f>
        <v/>
      </c>
      <c r="AS20" s="44">
        <f>AVERAGE(AS18,AS22)*($B$11/12)</f>
        <v/>
      </c>
      <c r="AT20" s="44">
        <f>AVERAGE(AT18,AT22)*($B$11/12)</f>
        <v/>
      </c>
      <c r="AU20" s="44">
        <f>AVERAGE(AU18,AU22)*($B$11/12)</f>
        <v/>
      </c>
      <c r="AV20" s="44">
        <f>AVERAGE(AV18,AV22)*($B$11/12)</f>
        <v/>
      </c>
      <c r="AW20" s="44">
        <f>AVERAGE(AW18,AW22)*($B$11/12)</f>
        <v/>
      </c>
      <c r="AX20" s="44">
        <f>AVERAGE(AX18,AX22)*($B$11/12)</f>
        <v/>
      </c>
      <c r="AY20" s="44">
        <f>AVERAGE(AY18,AY22)*($B$11/12)</f>
        <v/>
      </c>
      <c r="AZ20" s="44">
        <f>AVERAGE(AZ18,AZ22)*($B$11/12)</f>
        <v/>
      </c>
      <c r="BA20" s="44">
        <f>AVERAGE(BA18,BA22)*($B$11/12)</f>
        <v/>
      </c>
      <c r="BB20" s="44">
        <f>AVERAGE(BB18,BB22)*($B$11/12)</f>
        <v/>
      </c>
      <c r="BC20" s="44">
        <f>AVERAGE(BC18,BC22)*($B$11/12)</f>
        <v/>
      </c>
      <c r="BD20" s="44">
        <f>AVERAGE(BD18,BD22)*($B$11/12)</f>
        <v/>
      </c>
      <c r="BE20" s="44">
        <f>AVERAGE(BE18,BE22)*($B$11/12)</f>
        <v/>
      </c>
      <c r="BF20" s="44">
        <f>AVERAGE(BF18,BF22)*($B$11/12)</f>
        <v/>
      </c>
      <c r="BG20" s="44">
        <f>AVERAGE(BG18,BG22)*($B$11/12)</f>
        <v/>
      </c>
      <c r="BH20" s="44">
        <f>AVERAGE(BH18,BH22)*($B$11/12)</f>
        <v/>
      </c>
      <c r="BI20" s="44">
        <f>AVERAGE(BI18,BI22)*($B$11/12)</f>
        <v/>
      </c>
      <c r="BJ20" s="44">
        <f>AVERAGE(BJ18,BJ22)*($B$11/12)</f>
        <v/>
      </c>
      <c r="BK20" s="44">
        <f>AVERAGE(BK18,BK22)*($B$11/12)</f>
        <v/>
      </c>
      <c r="BL20" s="44">
        <f>AVERAGE(BL18,BL22)*($B$11/12)</f>
        <v/>
      </c>
      <c r="BM20" s="44">
        <f>AVERAGE(BM18,BM22)*($B$11/12)</f>
        <v/>
      </c>
      <c r="BN20" s="44">
        <f>AVERAGE(BN18,BN22)*($B$11/12)</f>
        <v/>
      </c>
      <c r="BO20" s="44">
        <f>AVERAGE(BO18,BO22)*($B$11/12)</f>
        <v/>
      </c>
      <c r="BP20" s="44">
        <f>AVERAGE(BP18,BP22)*($B$11/12)</f>
        <v/>
      </c>
      <c r="BQ20" s="44">
        <f>AVERAGE(BQ18,BQ22)*($B$11/12)</f>
        <v/>
      </c>
      <c r="BR20" s="44">
        <f>AVERAGE(BR18,BR22)*($B$11/12)</f>
        <v/>
      </c>
      <c r="BS20" s="44">
        <f>AVERAGE(BS18,BS22)*($B$11/12)</f>
        <v/>
      </c>
      <c r="BT20" s="44">
        <f>AVERAGE(BT18,BT22)*($B$11/12)</f>
        <v/>
      </c>
      <c r="BU20" s="44">
        <f>AVERAGE(BU18,BU22)*($B$11/12)</f>
        <v/>
      </c>
      <c r="BV20" s="44">
        <f>AVERAGE(BV18,BV22)*($B$11/12)</f>
        <v/>
      </c>
      <c r="BW20" s="44">
        <f>AVERAGE(BW18,BW22)*($B$11/12)</f>
        <v/>
      </c>
      <c r="BX20" s="44">
        <f>AVERAGE(BX18,BX22)*($B$11/12)</f>
        <v/>
      </c>
      <c r="BY20" s="44">
        <f>AVERAGE(BY18,BY22)*($B$11/12)</f>
        <v/>
      </c>
      <c r="BZ20" s="44">
        <f>AVERAGE(BZ18,BZ22)*($B$11/12)</f>
        <v/>
      </c>
      <c r="CA20" s="44">
        <f>AVERAGE(CA18,CA22)*($B$11/12)</f>
        <v/>
      </c>
      <c r="CB20" s="44">
        <f>AVERAGE(CB18,CB22)*($B$11/12)</f>
        <v/>
      </c>
      <c r="CC20" s="44">
        <f>AVERAGE(CC18,CC22)*($B$11/12)</f>
        <v/>
      </c>
      <c r="CD20" s="44">
        <f>AVERAGE(CD18,CD22)*($B$11/12)</f>
        <v/>
      </c>
      <c r="CE20" s="44">
        <f>AVERAGE(CE18,CE22)*($B$11/12)</f>
        <v/>
      </c>
      <c r="CF20" s="44">
        <f>AVERAGE(CF18,CF22)*($B$11/12)</f>
        <v/>
      </c>
      <c r="CG20" s="44">
        <f>AVERAGE(CG18,CG22)*($B$11/12)</f>
        <v/>
      </c>
      <c r="CH20" s="44">
        <f>AVERAGE(CH18,CH22)*($B$11/12)</f>
        <v/>
      </c>
      <c r="CI20" s="44">
        <f>AVERAGE(CI18,CI22)*($B$11/12)</f>
        <v/>
      </c>
      <c r="CJ20" s="44">
        <f>AVERAGE(CJ18,CJ22)*($B$11/12)</f>
        <v/>
      </c>
      <c r="CK20" s="44">
        <f>AVERAGE(CK18,CK22)*($B$11/12)</f>
        <v/>
      </c>
      <c r="CL20" s="44">
        <f>AVERAGE(CL18,CL22)*($B$11/12)</f>
        <v/>
      </c>
      <c r="CM20" s="44">
        <f>AVERAGE(CM18,CM22)*($B$11/12)</f>
        <v/>
      </c>
      <c r="CN20" s="44">
        <f>AVERAGE(CN18,CN22)*($B$11/12)</f>
        <v/>
      </c>
      <c r="CO20" s="44">
        <f>AVERAGE(CO18,CO22)*($B$11/12)</f>
        <v/>
      </c>
      <c r="CP20" s="44">
        <f>AVERAGE(CP18,CP22)*($B$11/12)</f>
        <v/>
      </c>
      <c r="CQ20" s="44">
        <f>AVERAGE(CQ18,CQ22)*($B$11/12)</f>
        <v/>
      </c>
      <c r="CR20" s="44">
        <f>AVERAGE(CR18,CR22)*($B$11/12)</f>
        <v/>
      </c>
      <c r="CS20" s="44">
        <f>AVERAGE(CS18,CS22)*($B$11/12)</f>
        <v/>
      </c>
      <c r="CT20" s="44">
        <f>AVERAGE(CT18,CT22)*($B$11/12)</f>
        <v/>
      </c>
      <c r="CU20" s="44">
        <f>AVERAGE(CU18,CU22)*($B$11/12)</f>
        <v/>
      </c>
      <c r="CV20" s="44">
        <f>AVERAGE(CV18,CV22)*($B$11/12)</f>
        <v/>
      </c>
      <c r="CW20" s="44">
        <f>AVERAGE(CW18,CW22)*($B$11/12)</f>
        <v/>
      </c>
      <c r="CX20" s="44">
        <f>AVERAGE(CX18,CX22)*($B$11/12)</f>
        <v/>
      </c>
      <c r="CY20" s="44">
        <f>AVERAGE(CY18,CY22)*($B$11/12)</f>
        <v/>
      </c>
      <c r="CZ20" s="44">
        <f>AVERAGE(CZ18,CZ22)*($B$11/12)</f>
        <v/>
      </c>
      <c r="DA20" s="44">
        <f>AVERAGE(DA18,DA22)*($B$11/12)</f>
        <v/>
      </c>
      <c r="DB20" s="44">
        <f>AVERAGE(DB18,DB22)*($B$11/12)</f>
        <v/>
      </c>
      <c r="DC20" s="44">
        <f>AVERAGE(DC18,DC22)*($B$11/12)</f>
        <v/>
      </c>
      <c r="DD20" s="44">
        <f>AVERAGE(DD18,DD22)*($B$11/12)</f>
        <v/>
      </c>
      <c r="DE20" s="44">
        <f>AVERAGE(DE18,DE22)*($B$11/12)</f>
        <v/>
      </c>
      <c r="DF20" s="44">
        <f>AVERAGE(DF18,DF22)*($B$11/12)</f>
        <v/>
      </c>
      <c r="DG20" s="44">
        <f>AVERAGE(DG18,DG22)*($B$11/12)</f>
        <v/>
      </c>
      <c r="DH20" s="44">
        <f>AVERAGE(DH18,DH22)*($B$11/12)</f>
        <v/>
      </c>
      <c r="DI20" s="44">
        <f>AVERAGE(DI18,DI22)*($B$11/12)</f>
        <v/>
      </c>
      <c r="DJ20" s="44">
        <f>AVERAGE(DJ18,DJ22)*($B$11/12)</f>
        <v/>
      </c>
      <c r="DK20" s="44">
        <f>AVERAGE(DK18,DK22)*($B$11/12)</f>
        <v/>
      </c>
      <c r="DL20" s="44">
        <f>AVERAGE(DL18,DL22)*($B$11/12)</f>
        <v/>
      </c>
      <c r="DM20" s="44">
        <f>AVERAGE(DM18,DM22)*($B$11/12)</f>
        <v/>
      </c>
      <c r="DN20" s="44">
        <f>AVERAGE(DN18,DN22)*($B$11/12)</f>
        <v/>
      </c>
      <c r="DO20" s="44">
        <f>AVERAGE(DO18,DO22)*($B$11/12)</f>
        <v/>
      </c>
      <c r="DP20" s="44">
        <f>AVERAGE(DP18,DP22)*($B$11/12)</f>
        <v/>
      </c>
      <c r="DQ20" s="44">
        <f>AVERAGE(DQ18,DQ22)*($B$11/12)</f>
        <v/>
      </c>
      <c r="DR20" s="44">
        <f>AVERAGE(DR18,DR22)*($B$11/12)</f>
        <v/>
      </c>
      <c r="DS20" s="44">
        <f>AVERAGE(DS18,DS22)*($B$11/12)</f>
        <v/>
      </c>
      <c r="DT20" s="44">
        <f>AVERAGE(DT18,DT22)*($B$11/12)</f>
        <v/>
      </c>
      <c r="DU20" s="44">
        <f>AVERAGE(DU18,DU22)*($B$11/12)</f>
        <v/>
      </c>
    </row>
    <row r="21">
      <c r="A21" t="inlineStr">
        <is>
          <t>Principal repayment</t>
        </is>
      </c>
      <c r="E21" s="44" t="n">
        <v>0</v>
      </c>
      <c r="F21" s="44">
        <f>IF(MOD(1,3)=0,$B$14,0)</f>
        <v/>
      </c>
      <c r="G21" s="44">
        <f>IF(MOD(2,3)=0,$B$14,0)</f>
        <v/>
      </c>
      <c r="H21" s="44">
        <f>IF(MOD(3,3)=0,$B$14,0)</f>
        <v/>
      </c>
      <c r="I21" s="44">
        <f>IF(MOD(4,3)=0,$B$14,0)</f>
        <v/>
      </c>
      <c r="J21" s="44">
        <f>IF(MOD(5,3)=0,$B$14,0)</f>
        <v/>
      </c>
      <c r="K21" s="44">
        <f>IF(MOD(6,3)=0,$B$14,0)</f>
        <v/>
      </c>
      <c r="L21" s="44">
        <f>IF(MOD(7,3)=0,$B$14,0)</f>
        <v/>
      </c>
      <c r="M21" s="44">
        <f>IF(MOD(8,3)=0,$B$14,0)</f>
        <v/>
      </c>
      <c r="N21" s="44">
        <f>IF(MOD(9,3)=0,$B$14,0)</f>
        <v/>
      </c>
      <c r="O21" s="44">
        <f>IF(MOD(10,3)=0,$B$14,0)</f>
        <v/>
      </c>
      <c r="P21" s="44">
        <f>IF(MOD(11,3)=0,$B$14,0)</f>
        <v/>
      </c>
      <c r="Q21" s="44">
        <f>IF(MOD(12,3)=0,$B$14,0)</f>
        <v/>
      </c>
      <c r="R21" s="44">
        <f>IF(MOD(13,3)=0,$B$14,0)</f>
        <v/>
      </c>
      <c r="S21" s="44">
        <f>IF(MOD(14,3)=0,$B$14,0)</f>
        <v/>
      </c>
      <c r="T21" s="44">
        <f>IF(MOD(15,3)=0,$B$14,0)</f>
        <v/>
      </c>
      <c r="U21" s="44">
        <f>IF(MOD(16,3)=0,$B$14,0)</f>
        <v/>
      </c>
      <c r="V21" s="44">
        <f>IF(MOD(17,3)=0,$B$14,0)</f>
        <v/>
      </c>
      <c r="W21" s="44">
        <f>IF(MOD(18,3)=0,$B$14,0)</f>
        <v/>
      </c>
      <c r="X21" s="44">
        <f>IF(MOD(19,3)=0,$B$14,0)</f>
        <v/>
      </c>
      <c r="Y21" s="44">
        <f>IF(MOD(20,3)=0,$B$14,0)</f>
        <v/>
      </c>
      <c r="Z21" s="44">
        <f>IF(MOD(21,3)=0,$B$14,0)</f>
        <v/>
      </c>
      <c r="AA21" s="44">
        <f>IF(MOD(22,3)=0,$B$14,0)</f>
        <v/>
      </c>
      <c r="AB21" s="44">
        <f>IF(MOD(23,3)=0,$B$14,0)</f>
        <v/>
      </c>
      <c r="AC21" s="44">
        <f>IF(MOD(24,3)=0,$B$14,0)</f>
        <v/>
      </c>
      <c r="AD21" s="44">
        <f>IF(MOD(25,3)=0,$B$14,0)</f>
        <v/>
      </c>
      <c r="AE21" s="44">
        <f>IF(MOD(26,3)=0,$B$14,0)</f>
        <v/>
      </c>
      <c r="AF21" s="44">
        <f>IF(MOD(27,3)=0,$B$14,0)</f>
        <v/>
      </c>
      <c r="AG21" s="44">
        <f>IF(MOD(28,3)=0,$B$14,0)</f>
        <v/>
      </c>
      <c r="AH21" s="44">
        <f>IF(MOD(29,3)=0,$B$14,0)</f>
        <v/>
      </c>
      <c r="AI21" s="44">
        <f>IF(MOD(30,3)=0,$B$14,0)</f>
        <v/>
      </c>
      <c r="AJ21" s="44">
        <f>IF(MOD(31,3)=0,$B$14,0)</f>
        <v/>
      </c>
      <c r="AK21" s="44">
        <f>IF(MOD(32,3)=0,$B$14,0)</f>
        <v/>
      </c>
      <c r="AL21" s="44">
        <f>IF(MOD(33,3)=0,$B$14,0)</f>
        <v/>
      </c>
      <c r="AM21" s="44">
        <f>IF(MOD(34,3)=0,$B$14,0)</f>
        <v/>
      </c>
      <c r="AN21" s="44">
        <f>IF(MOD(35,3)=0,$B$14,0)</f>
        <v/>
      </c>
      <c r="AO21" s="44">
        <f>IF(MOD(36,3)=0,$B$14,0)</f>
        <v/>
      </c>
      <c r="AP21" s="44">
        <f>IF(MOD(37,3)=0,$B$14,0)</f>
        <v/>
      </c>
      <c r="AQ21" s="44">
        <f>IF(MOD(38,3)=0,$B$14,0)</f>
        <v/>
      </c>
      <c r="AR21" s="44">
        <f>IF(MOD(39,3)=0,$B$14,0)</f>
        <v/>
      </c>
      <c r="AS21" s="44">
        <f>IF(MOD(40,3)=0,$B$14,0)</f>
        <v/>
      </c>
      <c r="AT21" s="44">
        <f>IF(MOD(41,3)=0,$B$14,0)</f>
        <v/>
      </c>
      <c r="AU21" s="44">
        <f>IF(MOD(42,3)=0,$B$14,0)</f>
        <v/>
      </c>
      <c r="AV21" s="44">
        <f>IF(MOD(43,3)=0,$B$14,0)</f>
        <v/>
      </c>
      <c r="AW21" s="44">
        <f>IF(MOD(44,3)=0,$B$14,0)</f>
        <v/>
      </c>
      <c r="AX21" s="44">
        <f>IF(MOD(45,3)=0,$B$14,0)</f>
        <v/>
      </c>
      <c r="AY21" s="44">
        <f>IF(MOD(46,3)=0,$B$14,0)</f>
        <v/>
      </c>
      <c r="AZ21" s="44">
        <f>IF(MOD(47,3)=0,$B$14,0)</f>
        <v/>
      </c>
      <c r="BA21" s="44">
        <f>IF(MOD(48,3)=0,$B$14,0)</f>
        <v/>
      </c>
      <c r="BB21" s="44">
        <f>IF(MOD(49,3)=0,$B$14,0)</f>
        <v/>
      </c>
      <c r="BC21" s="44">
        <f>IF(MOD(50,3)=0,$B$14,0)</f>
        <v/>
      </c>
      <c r="BD21" s="44">
        <f>IF(MOD(51,3)=0,$B$14,0)</f>
        <v/>
      </c>
      <c r="BE21" s="44">
        <f>IF(MOD(52,3)=0,$B$14,0)</f>
        <v/>
      </c>
      <c r="BF21" s="44">
        <f>IF(MOD(53,3)=0,$B$14,0)</f>
        <v/>
      </c>
      <c r="BG21" s="44">
        <f>IF(MOD(54,3)=0,$B$14,0)</f>
        <v/>
      </c>
      <c r="BH21" s="44">
        <f>IF(MOD(55,3)=0,$B$14,0)</f>
        <v/>
      </c>
      <c r="BI21" s="44">
        <f>IF(MOD(56,3)=0,$B$14,0)</f>
        <v/>
      </c>
      <c r="BJ21" s="44">
        <f>IF(MOD(57,3)=0,$B$14,0)</f>
        <v/>
      </c>
      <c r="BK21" s="44">
        <f>IF(MOD(58,3)=0,$B$14,0)</f>
        <v/>
      </c>
      <c r="BL21" s="44">
        <f>IF(MOD(59,3)=0,$B$14,0)</f>
        <v/>
      </c>
      <c r="BM21" s="44">
        <f>IF(MOD(60,3)=0,$B$14,0)</f>
        <v/>
      </c>
      <c r="BN21" s="44">
        <f>IF(MOD(61,3)=0,$B$14,0)</f>
        <v/>
      </c>
      <c r="BO21" s="44">
        <f>IF(MOD(62,3)=0,$B$14,0)</f>
        <v/>
      </c>
      <c r="BP21" s="44">
        <f>IF(MOD(63,3)=0,$B$14,0)</f>
        <v/>
      </c>
      <c r="BQ21" s="44">
        <f>IF(MOD(64,3)=0,$B$14,0)</f>
        <v/>
      </c>
      <c r="BR21" s="44">
        <f>IF(MOD(65,3)=0,$B$14,0)</f>
        <v/>
      </c>
      <c r="BS21" s="44">
        <f>IF(MOD(66,3)=0,$B$14,0)</f>
        <v/>
      </c>
      <c r="BT21" s="44">
        <f>IF(MOD(67,3)=0,$B$14,0)</f>
        <v/>
      </c>
      <c r="BU21" s="44">
        <f>IF(MOD(68,3)=0,$B$14,0)</f>
        <v/>
      </c>
      <c r="BV21" s="44">
        <f>IF(MOD(69,3)=0,$B$14,0)</f>
        <v/>
      </c>
      <c r="BW21" s="44">
        <f>IF(MOD(70,3)=0,$B$14,0)</f>
        <v/>
      </c>
      <c r="BX21" s="44">
        <f>IF(MOD(71,3)=0,$B$14,0)</f>
        <v/>
      </c>
      <c r="BY21" s="44">
        <f>IF(MOD(72,3)=0,$B$14,0)</f>
        <v/>
      </c>
      <c r="BZ21" s="44">
        <f>IF(MOD(73,3)=0,$B$14,0)</f>
        <v/>
      </c>
      <c r="CA21" s="44">
        <f>IF(MOD(74,3)=0,$B$14,0)</f>
        <v/>
      </c>
      <c r="CB21" s="44">
        <f>IF(MOD(75,3)=0,$B$14,0)</f>
        <v/>
      </c>
      <c r="CC21" s="44">
        <f>IF(MOD(76,3)=0,$B$14,0)</f>
        <v/>
      </c>
      <c r="CD21" s="44">
        <f>IF(MOD(77,3)=0,$B$14,0)</f>
        <v/>
      </c>
      <c r="CE21" s="44">
        <f>IF(MOD(78,3)=0,$B$14,0)</f>
        <v/>
      </c>
      <c r="CF21" s="44">
        <f>IF(MOD(79,3)=0,$B$14,0)</f>
        <v/>
      </c>
      <c r="CG21" s="44">
        <f>IF(MOD(80,3)=0,$B$14,0)</f>
        <v/>
      </c>
      <c r="CH21" s="44">
        <f>IF(MOD(81,3)=0,$B$14,0)</f>
        <v/>
      </c>
      <c r="CI21" s="44">
        <f>IF(MOD(82,3)=0,$B$14,0)</f>
        <v/>
      </c>
      <c r="CJ21" s="44">
        <f>IF(MOD(83,3)=0,$B$14,0)</f>
        <v/>
      </c>
      <c r="CK21" s="44">
        <f>IF(MOD(84,3)=0,$B$14,0)</f>
        <v/>
      </c>
      <c r="CL21" s="44">
        <f>IF(MOD(85,3)=0,$B$14,0)</f>
        <v/>
      </c>
      <c r="CM21" s="44">
        <f>IF(MOD(86,3)=0,$B$14,0)</f>
        <v/>
      </c>
      <c r="CN21" s="44">
        <f>IF(MOD(87,3)=0,$B$14,0)</f>
        <v/>
      </c>
      <c r="CO21" s="44">
        <f>IF(MOD(88,3)=0,$B$14,0)</f>
        <v/>
      </c>
      <c r="CP21" s="44">
        <f>IF(MOD(89,3)=0,$B$14,0)</f>
        <v/>
      </c>
      <c r="CQ21" s="44">
        <f>IF(MOD(90,3)=0,$B$14,0)</f>
        <v/>
      </c>
      <c r="CR21" s="44">
        <f>IF(MOD(91,3)=0,$B$14,0)</f>
        <v/>
      </c>
      <c r="CS21" s="44">
        <f>IF(MOD(92,3)=0,$B$14,0)</f>
        <v/>
      </c>
      <c r="CT21" s="44">
        <f>IF(MOD(93,3)=0,$B$14,0)</f>
        <v/>
      </c>
      <c r="CU21" s="44">
        <f>IF(MOD(94,3)=0,$B$14,0)</f>
        <v/>
      </c>
      <c r="CV21" s="44">
        <f>IF(MOD(95,3)=0,$B$14,0)</f>
        <v/>
      </c>
      <c r="CW21" s="44">
        <f>IF(MOD(96,3)=0,$B$14,0)</f>
        <v/>
      </c>
      <c r="CX21" s="44">
        <f>IF(MOD(97,3)=0,$B$14,0)</f>
        <v/>
      </c>
      <c r="CY21" s="44">
        <f>IF(MOD(98,3)=0,$B$14,0)</f>
        <v/>
      </c>
      <c r="CZ21" s="44">
        <f>IF(MOD(99,3)=0,$B$14,0)</f>
        <v/>
      </c>
      <c r="DA21" s="44">
        <f>IF(MOD(100,3)=0,$B$14,0)</f>
        <v/>
      </c>
      <c r="DB21" s="44">
        <f>IF(MOD(101,3)=0,$B$14,0)</f>
        <v/>
      </c>
      <c r="DC21" s="44">
        <f>IF(MOD(102,3)=0,$B$14,0)</f>
        <v/>
      </c>
      <c r="DD21" s="44">
        <f>IF(MOD(103,3)=0,$B$14,0)</f>
        <v/>
      </c>
      <c r="DE21" s="44">
        <f>IF(MOD(104,3)=0,$B$14,0)</f>
        <v/>
      </c>
      <c r="DF21" s="44">
        <f>IF(MOD(105,3)=0,$B$14,0)</f>
        <v/>
      </c>
      <c r="DG21" s="44">
        <f>IF(MOD(106,3)=0,$B$14,0)</f>
        <v/>
      </c>
      <c r="DH21" s="44">
        <f>IF(MOD(107,3)=0,$B$14,0)</f>
        <v/>
      </c>
      <c r="DI21" s="44">
        <f>IF(MOD(108,3)=0,$B$14,0)</f>
        <v/>
      </c>
      <c r="DJ21" s="44">
        <f>IF(MOD(109,3)=0,$B$14,0)</f>
        <v/>
      </c>
      <c r="DK21" s="44">
        <f>IF(MOD(110,3)=0,$B$14,0)</f>
        <v/>
      </c>
      <c r="DL21" s="44">
        <f>IF(MOD(111,3)=0,$B$14,0)</f>
        <v/>
      </c>
      <c r="DM21" s="44">
        <f>IF(MOD(112,3)=0,$B$14,0)</f>
        <v/>
      </c>
      <c r="DN21" s="44">
        <f>IF(MOD(113,3)=0,$B$14,0)</f>
        <v/>
      </c>
      <c r="DO21" s="44">
        <f>IF(MOD(114,3)=0,$B$14,0)</f>
        <v/>
      </c>
      <c r="DP21" s="44">
        <f>IF(MOD(115,3)=0,$B$14,0)</f>
        <v/>
      </c>
      <c r="DQ21" s="44">
        <f>IF(MOD(116,3)=0,$B$14,0)</f>
        <v/>
      </c>
      <c r="DR21" s="44">
        <f>IF(MOD(117,3)=0,$B$14,0)</f>
        <v/>
      </c>
      <c r="DS21" s="44">
        <f>IF(MOD(118,3)=0,$B$14,0)</f>
        <v/>
      </c>
      <c r="DT21" s="44">
        <f>IF(MOD(119,3)=0,$B$14,0)</f>
        <v/>
      </c>
      <c r="DU21" s="44">
        <f>IF(MOD(120,3)=0,$B$14,0)</f>
        <v/>
      </c>
    </row>
    <row r="22">
      <c r="A22" t="inlineStr">
        <is>
          <t>Closing balance</t>
        </is>
      </c>
      <c r="E22" s="44" t="n">
        <v>0</v>
      </c>
      <c r="F22" s="45">
        <f>F18+F19-F21</f>
        <v/>
      </c>
      <c r="G22" s="45">
        <f>G18+G19-G21</f>
        <v/>
      </c>
      <c r="H22" s="45">
        <f>H18+H19-H21</f>
        <v/>
      </c>
      <c r="I22" s="45">
        <f>I18+I19-I21</f>
        <v/>
      </c>
      <c r="J22" s="45">
        <f>J18+J19-J21</f>
        <v/>
      </c>
      <c r="K22" s="45">
        <f>K18+K19-K21</f>
        <v/>
      </c>
      <c r="L22" s="45">
        <f>L18+L19-L21</f>
        <v/>
      </c>
      <c r="M22" s="45">
        <f>M18+M19-M21</f>
        <v/>
      </c>
      <c r="N22" s="45">
        <f>N18+N19-N21</f>
        <v/>
      </c>
      <c r="O22" s="45">
        <f>O18+O19-O21</f>
        <v/>
      </c>
      <c r="P22" s="45">
        <f>P18+P19-P21</f>
        <v/>
      </c>
      <c r="Q22" s="45">
        <f>Q18+Q19-Q21</f>
        <v/>
      </c>
      <c r="R22" s="45">
        <f>R18+R19-R21</f>
        <v/>
      </c>
      <c r="S22" s="45">
        <f>S18+S19-S21</f>
        <v/>
      </c>
      <c r="T22" s="45">
        <f>T18+T19-T21</f>
        <v/>
      </c>
      <c r="U22" s="45">
        <f>U18+U19-U21</f>
        <v/>
      </c>
      <c r="V22" s="45">
        <f>V18+V19-V21</f>
        <v/>
      </c>
      <c r="W22" s="45">
        <f>W18+W19-W21</f>
        <v/>
      </c>
      <c r="X22" s="45">
        <f>X18+X19-X21</f>
        <v/>
      </c>
      <c r="Y22" s="45">
        <f>Y18+Y19-Y21</f>
        <v/>
      </c>
      <c r="Z22" s="45">
        <f>Z18+Z19-Z21</f>
        <v/>
      </c>
      <c r="AA22" s="45">
        <f>AA18+AA19-AA21</f>
        <v/>
      </c>
      <c r="AB22" s="45">
        <f>AB18+AB19-AB21</f>
        <v/>
      </c>
      <c r="AC22" s="45">
        <f>AC18+AC19-AC21</f>
        <v/>
      </c>
      <c r="AD22" s="45">
        <f>AD18+AD19-AD21</f>
        <v/>
      </c>
      <c r="AE22" s="45">
        <f>AE18+AE19-AE21</f>
        <v/>
      </c>
      <c r="AF22" s="45">
        <f>AF18+AF19-AF21</f>
        <v/>
      </c>
      <c r="AG22" s="45">
        <f>AG18+AG19-AG21</f>
        <v/>
      </c>
      <c r="AH22" s="45">
        <f>AH18+AH19-AH21</f>
        <v/>
      </c>
      <c r="AI22" s="45">
        <f>AI18+AI19-AI21</f>
        <v/>
      </c>
      <c r="AJ22" s="45">
        <f>AJ18+AJ19-AJ21</f>
        <v/>
      </c>
      <c r="AK22" s="45">
        <f>AK18+AK19-AK21</f>
        <v/>
      </c>
      <c r="AL22" s="45">
        <f>AL18+AL19-AL21</f>
        <v/>
      </c>
      <c r="AM22" s="45">
        <f>AM18+AM19-AM21</f>
        <v/>
      </c>
      <c r="AN22" s="45">
        <f>AN18+AN19-AN21</f>
        <v/>
      </c>
      <c r="AO22" s="45">
        <f>AO18+AO19-AO21</f>
        <v/>
      </c>
      <c r="AP22" s="45">
        <f>AP18+AP19-AP21</f>
        <v/>
      </c>
      <c r="AQ22" s="45">
        <f>AQ18+AQ19-AQ21</f>
        <v/>
      </c>
      <c r="AR22" s="45">
        <f>AR18+AR19-AR21</f>
        <v/>
      </c>
      <c r="AS22" s="45">
        <f>AS18+AS19-AS21</f>
        <v/>
      </c>
      <c r="AT22" s="45">
        <f>AT18+AT19-AT21</f>
        <v/>
      </c>
      <c r="AU22" s="45">
        <f>AU18+AU19-AU21</f>
        <v/>
      </c>
      <c r="AV22" s="45">
        <f>AV18+AV19-AV21</f>
        <v/>
      </c>
      <c r="AW22" s="45">
        <f>AW18+AW19-AW21</f>
        <v/>
      </c>
      <c r="AX22" s="45">
        <f>AX18+AX19-AX21</f>
        <v/>
      </c>
      <c r="AY22" s="45">
        <f>AY18+AY19-AY21</f>
        <v/>
      </c>
      <c r="AZ22" s="45">
        <f>AZ18+AZ19-AZ21</f>
        <v/>
      </c>
      <c r="BA22" s="45">
        <f>BA18+BA19-BA21</f>
        <v/>
      </c>
      <c r="BB22" s="45">
        <f>BB18+BB19-BB21</f>
        <v/>
      </c>
      <c r="BC22" s="45">
        <f>BC18+BC19-BC21</f>
        <v/>
      </c>
      <c r="BD22" s="45">
        <f>BD18+BD19-BD21</f>
        <v/>
      </c>
      <c r="BE22" s="45">
        <f>BE18+BE19-BE21</f>
        <v/>
      </c>
      <c r="BF22" s="45">
        <f>BF18+BF19-BF21</f>
        <v/>
      </c>
      <c r="BG22" s="45">
        <f>BG18+BG19-BG21</f>
        <v/>
      </c>
      <c r="BH22" s="45">
        <f>BH18+BH19-BH21</f>
        <v/>
      </c>
      <c r="BI22" s="45">
        <f>BI18+BI19-BI21</f>
        <v/>
      </c>
      <c r="BJ22" s="45">
        <f>BJ18+BJ19-BJ21</f>
        <v/>
      </c>
      <c r="BK22" s="45">
        <f>BK18+BK19-BK21</f>
        <v/>
      </c>
      <c r="BL22" s="45">
        <f>BL18+BL19-BL21</f>
        <v/>
      </c>
      <c r="BM22" s="45">
        <f>BM18+BM19-BM21</f>
        <v/>
      </c>
      <c r="BN22" s="45">
        <f>BN18+BN19-BN21</f>
        <v/>
      </c>
      <c r="BO22" s="45">
        <f>BO18+BO19-BO21</f>
        <v/>
      </c>
      <c r="BP22" s="45">
        <f>BP18+BP19-BP21</f>
        <v/>
      </c>
      <c r="BQ22" s="45">
        <f>BQ18+BQ19-BQ21</f>
        <v/>
      </c>
      <c r="BR22" s="45">
        <f>BR18+BR19-BR21</f>
        <v/>
      </c>
      <c r="BS22" s="45">
        <f>BS18+BS19-BS21</f>
        <v/>
      </c>
      <c r="BT22" s="45">
        <f>BT18+BT19-BT21</f>
        <v/>
      </c>
      <c r="BU22" s="45">
        <f>BU18+BU19-BU21</f>
        <v/>
      </c>
      <c r="BV22" s="45">
        <f>BV18+BV19-BV21</f>
        <v/>
      </c>
      <c r="BW22" s="45">
        <f>BW18+BW19-BW21</f>
        <v/>
      </c>
      <c r="BX22" s="45">
        <f>BX18+BX19-BX21</f>
        <v/>
      </c>
      <c r="BY22" s="45">
        <f>BY18+BY19-BY21</f>
        <v/>
      </c>
      <c r="BZ22" s="45">
        <f>BZ18+BZ19-BZ21</f>
        <v/>
      </c>
      <c r="CA22" s="45">
        <f>CA18+CA19-CA21</f>
        <v/>
      </c>
      <c r="CB22" s="45">
        <f>CB18+CB19-CB21</f>
        <v/>
      </c>
      <c r="CC22" s="45">
        <f>CC18+CC19-CC21</f>
        <v/>
      </c>
      <c r="CD22" s="45">
        <f>CD18+CD19-CD21</f>
        <v/>
      </c>
      <c r="CE22" s="45">
        <f>CE18+CE19-CE21</f>
        <v/>
      </c>
      <c r="CF22" s="45">
        <f>CF18+CF19-CF21</f>
        <v/>
      </c>
      <c r="CG22" s="45">
        <f>CG18+CG19-CG21</f>
        <v/>
      </c>
      <c r="CH22" s="45">
        <f>CH18+CH19-CH21</f>
        <v/>
      </c>
      <c r="CI22" s="45">
        <f>CI18+CI19-CI21</f>
        <v/>
      </c>
      <c r="CJ22" s="45">
        <f>CJ18+CJ19-CJ21</f>
        <v/>
      </c>
      <c r="CK22" s="45">
        <f>CK18+CK19-CK21</f>
        <v/>
      </c>
      <c r="CL22" s="45">
        <f>CL18+CL19-CL21</f>
        <v/>
      </c>
      <c r="CM22" s="45">
        <f>CM18+CM19-CM21</f>
        <v/>
      </c>
      <c r="CN22" s="45">
        <f>CN18+CN19-CN21</f>
        <v/>
      </c>
      <c r="CO22" s="45">
        <f>CO18+CO19-CO21</f>
        <v/>
      </c>
      <c r="CP22" s="45">
        <f>CP18+CP19-CP21</f>
        <v/>
      </c>
      <c r="CQ22" s="45">
        <f>CQ18+CQ19-CQ21</f>
        <v/>
      </c>
      <c r="CR22" s="45">
        <f>CR18+CR19-CR21</f>
        <v/>
      </c>
      <c r="CS22" s="45">
        <f>CS18+CS19-CS21</f>
        <v/>
      </c>
      <c r="CT22" s="45">
        <f>CT18+CT19-CT21</f>
        <v/>
      </c>
      <c r="CU22" s="45">
        <f>CU18+CU19-CU21</f>
        <v/>
      </c>
      <c r="CV22" s="45">
        <f>CV18+CV19-CV21</f>
        <v/>
      </c>
      <c r="CW22" s="45">
        <f>CW18+CW19-CW21</f>
        <v/>
      </c>
      <c r="CX22" s="45">
        <f>CX18+CX19-CX21</f>
        <v/>
      </c>
      <c r="CY22" s="45">
        <f>CY18+CY19-CY21</f>
        <v/>
      </c>
      <c r="CZ22" s="45">
        <f>CZ18+CZ19-CZ21</f>
        <v/>
      </c>
      <c r="DA22" s="45">
        <f>DA18+DA19-DA21</f>
        <v/>
      </c>
      <c r="DB22" s="45">
        <f>DB18+DB19-DB21</f>
        <v/>
      </c>
      <c r="DC22" s="45">
        <f>DC18+DC19-DC21</f>
        <v/>
      </c>
      <c r="DD22" s="45">
        <f>DD18+DD19-DD21</f>
        <v/>
      </c>
      <c r="DE22" s="45">
        <f>DE18+DE19-DE21</f>
        <v/>
      </c>
      <c r="DF22" s="45">
        <f>DF18+DF19-DF21</f>
        <v/>
      </c>
      <c r="DG22" s="45">
        <f>DG18+DG19-DG21</f>
        <v/>
      </c>
      <c r="DH22" s="45">
        <f>DH18+DH19-DH21</f>
        <v/>
      </c>
      <c r="DI22" s="45">
        <f>DI18+DI19-DI21</f>
        <v/>
      </c>
      <c r="DJ22" s="45">
        <f>DJ18+DJ19-DJ21</f>
        <v/>
      </c>
      <c r="DK22" s="45">
        <f>DK18+DK19-DK21</f>
        <v/>
      </c>
      <c r="DL22" s="45">
        <f>DL18+DL19-DL21</f>
        <v/>
      </c>
      <c r="DM22" s="45">
        <f>DM18+DM19-DM21</f>
        <v/>
      </c>
      <c r="DN22" s="45">
        <f>DN18+DN19-DN21</f>
        <v/>
      </c>
      <c r="DO22" s="45">
        <f>DO18+DO19-DO21</f>
        <v/>
      </c>
      <c r="DP22" s="45">
        <f>DP18+DP19-DP21</f>
        <v/>
      </c>
      <c r="DQ22" s="45">
        <f>DQ18+DQ19-DQ21</f>
        <v/>
      </c>
      <c r="DR22" s="45">
        <f>DR18+DR19-DR21</f>
        <v/>
      </c>
      <c r="DS22" s="45">
        <f>DS18+DS19-DS21</f>
        <v/>
      </c>
      <c r="DT22" s="45">
        <f>DT18+DT19-DT21</f>
        <v/>
      </c>
      <c r="DU22" s="45">
        <f>DU18+DU19-DU21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U19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</cols>
  <sheetData>
    <row r="1" ht="25" customHeight="1">
      <c r="A1" s="1" t="inlineStr">
        <is>
          <t>EQUITY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8">
      <c r="A8" s="11" t="inlineStr">
        <is>
          <t>Equity Injections</t>
        </is>
      </c>
    </row>
    <row r="9">
      <c r="A9" s="12" t="inlineStr">
        <is>
          <t>Description</t>
        </is>
      </c>
      <c r="B9" s="12" t="inlineStr">
        <is>
          <t>Month</t>
        </is>
      </c>
      <c r="C9" s="12" t="inlineStr">
        <is>
          <t>Amount ($)</t>
        </is>
      </c>
    </row>
    <row r="10">
      <c r="A10" t="inlineStr">
        <is>
          <t>Initial equity</t>
        </is>
      </c>
      <c r="B10" s="5" t="n">
        <v>1</v>
      </c>
      <c r="C10" s="37" t="n">
        <v>40000000</v>
      </c>
    </row>
    <row r="14">
      <c r="A14" s="43" t="inlineStr">
        <is>
          <t>EQUITY ROLL-FORWARD</t>
        </is>
      </c>
      <c r="E14" s="47" t="inlineStr">
        <is>
          <t>M0</t>
        </is>
      </c>
    </row>
    <row r="15">
      <c r="A15" t="inlineStr">
        <is>
          <t>Opening equity</t>
        </is>
      </c>
      <c r="E15" s="44" t="n">
        <v>0</v>
      </c>
      <c r="F15" s="44">
        <f>E19</f>
        <v/>
      </c>
      <c r="G15" s="44">
        <f>F19</f>
        <v/>
      </c>
      <c r="H15" s="44">
        <f>G19</f>
        <v/>
      </c>
      <c r="I15" s="44">
        <f>H19</f>
        <v/>
      </c>
      <c r="J15" s="44">
        <f>I19</f>
        <v/>
      </c>
      <c r="K15" s="44">
        <f>J19</f>
        <v/>
      </c>
      <c r="L15" s="44">
        <f>K19</f>
        <v/>
      </c>
      <c r="M15" s="44">
        <f>L19</f>
        <v/>
      </c>
      <c r="N15" s="44">
        <f>M19</f>
        <v/>
      </c>
      <c r="O15" s="44">
        <f>N19</f>
        <v/>
      </c>
      <c r="P15" s="44">
        <f>O19</f>
        <v/>
      </c>
      <c r="Q15" s="44">
        <f>P19</f>
        <v/>
      </c>
      <c r="R15" s="44">
        <f>Q19</f>
        <v/>
      </c>
      <c r="S15" s="44">
        <f>R19</f>
        <v/>
      </c>
      <c r="T15" s="44">
        <f>S19</f>
        <v/>
      </c>
      <c r="U15" s="44">
        <f>T19</f>
        <v/>
      </c>
      <c r="V15" s="44">
        <f>U19</f>
        <v/>
      </c>
      <c r="W15" s="44">
        <f>V19</f>
        <v/>
      </c>
      <c r="X15" s="44">
        <f>W19</f>
        <v/>
      </c>
      <c r="Y15" s="44">
        <f>X19</f>
        <v/>
      </c>
      <c r="Z15" s="44">
        <f>Y19</f>
        <v/>
      </c>
      <c r="AA15" s="44">
        <f>Z19</f>
        <v/>
      </c>
      <c r="AB15" s="44">
        <f>AA19</f>
        <v/>
      </c>
      <c r="AC15" s="44">
        <f>AB19</f>
        <v/>
      </c>
      <c r="AD15" s="44">
        <f>AC19</f>
        <v/>
      </c>
      <c r="AE15" s="44">
        <f>AD19</f>
        <v/>
      </c>
      <c r="AF15" s="44">
        <f>AE19</f>
        <v/>
      </c>
      <c r="AG15" s="44">
        <f>AF19</f>
        <v/>
      </c>
      <c r="AH15" s="44">
        <f>AG19</f>
        <v/>
      </c>
      <c r="AI15" s="44">
        <f>AH19</f>
        <v/>
      </c>
      <c r="AJ15" s="44">
        <f>AI19</f>
        <v/>
      </c>
      <c r="AK15" s="44">
        <f>AJ19</f>
        <v/>
      </c>
      <c r="AL15" s="44">
        <f>AK19</f>
        <v/>
      </c>
      <c r="AM15" s="44">
        <f>AL19</f>
        <v/>
      </c>
      <c r="AN15" s="44">
        <f>AM19</f>
        <v/>
      </c>
      <c r="AO15" s="44">
        <f>AN19</f>
        <v/>
      </c>
      <c r="AP15" s="44">
        <f>AO19</f>
        <v/>
      </c>
      <c r="AQ15" s="44">
        <f>AP19</f>
        <v/>
      </c>
      <c r="AR15" s="44">
        <f>AQ19</f>
        <v/>
      </c>
      <c r="AS15" s="44">
        <f>AR19</f>
        <v/>
      </c>
      <c r="AT15" s="44">
        <f>AS19</f>
        <v/>
      </c>
      <c r="AU15" s="44">
        <f>AT19</f>
        <v/>
      </c>
      <c r="AV15" s="44">
        <f>AU19</f>
        <v/>
      </c>
      <c r="AW15" s="44">
        <f>AV19</f>
        <v/>
      </c>
      <c r="AX15" s="44">
        <f>AW19</f>
        <v/>
      </c>
      <c r="AY15" s="44">
        <f>AX19</f>
        <v/>
      </c>
      <c r="AZ15" s="44">
        <f>AY19</f>
        <v/>
      </c>
      <c r="BA15" s="44">
        <f>AZ19</f>
        <v/>
      </c>
      <c r="BB15" s="44">
        <f>BA19</f>
        <v/>
      </c>
      <c r="BC15" s="44">
        <f>BB19</f>
        <v/>
      </c>
      <c r="BD15" s="44">
        <f>BC19</f>
        <v/>
      </c>
      <c r="BE15" s="44">
        <f>BD19</f>
        <v/>
      </c>
      <c r="BF15" s="44">
        <f>BE19</f>
        <v/>
      </c>
      <c r="BG15" s="44">
        <f>BF19</f>
        <v/>
      </c>
      <c r="BH15" s="44">
        <f>BG19</f>
        <v/>
      </c>
      <c r="BI15" s="44">
        <f>BH19</f>
        <v/>
      </c>
      <c r="BJ15" s="44">
        <f>BI19</f>
        <v/>
      </c>
      <c r="BK15" s="44">
        <f>BJ19</f>
        <v/>
      </c>
      <c r="BL15" s="44">
        <f>BK19</f>
        <v/>
      </c>
      <c r="BM15" s="44">
        <f>BL19</f>
        <v/>
      </c>
      <c r="BN15" s="44">
        <f>BM19</f>
        <v/>
      </c>
      <c r="BO15" s="44">
        <f>BN19</f>
        <v/>
      </c>
      <c r="BP15" s="44">
        <f>BO19</f>
        <v/>
      </c>
      <c r="BQ15" s="44">
        <f>BP19</f>
        <v/>
      </c>
      <c r="BR15" s="44">
        <f>BQ19</f>
        <v/>
      </c>
      <c r="BS15" s="44">
        <f>BR19</f>
        <v/>
      </c>
      <c r="BT15" s="44">
        <f>BS19</f>
        <v/>
      </c>
      <c r="BU15" s="44">
        <f>BT19</f>
        <v/>
      </c>
      <c r="BV15" s="44">
        <f>BU19</f>
        <v/>
      </c>
      <c r="BW15" s="44">
        <f>BV19</f>
        <v/>
      </c>
      <c r="BX15" s="44">
        <f>BW19</f>
        <v/>
      </c>
      <c r="BY15" s="44">
        <f>BX19</f>
        <v/>
      </c>
      <c r="BZ15" s="44">
        <f>BY19</f>
        <v/>
      </c>
      <c r="CA15" s="44">
        <f>BZ19</f>
        <v/>
      </c>
      <c r="CB15" s="44">
        <f>CA19</f>
        <v/>
      </c>
      <c r="CC15" s="44">
        <f>CB19</f>
        <v/>
      </c>
      <c r="CD15" s="44">
        <f>CC19</f>
        <v/>
      </c>
      <c r="CE15" s="44">
        <f>CD19</f>
        <v/>
      </c>
      <c r="CF15" s="44">
        <f>CE19</f>
        <v/>
      </c>
      <c r="CG15" s="44">
        <f>CF19</f>
        <v/>
      </c>
      <c r="CH15" s="44">
        <f>CG19</f>
        <v/>
      </c>
      <c r="CI15" s="44">
        <f>CH19</f>
        <v/>
      </c>
      <c r="CJ15" s="44">
        <f>CI19</f>
        <v/>
      </c>
      <c r="CK15" s="44">
        <f>CJ19</f>
        <v/>
      </c>
      <c r="CL15" s="44">
        <f>CK19</f>
        <v/>
      </c>
      <c r="CM15" s="44">
        <f>CL19</f>
        <v/>
      </c>
      <c r="CN15" s="44">
        <f>CM19</f>
        <v/>
      </c>
      <c r="CO15" s="44">
        <f>CN19</f>
        <v/>
      </c>
      <c r="CP15" s="44">
        <f>CO19</f>
        <v/>
      </c>
      <c r="CQ15" s="44">
        <f>CP19</f>
        <v/>
      </c>
      <c r="CR15" s="44">
        <f>CQ19</f>
        <v/>
      </c>
      <c r="CS15" s="44">
        <f>CR19</f>
        <v/>
      </c>
      <c r="CT15" s="44">
        <f>CS19</f>
        <v/>
      </c>
      <c r="CU15" s="44">
        <f>CT19</f>
        <v/>
      </c>
      <c r="CV15" s="44">
        <f>CU19</f>
        <v/>
      </c>
      <c r="CW15" s="44">
        <f>CV19</f>
        <v/>
      </c>
      <c r="CX15" s="44">
        <f>CW19</f>
        <v/>
      </c>
      <c r="CY15" s="44">
        <f>CX19</f>
        <v/>
      </c>
      <c r="CZ15" s="44">
        <f>CY19</f>
        <v/>
      </c>
      <c r="DA15" s="44">
        <f>CZ19</f>
        <v/>
      </c>
      <c r="DB15" s="44">
        <f>DA19</f>
        <v/>
      </c>
      <c r="DC15" s="44">
        <f>DB19</f>
        <v/>
      </c>
      <c r="DD15" s="44">
        <f>DC19</f>
        <v/>
      </c>
      <c r="DE15" s="44">
        <f>DD19</f>
        <v/>
      </c>
      <c r="DF15" s="44">
        <f>DE19</f>
        <v/>
      </c>
      <c r="DG15" s="44">
        <f>DF19</f>
        <v/>
      </c>
      <c r="DH15" s="44">
        <f>DG19</f>
        <v/>
      </c>
      <c r="DI15" s="44">
        <f>DH19</f>
        <v/>
      </c>
      <c r="DJ15" s="44">
        <f>DI19</f>
        <v/>
      </c>
      <c r="DK15" s="44">
        <f>DJ19</f>
        <v/>
      </c>
      <c r="DL15" s="44">
        <f>DK19</f>
        <v/>
      </c>
      <c r="DM15" s="44">
        <f>DL19</f>
        <v/>
      </c>
      <c r="DN15" s="44">
        <f>DM19</f>
        <v/>
      </c>
      <c r="DO15" s="44">
        <f>DN19</f>
        <v/>
      </c>
      <c r="DP15" s="44">
        <f>DO19</f>
        <v/>
      </c>
      <c r="DQ15" s="44">
        <f>DP19</f>
        <v/>
      </c>
      <c r="DR15" s="44">
        <f>DQ19</f>
        <v/>
      </c>
      <c r="DS15" s="44">
        <f>DR19</f>
        <v/>
      </c>
      <c r="DT15" s="44">
        <f>DS19</f>
        <v/>
      </c>
      <c r="DU15" s="44">
        <f>DT19</f>
        <v/>
      </c>
    </row>
    <row r="16">
      <c r="A16" t="inlineStr">
        <is>
          <t>Equity injection</t>
        </is>
      </c>
      <c r="E16" s="44" t="n">
        <v>0</v>
      </c>
      <c r="F16" s="44">
        <f>IF(B10=1,C10,0)</f>
        <v/>
      </c>
      <c r="G16" s="44">
        <f>IF(B10=2,C10,0)</f>
        <v/>
      </c>
      <c r="H16" s="44">
        <f>IF(B10=3,C10,0)</f>
        <v/>
      </c>
      <c r="I16" s="44">
        <f>IF(B10=4,C10,0)</f>
        <v/>
      </c>
      <c r="J16" s="44">
        <f>IF(B10=5,C10,0)</f>
        <v/>
      </c>
      <c r="K16" s="44">
        <f>IF(B10=6,C10,0)</f>
        <v/>
      </c>
      <c r="L16" s="44">
        <f>IF(B10=7,C10,0)</f>
        <v/>
      </c>
      <c r="M16" s="44">
        <f>IF(B10=8,C10,0)</f>
        <v/>
      </c>
      <c r="N16" s="44">
        <f>IF(B10=9,C10,0)</f>
        <v/>
      </c>
      <c r="O16" s="44">
        <f>IF(B10=10,C10,0)</f>
        <v/>
      </c>
      <c r="P16" s="44">
        <f>IF(B10=11,C10,0)</f>
        <v/>
      </c>
      <c r="Q16" s="44">
        <f>IF(B10=12,C10,0)</f>
        <v/>
      </c>
      <c r="R16" s="44">
        <f>IF(B10=13,C10,0)</f>
        <v/>
      </c>
      <c r="S16" s="44">
        <f>IF(B10=14,C10,0)</f>
        <v/>
      </c>
      <c r="T16" s="44">
        <f>IF(B10=15,C10,0)</f>
        <v/>
      </c>
      <c r="U16" s="44">
        <f>IF(B10=16,C10,0)</f>
        <v/>
      </c>
      <c r="V16" s="44">
        <f>IF(B10=17,C10,0)</f>
        <v/>
      </c>
      <c r="W16" s="44">
        <f>IF(B10=18,C10,0)</f>
        <v/>
      </c>
      <c r="X16" s="44">
        <f>IF(B10=19,C10,0)</f>
        <v/>
      </c>
      <c r="Y16" s="44">
        <f>IF(B10=20,C10,0)</f>
        <v/>
      </c>
      <c r="Z16" s="44">
        <f>IF(B10=21,C10,0)</f>
        <v/>
      </c>
      <c r="AA16" s="44">
        <f>IF(B10=22,C10,0)</f>
        <v/>
      </c>
      <c r="AB16" s="44">
        <f>IF(B10=23,C10,0)</f>
        <v/>
      </c>
      <c r="AC16" s="44">
        <f>IF(B10=24,C10,0)</f>
        <v/>
      </c>
      <c r="AD16" s="44">
        <f>IF(B10=25,C10,0)</f>
        <v/>
      </c>
      <c r="AE16" s="44">
        <f>IF(B10=26,C10,0)</f>
        <v/>
      </c>
      <c r="AF16" s="44">
        <f>IF(B10=27,C10,0)</f>
        <v/>
      </c>
      <c r="AG16" s="44">
        <f>IF(B10=28,C10,0)</f>
        <v/>
      </c>
      <c r="AH16" s="44">
        <f>IF(B10=29,C10,0)</f>
        <v/>
      </c>
      <c r="AI16" s="44">
        <f>IF(B10=30,C10,0)</f>
        <v/>
      </c>
      <c r="AJ16" s="44">
        <f>IF(B10=31,C10,0)</f>
        <v/>
      </c>
      <c r="AK16" s="44">
        <f>IF(B10=32,C10,0)</f>
        <v/>
      </c>
      <c r="AL16" s="44">
        <f>IF(B10=33,C10,0)</f>
        <v/>
      </c>
      <c r="AM16" s="44">
        <f>IF(B10=34,C10,0)</f>
        <v/>
      </c>
      <c r="AN16" s="44">
        <f>IF(B10=35,C10,0)</f>
        <v/>
      </c>
      <c r="AO16" s="44">
        <f>IF(B10=36,C10,0)</f>
        <v/>
      </c>
      <c r="AP16" s="44">
        <f>IF(B10=37,C10,0)</f>
        <v/>
      </c>
      <c r="AQ16" s="44">
        <f>IF(B10=38,C10,0)</f>
        <v/>
      </c>
      <c r="AR16" s="44">
        <f>IF(B10=39,C10,0)</f>
        <v/>
      </c>
      <c r="AS16" s="44">
        <f>IF(B10=40,C10,0)</f>
        <v/>
      </c>
      <c r="AT16" s="44">
        <f>IF(B10=41,C10,0)</f>
        <v/>
      </c>
      <c r="AU16" s="44">
        <f>IF(B10=42,C10,0)</f>
        <v/>
      </c>
      <c r="AV16" s="44">
        <f>IF(B10=43,C10,0)</f>
        <v/>
      </c>
      <c r="AW16" s="44">
        <f>IF(B10=44,C10,0)</f>
        <v/>
      </c>
      <c r="AX16" s="44">
        <f>IF(B10=45,C10,0)</f>
        <v/>
      </c>
      <c r="AY16" s="44">
        <f>IF(B10=46,C10,0)</f>
        <v/>
      </c>
      <c r="AZ16" s="44">
        <f>IF(B10=47,C10,0)</f>
        <v/>
      </c>
      <c r="BA16" s="44">
        <f>IF(B10=48,C10,0)</f>
        <v/>
      </c>
      <c r="BB16" s="44">
        <f>IF(B10=49,C10,0)</f>
        <v/>
      </c>
      <c r="BC16" s="44">
        <f>IF(B10=50,C10,0)</f>
        <v/>
      </c>
      <c r="BD16" s="44">
        <f>IF(B10=51,C10,0)</f>
        <v/>
      </c>
      <c r="BE16" s="44">
        <f>IF(B10=52,C10,0)</f>
        <v/>
      </c>
      <c r="BF16" s="44">
        <f>IF(B10=53,C10,0)</f>
        <v/>
      </c>
      <c r="BG16" s="44">
        <f>IF(B10=54,C10,0)</f>
        <v/>
      </c>
      <c r="BH16" s="44">
        <f>IF(B10=55,C10,0)</f>
        <v/>
      </c>
      <c r="BI16" s="44">
        <f>IF(B10=56,C10,0)</f>
        <v/>
      </c>
      <c r="BJ16" s="44">
        <f>IF(B10=57,C10,0)</f>
        <v/>
      </c>
      <c r="BK16" s="44">
        <f>IF(B10=58,C10,0)</f>
        <v/>
      </c>
      <c r="BL16" s="44">
        <f>IF(B10=59,C10,0)</f>
        <v/>
      </c>
      <c r="BM16" s="44">
        <f>IF(B10=60,C10,0)</f>
        <v/>
      </c>
      <c r="BN16" s="44">
        <f>IF(B10=61,C10,0)</f>
        <v/>
      </c>
      <c r="BO16" s="44">
        <f>IF(B10=62,C10,0)</f>
        <v/>
      </c>
      <c r="BP16" s="44">
        <f>IF(B10=63,C10,0)</f>
        <v/>
      </c>
      <c r="BQ16" s="44">
        <f>IF(B10=64,C10,0)</f>
        <v/>
      </c>
      <c r="BR16" s="44">
        <f>IF(B10=65,C10,0)</f>
        <v/>
      </c>
      <c r="BS16" s="44">
        <f>IF(B10=66,C10,0)</f>
        <v/>
      </c>
      <c r="BT16" s="44">
        <f>IF(B10=67,C10,0)</f>
        <v/>
      </c>
      <c r="BU16" s="44">
        <f>IF(B10=68,C10,0)</f>
        <v/>
      </c>
      <c r="BV16" s="44">
        <f>IF(B10=69,C10,0)</f>
        <v/>
      </c>
      <c r="BW16" s="44">
        <f>IF(B10=70,C10,0)</f>
        <v/>
      </c>
      <c r="BX16" s="44">
        <f>IF(B10=71,C10,0)</f>
        <v/>
      </c>
      <c r="BY16" s="44">
        <f>IF(B10=72,C10,0)</f>
        <v/>
      </c>
      <c r="BZ16" s="44">
        <f>IF(B10=73,C10,0)</f>
        <v/>
      </c>
      <c r="CA16" s="44">
        <f>IF(B10=74,C10,0)</f>
        <v/>
      </c>
      <c r="CB16" s="44">
        <f>IF(B10=75,C10,0)</f>
        <v/>
      </c>
      <c r="CC16" s="44">
        <f>IF(B10=76,C10,0)</f>
        <v/>
      </c>
      <c r="CD16" s="44">
        <f>IF(B10=77,C10,0)</f>
        <v/>
      </c>
      <c r="CE16" s="44">
        <f>IF(B10=78,C10,0)</f>
        <v/>
      </c>
      <c r="CF16" s="44">
        <f>IF(B10=79,C10,0)</f>
        <v/>
      </c>
      <c r="CG16" s="44">
        <f>IF(B10=80,C10,0)</f>
        <v/>
      </c>
      <c r="CH16" s="44">
        <f>IF(B10=81,C10,0)</f>
        <v/>
      </c>
      <c r="CI16" s="44">
        <f>IF(B10=82,C10,0)</f>
        <v/>
      </c>
      <c r="CJ16" s="44">
        <f>IF(B10=83,C10,0)</f>
        <v/>
      </c>
      <c r="CK16" s="44">
        <f>IF(B10=84,C10,0)</f>
        <v/>
      </c>
      <c r="CL16" s="44">
        <f>IF(B10=85,C10,0)</f>
        <v/>
      </c>
      <c r="CM16" s="44">
        <f>IF(B10=86,C10,0)</f>
        <v/>
      </c>
      <c r="CN16" s="44">
        <f>IF(B10=87,C10,0)</f>
        <v/>
      </c>
      <c r="CO16" s="44">
        <f>IF(B10=88,C10,0)</f>
        <v/>
      </c>
      <c r="CP16" s="44">
        <f>IF(B10=89,C10,0)</f>
        <v/>
      </c>
      <c r="CQ16" s="44">
        <f>IF(B10=90,C10,0)</f>
        <v/>
      </c>
      <c r="CR16" s="44">
        <f>IF(B10=91,C10,0)</f>
        <v/>
      </c>
      <c r="CS16" s="44">
        <f>IF(B10=92,C10,0)</f>
        <v/>
      </c>
      <c r="CT16" s="44">
        <f>IF(B10=93,C10,0)</f>
        <v/>
      </c>
      <c r="CU16" s="44">
        <f>IF(B10=94,C10,0)</f>
        <v/>
      </c>
      <c r="CV16" s="44">
        <f>IF(B10=95,C10,0)</f>
        <v/>
      </c>
      <c r="CW16" s="44">
        <f>IF(B10=96,C10,0)</f>
        <v/>
      </c>
      <c r="CX16" s="44">
        <f>IF(B10=97,C10,0)</f>
        <v/>
      </c>
      <c r="CY16" s="44">
        <f>IF(B10=98,C10,0)</f>
        <v/>
      </c>
      <c r="CZ16" s="44">
        <f>IF(B10=99,C10,0)</f>
        <v/>
      </c>
      <c r="DA16" s="44">
        <f>IF(B10=100,C10,0)</f>
        <v/>
      </c>
      <c r="DB16" s="44">
        <f>IF(B10=101,C10,0)</f>
        <v/>
      </c>
      <c r="DC16" s="44">
        <f>IF(B10=102,C10,0)</f>
        <v/>
      </c>
      <c r="DD16" s="44">
        <f>IF(B10=103,C10,0)</f>
        <v/>
      </c>
      <c r="DE16" s="44">
        <f>IF(B10=104,C10,0)</f>
        <v/>
      </c>
      <c r="DF16" s="44">
        <f>IF(B10=105,C10,0)</f>
        <v/>
      </c>
      <c r="DG16" s="44">
        <f>IF(B10=106,C10,0)</f>
        <v/>
      </c>
      <c r="DH16" s="44">
        <f>IF(B10=107,C10,0)</f>
        <v/>
      </c>
      <c r="DI16" s="44">
        <f>IF(B10=108,C10,0)</f>
        <v/>
      </c>
      <c r="DJ16" s="44">
        <f>IF(B10=109,C10,0)</f>
        <v/>
      </c>
      <c r="DK16" s="44">
        <f>IF(B10=110,C10,0)</f>
        <v/>
      </c>
      <c r="DL16" s="44">
        <f>IF(B10=111,C10,0)</f>
        <v/>
      </c>
      <c r="DM16" s="44">
        <f>IF(B10=112,C10,0)</f>
        <v/>
      </c>
      <c r="DN16" s="44">
        <f>IF(B10=113,C10,0)</f>
        <v/>
      </c>
      <c r="DO16" s="44">
        <f>IF(B10=114,C10,0)</f>
        <v/>
      </c>
      <c r="DP16" s="44">
        <f>IF(B10=115,C10,0)</f>
        <v/>
      </c>
      <c r="DQ16" s="44">
        <f>IF(B10=116,C10,0)</f>
        <v/>
      </c>
      <c r="DR16" s="44">
        <f>IF(B10=117,C10,0)</f>
        <v/>
      </c>
      <c r="DS16" s="44">
        <f>IF(B10=118,C10,0)</f>
        <v/>
      </c>
      <c r="DT16" s="44">
        <f>IF(B10=119,C10,0)</f>
        <v/>
      </c>
      <c r="DU16" s="44">
        <f>IF(B10=120,C10,0)</f>
        <v/>
      </c>
    </row>
    <row r="17">
      <c r="A17" t="inlineStr">
        <is>
          <t>Retained earnings (Net Income)</t>
        </is>
      </c>
      <c r="E17" s="44" t="n">
        <v>0</v>
      </c>
      <c r="F17" s="44">
        <f>PL!F40</f>
        <v/>
      </c>
      <c r="G17" s="44">
        <f>PL!G40</f>
        <v/>
      </c>
      <c r="H17" s="44">
        <f>PL!H40</f>
        <v/>
      </c>
      <c r="I17" s="44">
        <f>PL!I40</f>
        <v/>
      </c>
      <c r="J17" s="44">
        <f>PL!J40</f>
        <v/>
      </c>
      <c r="K17" s="44">
        <f>PL!K40</f>
        <v/>
      </c>
      <c r="L17" s="44">
        <f>PL!L40</f>
        <v/>
      </c>
      <c r="M17" s="44">
        <f>PL!M40</f>
        <v/>
      </c>
      <c r="N17" s="44">
        <f>PL!N40</f>
        <v/>
      </c>
      <c r="O17" s="44">
        <f>PL!O40</f>
        <v/>
      </c>
      <c r="P17" s="44">
        <f>PL!P40</f>
        <v/>
      </c>
      <c r="Q17" s="44">
        <f>PL!Q40</f>
        <v/>
      </c>
      <c r="R17" s="44">
        <f>PL!R40</f>
        <v/>
      </c>
      <c r="S17" s="44">
        <f>PL!S40</f>
        <v/>
      </c>
      <c r="T17" s="44">
        <f>PL!T40</f>
        <v/>
      </c>
      <c r="U17" s="44">
        <f>PL!U40</f>
        <v/>
      </c>
      <c r="V17" s="44">
        <f>PL!V40</f>
        <v/>
      </c>
      <c r="W17" s="44">
        <f>PL!W40</f>
        <v/>
      </c>
      <c r="X17" s="44">
        <f>PL!X40</f>
        <v/>
      </c>
      <c r="Y17" s="44">
        <f>PL!Y40</f>
        <v/>
      </c>
      <c r="Z17" s="44">
        <f>PL!Z40</f>
        <v/>
      </c>
      <c r="AA17" s="44">
        <f>PL!AA40</f>
        <v/>
      </c>
      <c r="AB17" s="44">
        <f>PL!AB40</f>
        <v/>
      </c>
      <c r="AC17" s="44">
        <f>PL!AC40</f>
        <v/>
      </c>
      <c r="AD17" s="44">
        <f>PL!AD40</f>
        <v/>
      </c>
      <c r="AE17" s="44">
        <f>PL!AE40</f>
        <v/>
      </c>
      <c r="AF17" s="44">
        <f>PL!AF40</f>
        <v/>
      </c>
      <c r="AG17" s="44">
        <f>PL!AG40</f>
        <v/>
      </c>
      <c r="AH17" s="44">
        <f>PL!AH40</f>
        <v/>
      </c>
      <c r="AI17" s="44">
        <f>PL!AI40</f>
        <v/>
      </c>
      <c r="AJ17" s="44">
        <f>PL!AJ40</f>
        <v/>
      </c>
      <c r="AK17" s="44">
        <f>PL!AK40</f>
        <v/>
      </c>
      <c r="AL17" s="44">
        <f>PL!AL40</f>
        <v/>
      </c>
      <c r="AM17" s="44">
        <f>PL!AM40</f>
        <v/>
      </c>
      <c r="AN17" s="44">
        <f>PL!AN40</f>
        <v/>
      </c>
      <c r="AO17" s="44">
        <f>PL!AO40</f>
        <v/>
      </c>
      <c r="AP17" s="44">
        <f>PL!AP40</f>
        <v/>
      </c>
      <c r="AQ17" s="44">
        <f>PL!AQ40</f>
        <v/>
      </c>
      <c r="AR17" s="44">
        <f>PL!AR40</f>
        <v/>
      </c>
      <c r="AS17" s="44">
        <f>PL!AS40</f>
        <v/>
      </c>
      <c r="AT17" s="44">
        <f>PL!AT40</f>
        <v/>
      </c>
      <c r="AU17" s="44">
        <f>PL!AU40</f>
        <v/>
      </c>
      <c r="AV17" s="44">
        <f>PL!AV40</f>
        <v/>
      </c>
      <c r="AW17" s="44">
        <f>PL!AW40</f>
        <v/>
      </c>
      <c r="AX17" s="44">
        <f>PL!AX40</f>
        <v/>
      </c>
      <c r="AY17" s="44">
        <f>PL!AY40</f>
        <v/>
      </c>
      <c r="AZ17" s="44">
        <f>PL!AZ40</f>
        <v/>
      </c>
      <c r="BA17" s="44">
        <f>PL!BA40</f>
        <v/>
      </c>
      <c r="BB17" s="44">
        <f>PL!BB40</f>
        <v/>
      </c>
      <c r="BC17" s="44">
        <f>PL!BC40</f>
        <v/>
      </c>
      <c r="BD17" s="44">
        <f>PL!BD40</f>
        <v/>
      </c>
      <c r="BE17" s="44">
        <f>PL!BE40</f>
        <v/>
      </c>
      <c r="BF17" s="44">
        <f>PL!BF40</f>
        <v/>
      </c>
      <c r="BG17" s="44">
        <f>PL!BG40</f>
        <v/>
      </c>
      <c r="BH17" s="44">
        <f>PL!BH40</f>
        <v/>
      </c>
      <c r="BI17" s="44">
        <f>PL!BI40</f>
        <v/>
      </c>
      <c r="BJ17" s="44">
        <f>PL!BJ40</f>
        <v/>
      </c>
      <c r="BK17" s="44">
        <f>PL!BK40</f>
        <v/>
      </c>
      <c r="BL17" s="44">
        <f>PL!BL40</f>
        <v/>
      </c>
      <c r="BM17" s="44">
        <f>PL!BM40</f>
        <v/>
      </c>
      <c r="BN17" s="44">
        <f>PL!BN40</f>
        <v/>
      </c>
      <c r="BO17" s="44">
        <f>PL!BO40</f>
        <v/>
      </c>
      <c r="BP17" s="44">
        <f>PL!BP40</f>
        <v/>
      </c>
      <c r="BQ17" s="44">
        <f>PL!BQ40</f>
        <v/>
      </c>
      <c r="BR17" s="44">
        <f>PL!BR40</f>
        <v/>
      </c>
      <c r="BS17" s="44">
        <f>PL!BS40</f>
        <v/>
      </c>
      <c r="BT17" s="44">
        <f>PL!BT40</f>
        <v/>
      </c>
      <c r="BU17" s="44">
        <f>PL!BU40</f>
        <v/>
      </c>
      <c r="BV17" s="44">
        <f>PL!BV40</f>
        <v/>
      </c>
      <c r="BW17" s="44">
        <f>PL!BW40</f>
        <v/>
      </c>
      <c r="BX17" s="44">
        <f>PL!BX40</f>
        <v/>
      </c>
      <c r="BY17" s="44">
        <f>PL!BY40</f>
        <v/>
      </c>
      <c r="BZ17" s="44">
        <f>PL!BZ40</f>
        <v/>
      </c>
      <c r="CA17" s="44">
        <f>PL!CA40</f>
        <v/>
      </c>
      <c r="CB17" s="44">
        <f>PL!CB40</f>
        <v/>
      </c>
      <c r="CC17" s="44">
        <f>PL!CC40</f>
        <v/>
      </c>
      <c r="CD17" s="44">
        <f>PL!CD40</f>
        <v/>
      </c>
      <c r="CE17" s="44">
        <f>PL!CE40</f>
        <v/>
      </c>
      <c r="CF17" s="44">
        <f>PL!CF40</f>
        <v/>
      </c>
      <c r="CG17" s="44">
        <f>PL!CG40</f>
        <v/>
      </c>
      <c r="CH17" s="44">
        <f>PL!CH40</f>
        <v/>
      </c>
      <c r="CI17" s="44">
        <f>PL!CI40</f>
        <v/>
      </c>
      <c r="CJ17" s="44">
        <f>PL!CJ40</f>
        <v/>
      </c>
      <c r="CK17" s="44">
        <f>PL!CK40</f>
        <v/>
      </c>
      <c r="CL17" s="44">
        <f>PL!CL40</f>
        <v/>
      </c>
      <c r="CM17" s="44">
        <f>PL!CM40</f>
        <v/>
      </c>
      <c r="CN17" s="44">
        <f>PL!CN40</f>
        <v/>
      </c>
      <c r="CO17" s="44">
        <f>PL!CO40</f>
        <v/>
      </c>
      <c r="CP17" s="44">
        <f>PL!CP40</f>
        <v/>
      </c>
      <c r="CQ17" s="44">
        <f>PL!CQ40</f>
        <v/>
      </c>
      <c r="CR17" s="44">
        <f>PL!CR40</f>
        <v/>
      </c>
      <c r="CS17" s="44">
        <f>PL!CS40</f>
        <v/>
      </c>
      <c r="CT17" s="44">
        <f>PL!CT40</f>
        <v/>
      </c>
      <c r="CU17" s="44">
        <f>PL!CU40</f>
        <v/>
      </c>
      <c r="CV17" s="44">
        <f>PL!CV40</f>
        <v/>
      </c>
      <c r="CW17" s="44">
        <f>PL!CW40</f>
        <v/>
      </c>
      <c r="CX17" s="44">
        <f>PL!CX40</f>
        <v/>
      </c>
      <c r="CY17" s="44">
        <f>PL!CY40</f>
        <v/>
      </c>
      <c r="CZ17" s="44">
        <f>PL!CZ40</f>
        <v/>
      </c>
      <c r="DA17" s="44">
        <f>PL!DA40</f>
        <v/>
      </c>
      <c r="DB17" s="44">
        <f>PL!DB40</f>
        <v/>
      </c>
      <c r="DC17" s="44">
        <f>PL!DC40</f>
        <v/>
      </c>
      <c r="DD17" s="44">
        <f>PL!DD40</f>
        <v/>
      </c>
      <c r="DE17" s="44">
        <f>PL!DE40</f>
        <v/>
      </c>
      <c r="DF17" s="44">
        <f>PL!DF40</f>
        <v/>
      </c>
      <c r="DG17" s="44">
        <f>PL!DG40</f>
        <v/>
      </c>
      <c r="DH17" s="44">
        <f>PL!DH40</f>
        <v/>
      </c>
      <c r="DI17" s="44">
        <f>PL!DI40</f>
        <v/>
      </c>
      <c r="DJ17" s="44">
        <f>PL!DJ40</f>
        <v/>
      </c>
      <c r="DK17" s="44">
        <f>PL!DK40</f>
        <v/>
      </c>
      <c r="DL17" s="44">
        <f>PL!DL40</f>
        <v/>
      </c>
      <c r="DM17" s="44">
        <f>PL!DM40</f>
        <v/>
      </c>
      <c r="DN17" s="44">
        <f>PL!DN40</f>
        <v/>
      </c>
      <c r="DO17" s="44">
        <f>PL!DO40</f>
        <v/>
      </c>
      <c r="DP17" s="44">
        <f>PL!DP40</f>
        <v/>
      </c>
      <c r="DQ17" s="44">
        <f>PL!DQ40</f>
        <v/>
      </c>
      <c r="DR17" s="44">
        <f>PL!DR40</f>
        <v/>
      </c>
      <c r="DS17" s="44">
        <f>PL!DS40</f>
        <v/>
      </c>
      <c r="DT17" s="44">
        <f>PL!DT40</f>
        <v/>
      </c>
      <c r="DU17" s="44">
        <f>PL!DU40</f>
        <v/>
      </c>
    </row>
    <row r="18">
      <c r="A18" t="inlineStr">
        <is>
          <t>Dividends</t>
        </is>
      </c>
      <c r="E18" s="44" t="n">
        <v>0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0</v>
      </c>
      <c r="K18" s="44" t="n">
        <v>0</v>
      </c>
      <c r="L18" s="44" t="n">
        <v>0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</v>
      </c>
      <c r="V18" s="44" t="n">
        <v>0</v>
      </c>
      <c r="W18" s="44" t="n">
        <v>0</v>
      </c>
      <c r="X18" s="44" t="n">
        <v>0</v>
      </c>
      <c r="Y18" s="44" t="n">
        <v>0</v>
      </c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44" t="n">
        <v>0</v>
      </c>
      <c r="AJ18" s="44" t="n">
        <v>0</v>
      </c>
      <c r="AK18" s="44" t="n">
        <v>0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0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0</v>
      </c>
      <c r="AW18" s="44" t="n">
        <v>0</v>
      </c>
      <c r="AX18" s="44" t="n">
        <v>0</v>
      </c>
      <c r="AY18" s="44" t="n">
        <v>0</v>
      </c>
      <c r="AZ18" s="44" t="n">
        <v>0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0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</v>
      </c>
      <c r="BU18" s="44" t="n">
        <v>0</v>
      </c>
      <c r="BV18" s="44" t="n">
        <v>0</v>
      </c>
      <c r="BW18" s="44" t="n">
        <v>0</v>
      </c>
      <c r="BX18" s="44" t="n">
        <v>0</v>
      </c>
      <c r="BY18" s="44" t="n">
        <v>0</v>
      </c>
      <c r="BZ18" s="44" t="n">
        <v>0</v>
      </c>
      <c r="CA18" s="44" t="n">
        <v>0</v>
      </c>
      <c r="CB18" s="44" t="n">
        <v>0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0</v>
      </c>
      <c r="CZ18" s="44" t="n">
        <v>0</v>
      </c>
      <c r="DA18" s="44" t="n">
        <v>0</v>
      </c>
      <c r="DB18" s="44" t="n">
        <v>0</v>
      </c>
      <c r="DC18" s="44" t="n">
        <v>0</v>
      </c>
      <c r="DD18" s="44" t="n">
        <v>0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44" t="n">
        <v>0</v>
      </c>
      <c r="DK18" s="44" t="n">
        <v>0</v>
      </c>
      <c r="DL18" s="44" t="n">
        <v>0</v>
      </c>
      <c r="DM18" s="44" t="n">
        <v>0</v>
      </c>
      <c r="DN18" s="44" t="n">
        <v>0</v>
      </c>
      <c r="DO18" s="44" t="n">
        <v>0</v>
      </c>
      <c r="DP18" s="44" t="n">
        <v>0</v>
      </c>
      <c r="DQ18" s="44" t="n">
        <v>0</v>
      </c>
      <c r="DR18" s="44" t="n">
        <v>0</v>
      </c>
      <c r="DS18" s="44" t="n">
        <v>0</v>
      </c>
      <c r="DT18" s="44" t="n">
        <v>0</v>
      </c>
      <c r="DU18" s="44" t="n">
        <v>0</v>
      </c>
    </row>
    <row r="19">
      <c r="A19" t="inlineStr">
        <is>
          <t>Closing equity</t>
        </is>
      </c>
      <c r="E19" s="44" t="n">
        <v>0</v>
      </c>
      <c r="F19" s="45">
        <f>F15+F16+F17-F18</f>
        <v/>
      </c>
      <c r="G19" s="45">
        <f>G15+G16+G17-G18</f>
        <v/>
      </c>
      <c r="H19" s="45">
        <f>H15+H16+H17-H18</f>
        <v/>
      </c>
      <c r="I19" s="45">
        <f>I15+I16+I17-I18</f>
        <v/>
      </c>
      <c r="J19" s="45">
        <f>J15+J16+J17-J18</f>
        <v/>
      </c>
      <c r="K19" s="45">
        <f>K15+K16+K17-K18</f>
        <v/>
      </c>
      <c r="L19" s="45">
        <f>L15+L16+L17-L18</f>
        <v/>
      </c>
      <c r="M19" s="45">
        <f>M15+M16+M17-M18</f>
        <v/>
      </c>
      <c r="N19" s="45">
        <f>N15+N16+N17-N18</f>
        <v/>
      </c>
      <c r="O19" s="45">
        <f>O15+O16+O17-O18</f>
        <v/>
      </c>
      <c r="P19" s="45">
        <f>P15+P16+P17-P18</f>
        <v/>
      </c>
      <c r="Q19" s="45">
        <f>Q15+Q16+Q17-Q18</f>
        <v/>
      </c>
      <c r="R19" s="45">
        <f>R15+R16+R17-R18</f>
        <v/>
      </c>
      <c r="S19" s="45">
        <f>S15+S16+S17-S18</f>
        <v/>
      </c>
      <c r="T19" s="45">
        <f>T15+T16+T17-T18</f>
        <v/>
      </c>
      <c r="U19" s="45">
        <f>U15+U16+U17-U18</f>
        <v/>
      </c>
      <c r="V19" s="45">
        <f>V15+V16+V17-V18</f>
        <v/>
      </c>
      <c r="W19" s="45">
        <f>W15+W16+W17-W18</f>
        <v/>
      </c>
      <c r="X19" s="45">
        <f>X15+X16+X17-X18</f>
        <v/>
      </c>
      <c r="Y19" s="45">
        <f>Y15+Y16+Y17-Y18</f>
        <v/>
      </c>
      <c r="Z19" s="45">
        <f>Z15+Z16+Z17-Z18</f>
        <v/>
      </c>
      <c r="AA19" s="45">
        <f>AA15+AA16+AA17-AA18</f>
        <v/>
      </c>
      <c r="AB19" s="45">
        <f>AB15+AB16+AB17-AB18</f>
        <v/>
      </c>
      <c r="AC19" s="45">
        <f>AC15+AC16+AC17-AC18</f>
        <v/>
      </c>
      <c r="AD19" s="45">
        <f>AD15+AD16+AD17-AD18</f>
        <v/>
      </c>
      <c r="AE19" s="45">
        <f>AE15+AE16+AE17-AE18</f>
        <v/>
      </c>
      <c r="AF19" s="45">
        <f>AF15+AF16+AF17-AF18</f>
        <v/>
      </c>
      <c r="AG19" s="45">
        <f>AG15+AG16+AG17-AG18</f>
        <v/>
      </c>
      <c r="AH19" s="45">
        <f>AH15+AH16+AH17-AH18</f>
        <v/>
      </c>
      <c r="AI19" s="45">
        <f>AI15+AI16+AI17-AI18</f>
        <v/>
      </c>
      <c r="AJ19" s="45">
        <f>AJ15+AJ16+AJ17-AJ18</f>
        <v/>
      </c>
      <c r="AK19" s="45">
        <f>AK15+AK16+AK17-AK18</f>
        <v/>
      </c>
      <c r="AL19" s="45">
        <f>AL15+AL16+AL17-AL18</f>
        <v/>
      </c>
      <c r="AM19" s="45">
        <f>AM15+AM16+AM17-AM18</f>
        <v/>
      </c>
      <c r="AN19" s="45">
        <f>AN15+AN16+AN17-AN18</f>
        <v/>
      </c>
      <c r="AO19" s="45">
        <f>AO15+AO16+AO17-AO18</f>
        <v/>
      </c>
      <c r="AP19" s="45">
        <f>AP15+AP16+AP17-AP18</f>
        <v/>
      </c>
      <c r="AQ19" s="45">
        <f>AQ15+AQ16+AQ17-AQ18</f>
        <v/>
      </c>
      <c r="AR19" s="45">
        <f>AR15+AR16+AR17-AR18</f>
        <v/>
      </c>
      <c r="AS19" s="45">
        <f>AS15+AS16+AS17-AS18</f>
        <v/>
      </c>
      <c r="AT19" s="45">
        <f>AT15+AT16+AT17-AT18</f>
        <v/>
      </c>
      <c r="AU19" s="45">
        <f>AU15+AU16+AU17-AU18</f>
        <v/>
      </c>
      <c r="AV19" s="45">
        <f>AV15+AV16+AV17-AV18</f>
        <v/>
      </c>
      <c r="AW19" s="45">
        <f>AW15+AW16+AW17-AW18</f>
        <v/>
      </c>
      <c r="AX19" s="45">
        <f>AX15+AX16+AX17-AX18</f>
        <v/>
      </c>
      <c r="AY19" s="45">
        <f>AY15+AY16+AY17-AY18</f>
        <v/>
      </c>
      <c r="AZ19" s="45">
        <f>AZ15+AZ16+AZ17-AZ18</f>
        <v/>
      </c>
      <c r="BA19" s="45">
        <f>BA15+BA16+BA17-BA18</f>
        <v/>
      </c>
      <c r="BB19" s="45">
        <f>BB15+BB16+BB17-BB18</f>
        <v/>
      </c>
      <c r="BC19" s="45">
        <f>BC15+BC16+BC17-BC18</f>
        <v/>
      </c>
      <c r="BD19" s="45">
        <f>BD15+BD16+BD17-BD18</f>
        <v/>
      </c>
      <c r="BE19" s="45">
        <f>BE15+BE16+BE17-BE18</f>
        <v/>
      </c>
      <c r="BF19" s="45">
        <f>BF15+BF16+BF17-BF18</f>
        <v/>
      </c>
      <c r="BG19" s="45">
        <f>BG15+BG16+BG17-BG18</f>
        <v/>
      </c>
      <c r="BH19" s="45">
        <f>BH15+BH16+BH17-BH18</f>
        <v/>
      </c>
      <c r="BI19" s="45">
        <f>BI15+BI16+BI17-BI18</f>
        <v/>
      </c>
      <c r="BJ19" s="45">
        <f>BJ15+BJ16+BJ17-BJ18</f>
        <v/>
      </c>
      <c r="BK19" s="45">
        <f>BK15+BK16+BK17-BK18</f>
        <v/>
      </c>
      <c r="BL19" s="45">
        <f>BL15+BL16+BL17-BL18</f>
        <v/>
      </c>
      <c r="BM19" s="45">
        <f>BM15+BM16+BM17-BM18</f>
        <v/>
      </c>
      <c r="BN19" s="45">
        <f>BN15+BN16+BN17-BN18</f>
        <v/>
      </c>
      <c r="BO19" s="45">
        <f>BO15+BO16+BO17-BO18</f>
        <v/>
      </c>
      <c r="BP19" s="45">
        <f>BP15+BP16+BP17-BP18</f>
        <v/>
      </c>
      <c r="BQ19" s="45">
        <f>BQ15+BQ16+BQ17-BQ18</f>
        <v/>
      </c>
      <c r="BR19" s="45">
        <f>BR15+BR16+BR17-BR18</f>
        <v/>
      </c>
      <c r="BS19" s="45">
        <f>BS15+BS16+BS17-BS18</f>
        <v/>
      </c>
      <c r="BT19" s="45">
        <f>BT15+BT16+BT17-BT18</f>
        <v/>
      </c>
      <c r="BU19" s="45">
        <f>BU15+BU16+BU17-BU18</f>
        <v/>
      </c>
      <c r="BV19" s="45">
        <f>BV15+BV16+BV17-BV18</f>
        <v/>
      </c>
      <c r="BW19" s="45">
        <f>BW15+BW16+BW17-BW18</f>
        <v/>
      </c>
      <c r="BX19" s="45">
        <f>BX15+BX16+BX17-BX18</f>
        <v/>
      </c>
      <c r="BY19" s="45">
        <f>BY15+BY16+BY17-BY18</f>
        <v/>
      </c>
      <c r="BZ19" s="45">
        <f>BZ15+BZ16+BZ17-BZ18</f>
        <v/>
      </c>
      <c r="CA19" s="45">
        <f>CA15+CA16+CA17-CA18</f>
        <v/>
      </c>
      <c r="CB19" s="45">
        <f>CB15+CB16+CB17-CB18</f>
        <v/>
      </c>
      <c r="CC19" s="45">
        <f>CC15+CC16+CC17-CC18</f>
        <v/>
      </c>
      <c r="CD19" s="45">
        <f>CD15+CD16+CD17-CD18</f>
        <v/>
      </c>
      <c r="CE19" s="45">
        <f>CE15+CE16+CE17-CE18</f>
        <v/>
      </c>
      <c r="CF19" s="45">
        <f>CF15+CF16+CF17-CF18</f>
        <v/>
      </c>
      <c r="CG19" s="45">
        <f>CG15+CG16+CG17-CG18</f>
        <v/>
      </c>
      <c r="CH19" s="45">
        <f>CH15+CH16+CH17-CH18</f>
        <v/>
      </c>
      <c r="CI19" s="45">
        <f>CI15+CI16+CI17-CI18</f>
        <v/>
      </c>
      <c r="CJ19" s="45">
        <f>CJ15+CJ16+CJ17-CJ18</f>
        <v/>
      </c>
      <c r="CK19" s="45">
        <f>CK15+CK16+CK17-CK18</f>
        <v/>
      </c>
      <c r="CL19" s="45">
        <f>CL15+CL16+CL17-CL18</f>
        <v/>
      </c>
      <c r="CM19" s="45">
        <f>CM15+CM16+CM17-CM18</f>
        <v/>
      </c>
      <c r="CN19" s="45">
        <f>CN15+CN16+CN17-CN18</f>
        <v/>
      </c>
      <c r="CO19" s="45">
        <f>CO15+CO16+CO17-CO18</f>
        <v/>
      </c>
      <c r="CP19" s="45">
        <f>CP15+CP16+CP17-CP18</f>
        <v/>
      </c>
      <c r="CQ19" s="45">
        <f>CQ15+CQ16+CQ17-CQ18</f>
        <v/>
      </c>
      <c r="CR19" s="45">
        <f>CR15+CR16+CR17-CR18</f>
        <v/>
      </c>
      <c r="CS19" s="45">
        <f>CS15+CS16+CS17-CS18</f>
        <v/>
      </c>
      <c r="CT19" s="45">
        <f>CT15+CT16+CT17-CT18</f>
        <v/>
      </c>
      <c r="CU19" s="45">
        <f>CU15+CU16+CU17-CU18</f>
        <v/>
      </c>
      <c r="CV19" s="45">
        <f>CV15+CV16+CV17-CV18</f>
        <v/>
      </c>
      <c r="CW19" s="45">
        <f>CW15+CW16+CW17-CW18</f>
        <v/>
      </c>
      <c r="CX19" s="45">
        <f>CX15+CX16+CX17-CX18</f>
        <v/>
      </c>
      <c r="CY19" s="45">
        <f>CY15+CY16+CY17-CY18</f>
        <v/>
      </c>
      <c r="CZ19" s="45">
        <f>CZ15+CZ16+CZ17-CZ18</f>
        <v/>
      </c>
      <c r="DA19" s="45">
        <f>DA15+DA16+DA17-DA18</f>
        <v/>
      </c>
      <c r="DB19" s="45">
        <f>DB15+DB16+DB17-DB18</f>
        <v/>
      </c>
      <c r="DC19" s="45">
        <f>DC15+DC16+DC17-DC18</f>
        <v/>
      </c>
      <c r="DD19" s="45">
        <f>DD15+DD16+DD17-DD18</f>
        <v/>
      </c>
      <c r="DE19" s="45">
        <f>DE15+DE16+DE17-DE18</f>
        <v/>
      </c>
      <c r="DF19" s="45">
        <f>DF15+DF16+DF17-DF18</f>
        <v/>
      </c>
      <c r="DG19" s="45">
        <f>DG15+DG16+DG17-DG18</f>
        <v/>
      </c>
      <c r="DH19" s="45">
        <f>DH15+DH16+DH17-DH18</f>
        <v/>
      </c>
      <c r="DI19" s="45">
        <f>DI15+DI16+DI17-DI18</f>
        <v/>
      </c>
      <c r="DJ19" s="45">
        <f>DJ15+DJ16+DJ17-DJ18</f>
        <v/>
      </c>
      <c r="DK19" s="45">
        <f>DK15+DK16+DK17-DK18</f>
        <v/>
      </c>
      <c r="DL19" s="45">
        <f>DL15+DL16+DL17-DL18</f>
        <v/>
      </c>
      <c r="DM19" s="45">
        <f>DM15+DM16+DM17-DM18</f>
        <v/>
      </c>
      <c r="DN19" s="45">
        <f>DN15+DN16+DN17-DN18</f>
        <v/>
      </c>
      <c r="DO19" s="45">
        <f>DO15+DO16+DO17-DO18</f>
        <v/>
      </c>
      <c r="DP19" s="45">
        <f>DP15+DP16+DP17-DP18</f>
        <v/>
      </c>
      <c r="DQ19" s="45">
        <f>DQ15+DQ16+DQ17-DQ18</f>
        <v/>
      </c>
      <c r="DR19" s="45">
        <f>DR15+DR16+DR17-DR18</f>
        <v/>
      </c>
      <c r="DS19" s="45">
        <f>DS15+DS16+DS17-DS18</f>
        <v/>
      </c>
      <c r="DT19" s="45">
        <f>DT15+DT16+DT17-DT18</f>
        <v/>
      </c>
      <c r="DU19" s="45">
        <f>DU15+DU16+DU17-DU18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U41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</cols>
  <sheetData>
    <row r="1" ht="25" customHeight="1">
      <c r="A1" s="1" t="inlineStr">
        <is>
          <t>INCOME STATEMENT (P&amp;L)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10">
      <c r="A10" s="11" t="inlineStr">
        <is>
          <t>INCOME STATEMENT</t>
        </is>
      </c>
    </row>
    <row r="12">
      <c r="A12" s="11" t="inlineStr">
        <is>
          <t>Revenue</t>
        </is>
      </c>
    </row>
    <row r="13">
      <c r="A13" t="inlineStr">
        <is>
          <t>Net revenue</t>
        </is>
      </c>
      <c r="F13" s="44">
        <f>Volume_Assumptions!F51*150</f>
        <v/>
      </c>
      <c r="G13" s="44">
        <f>Volume_Assumptions!G51*150</f>
        <v/>
      </c>
      <c r="H13" s="44">
        <f>Volume_Assumptions!H51*150</f>
        <v/>
      </c>
      <c r="I13" s="44">
        <f>Volume_Assumptions!I51*150</f>
        <v/>
      </c>
      <c r="J13" s="44">
        <f>Volume_Assumptions!J51*150</f>
        <v/>
      </c>
      <c r="K13" s="44">
        <f>Volume_Assumptions!K51*150</f>
        <v/>
      </c>
      <c r="L13" s="44">
        <f>Volume_Assumptions!L51*150</f>
        <v/>
      </c>
      <c r="M13" s="44">
        <f>Volume_Assumptions!M51*150</f>
        <v/>
      </c>
      <c r="N13" s="44">
        <f>Volume_Assumptions!N51*150</f>
        <v/>
      </c>
      <c r="O13" s="44">
        <f>Volume_Assumptions!O51*150</f>
        <v/>
      </c>
      <c r="P13" s="44">
        <f>Volume_Assumptions!P51*150</f>
        <v/>
      </c>
      <c r="Q13" s="44">
        <f>Volume_Assumptions!Q51*150</f>
        <v/>
      </c>
      <c r="R13" s="44">
        <f>Volume_Assumptions!R51*150</f>
        <v/>
      </c>
      <c r="S13" s="44">
        <f>Volume_Assumptions!S51*150</f>
        <v/>
      </c>
      <c r="T13" s="44">
        <f>Volume_Assumptions!T51*150</f>
        <v/>
      </c>
      <c r="U13" s="44">
        <f>Volume_Assumptions!U51*150</f>
        <v/>
      </c>
      <c r="V13" s="44">
        <f>Volume_Assumptions!V51*150</f>
        <v/>
      </c>
      <c r="W13" s="44">
        <f>Volume_Assumptions!W51*150</f>
        <v/>
      </c>
      <c r="X13" s="44">
        <f>Volume_Assumptions!X51*150</f>
        <v/>
      </c>
      <c r="Y13" s="44">
        <f>Volume_Assumptions!Y51*150</f>
        <v/>
      </c>
      <c r="Z13" s="44">
        <f>Volume_Assumptions!Z51*150</f>
        <v/>
      </c>
      <c r="AA13" s="44">
        <f>Volume_Assumptions!AA51*150</f>
        <v/>
      </c>
      <c r="AB13" s="44">
        <f>Volume_Assumptions!AB51*150</f>
        <v/>
      </c>
      <c r="AC13" s="44">
        <f>Volume_Assumptions!AC51*150</f>
        <v/>
      </c>
      <c r="AD13" s="44">
        <f>Volume_Assumptions!AD51*150</f>
        <v/>
      </c>
      <c r="AE13" s="44">
        <f>Volume_Assumptions!AE51*150</f>
        <v/>
      </c>
      <c r="AF13" s="44">
        <f>Volume_Assumptions!AF51*150</f>
        <v/>
      </c>
      <c r="AG13" s="44">
        <f>Volume_Assumptions!AG51*150</f>
        <v/>
      </c>
      <c r="AH13" s="44">
        <f>Volume_Assumptions!AH51*150</f>
        <v/>
      </c>
      <c r="AI13" s="44">
        <f>Volume_Assumptions!AI51*150</f>
        <v/>
      </c>
      <c r="AJ13" s="44">
        <f>Volume_Assumptions!AJ51*150</f>
        <v/>
      </c>
      <c r="AK13" s="44">
        <f>Volume_Assumptions!AK51*150</f>
        <v/>
      </c>
      <c r="AL13" s="44">
        <f>Volume_Assumptions!AL51*150</f>
        <v/>
      </c>
      <c r="AM13" s="44">
        <f>Volume_Assumptions!AM51*150</f>
        <v/>
      </c>
      <c r="AN13" s="44">
        <f>Volume_Assumptions!AN51*150</f>
        <v/>
      </c>
      <c r="AO13" s="44">
        <f>Volume_Assumptions!AO51*150</f>
        <v/>
      </c>
      <c r="AP13" s="44">
        <f>Volume_Assumptions!AP51*150</f>
        <v/>
      </c>
      <c r="AQ13" s="44">
        <f>Volume_Assumptions!AQ51*150</f>
        <v/>
      </c>
      <c r="AR13" s="44">
        <f>Volume_Assumptions!AR51*150</f>
        <v/>
      </c>
      <c r="AS13" s="44">
        <f>Volume_Assumptions!AS51*150</f>
        <v/>
      </c>
      <c r="AT13" s="44">
        <f>Volume_Assumptions!AT51*150</f>
        <v/>
      </c>
      <c r="AU13" s="44">
        <f>Volume_Assumptions!AU51*150</f>
        <v/>
      </c>
      <c r="AV13" s="44">
        <f>Volume_Assumptions!AV51*150</f>
        <v/>
      </c>
      <c r="AW13" s="44">
        <f>Volume_Assumptions!AW51*150</f>
        <v/>
      </c>
      <c r="AX13" s="44">
        <f>Volume_Assumptions!AX51*150</f>
        <v/>
      </c>
      <c r="AY13" s="44">
        <f>Volume_Assumptions!AY51*150</f>
        <v/>
      </c>
      <c r="AZ13" s="44">
        <f>Volume_Assumptions!AZ51*150</f>
        <v/>
      </c>
      <c r="BA13" s="44">
        <f>Volume_Assumptions!BA51*150</f>
        <v/>
      </c>
      <c r="BB13" s="44">
        <f>Volume_Assumptions!BB51*150</f>
        <v/>
      </c>
      <c r="BC13" s="44">
        <f>Volume_Assumptions!BC51*150</f>
        <v/>
      </c>
      <c r="BD13" s="44">
        <f>Volume_Assumptions!BD51*150</f>
        <v/>
      </c>
      <c r="BE13" s="44">
        <f>Volume_Assumptions!BE51*150</f>
        <v/>
      </c>
      <c r="BF13" s="44">
        <f>Volume_Assumptions!BF51*150</f>
        <v/>
      </c>
      <c r="BG13" s="44">
        <f>Volume_Assumptions!BG51*150</f>
        <v/>
      </c>
      <c r="BH13" s="44">
        <f>Volume_Assumptions!BH51*150</f>
        <v/>
      </c>
      <c r="BI13" s="44">
        <f>Volume_Assumptions!BI51*150</f>
        <v/>
      </c>
      <c r="BJ13" s="44">
        <f>Volume_Assumptions!BJ51*150</f>
        <v/>
      </c>
      <c r="BK13" s="44">
        <f>Volume_Assumptions!BK51*150</f>
        <v/>
      </c>
      <c r="BL13" s="44">
        <f>Volume_Assumptions!BL51*150</f>
        <v/>
      </c>
      <c r="BM13" s="44">
        <f>Volume_Assumptions!BM51*150</f>
        <v/>
      </c>
      <c r="BN13" s="44">
        <f>Volume_Assumptions!BN51*150</f>
        <v/>
      </c>
      <c r="BO13" s="44">
        <f>Volume_Assumptions!BO51*150</f>
        <v/>
      </c>
      <c r="BP13" s="44">
        <f>Volume_Assumptions!BP51*150</f>
        <v/>
      </c>
      <c r="BQ13" s="44">
        <f>Volume_Assumptions!BQ51*150</f>
        <v/>
      </c>
      <c r="BR13" s="44">
        <f>Volume_Assumptions!BR51*150</f>
        <v/>
      </c>
      <c r="BS13" s="44">
        <f>Volume_Assumptions!BS51*150</f>
        <v/>
      </c>
      <c r="BT13" s="44">
        <f>Volume_Assumptions!BT51*150</f>
        <v/>
      </c>
      <c r="BU13" s="44">
        <f>Volume_Assumptions!BU51*150</f>
        <v/>
      </c>
      <c r="BV13" s="44">
        <f>Volume_Assumptions!BV51*150</f>
        <v/>
      </c>
      <c r="BW13" s="44">
        <f>Volume_Assumptions!BW51*150</f>
        <v/>
      </c>
      <c r="BX13" s="44">
        <f>Volume_Assumptions!BX51*150</f>
        <v/>
      </c>
      <c r="BY13" s="44">
        <f>Volume_Assumptions!BY51*150</f>
        <v/>
      </c>
      <c r="BZ13" s="44">
        <f>Volume_Assumptions!BZ51*150</f>
        <v/>
      </c>
      <c r="CA13" s="44">
        <f>Volume_Assumptions!CA51*150</f>
        <v/>
      </c>
      <c r="CB13" s="44">
        <f>Volume_Assumptions!CB51*150</f>
        <v/>
      </c>
      <c r="CC13" s="44">
        <f>Volume_Assumptions!CC51*150</f>
        <v/>
      </c>
      <c r="CD13" s="44">
        <f>Volume_Assumptions!CD51*150</f>
        <v/>
      </c>
      <c r="CE13" s="44">
        <f>Volume_Assumptions!CE51*150</f>
        <v/>
      </c>
      <c r="CF13" s="44">
        <f>Volume_Assumptions!CF51*150</f>
        <v/>
      </c>
      <c r="CG13" s="44">
        <f>Volume_Assumptions!CG51*150</f>
        <v/>
      </c>
      <c r="CH13" s="44">
        <f>Volume_Assumptions!CH51*150</f>
        <v/>
      </c>
      <c r="CI13" s="44">
        <f>Volume_Assumptions!CI51*150</f>
        <v/>
      </c>
      <c r="CJ13" s="44">
        <f>Volume_Assumptions!CJ51*150</f>
        <v/>
      </c>
      <c r="CK13" s="44">
        <f>Volume_Assumptions!CK51*150</f>
        <v/>
      </c>
      <c r="CL13" s="44">
        <f>Volume_Assumptions!CL51*150</f>
        <v/>
      </c>
      <c r="CM13" s="44">
        <f>Volume_Assumptions!CM51*150</f>
        <v/>
      </c>
      <c r="CN13" s="44">
        <f>Volume_Assumptions!CN51*150</f>
        <v/>
      </c>
      <c r="CO13" s="44">
        <f>Volume_Assumptions!CO51*150</f>
        <v/>
      </c>
      <c r="CP13" s="44">
        <f>Volume_Assumptions!CP51*150</f>
        <v/>
      </c>
      <c r="CQ13" s="44">
        <f>Volume_Assumptions!CQ51*150</f>
        <v/>
      </c>
      <c r="CR13" s="44">
        <f>Volume_Assumptions!CR51*150</f>
        <v/>
      </c>
      <c r="CS13" s="44">
        <f>Volume_Assumptions!CS51*150</f>
        <v/>
      </c>
      <c r="CT13" s="44">
        <f>Volume_Assumptions!CT51*150</f>
        <v/>
      </c>
      <c r="CU13" s="44">
        <f>Volume_Assumptions!CU51*150</f>
        <v/>
      </c>
      <c r="CV13" s="44">
        <f>Volume_Assumptions!CV51*150</f>
        <v/>
      </c>
      <c r="CW13" s="44">
        <f>Volume_Assumptions!CW51*150</f>
        <v/>
      </c>
      <c r="CX13" s="44">
        <f>Volume_Assumptions!CX51*150</f>
        <v/>
      </c>
      <c r="CY13" s="44">
        <f>Volume_Assumptions!CY51*150</f>
        <v/>
      </c>
      <c r="CZ13" s="44">
        <f>Volume_Assumptions!CZ51*150</f>
        <v/>
      </c>
      <c r="DA13" s="44">
        <f>Volume_Assumptions!DA51*150</f>
        <v/>
      </c>
      <c r="DB13" s="44">
        <f>Volume_Assumptions!DB51*150</f>
        <v/>
      </c>
      <c r="DC13" s="44">
        <f>Volume_Assumptions!DC51*150</f>
        <v/>
      </c>
      <c r="DD13" s="44">
        <f>Volume_Assumptions!DD51*150</f>
        <v/>
      </c>
      <c r="DE13" s="44">
        <f>Volume_Assumptions!DE51*150</f>
        <v/>
      </c>
      <c r="DF13" s="44">
        <f>Volume_Assumptions!DF51*150</f>
        <v/>
      </c>
      <c r="DG13" s="44">
        <f>Volume_Assumptions!DG51*150</f>
        <v/>
      </c>
      <c r="DH13" s="44">
        <f>Volume_Assumptions!DH51*150</f>
        <v/>
      </c>
      <c r="DI13" s="44">
        <f>Volume_Assumptions!DI51*150</f>
        <v/>
      </c>
      <c r="DJ13" s="44">
        <f>Volume_Assumptions!DJ51*150</f>
        <v/>
      </c>
      <c r="DK13" s="44">
        <f>Volume_Assumptions!DK51*150</f>
        <v/>
      </c>
      <c r="DL13" s="44">
        <f>Volume_Assumptions!DL51*150</f>
        <v/>
      </c>
      <c r="DM13" s="44">
        <f>Volume_Assumptions!DM51*150</f>
        <v/>
      </c>
      <c r="DN13" s="44">
        <f>Volume_Assumptions!DN51*150</f>
        <v/>
      </c>
      <c r="DO13" s="44">
        <f>Volume_Assumptions!DO51*150</f>
        <v/>
      </c>
      <c r="DP13" s="44">
        <f>Volume_Assumptions!DP51*150</f>
        <v/>
      </c>
      <c r="DQ13" s="44">
        <f>Volume_Assumptions!DQ51*150</f>
        <v/>
      </c>
      <c r="DR13" s="44">
        <f>Volume_Assumptions!DR51*150</f>
        <v/>
      </c>
      <c r="DS13" s="44">
        <f>Volume_Assumptions!DS51*150</f>
        <v/>
      </c>
      <c r="DT13" s="44">
        <f>Volume_Assumptions!DT51*150</f>
        <v/>
      </c>
      <c r="DU13" s="44">
        <f>Volume_Assumptions!DU51*150</f>
        <v/>
      </c>
    </row>
    <row r="15">
      <c r="A15" s="11" t="inlineStr">
        <is>
          <t>Cost of Goods Sold</t>
        </is>
      </c>
    </row>
    <row r="16">
      <c r="A16" t="inlineStr">
        <is>
          <t>COGS (simplified)</t>
        </is>
      </c>
      <c r="F16" s="44">
        <f>F13*0.55</f>
        <v/>
      </c>
      <c r="G16" s="44">
        <f>G13*0.55</f>
        <v/>
      </c>
      <c r="H16" s="44">
        <f>H13*0.55</f>
        <v/>
      </c>
      <c r="I16" s="44">
        <f>I13*0.55</f>
        <v/>
      </c>
      <c r="J16" s="44">
        <f>J13*0.55</f>
        <v/>
      </c>
      <c r="K16" s="44">
        <f>K13*0.55</f>
        <v/>
      </c>
      <c r="L16" s="44">
        <f>L13*0.55</f>
        <v/>
      </c>
      <c r="M16" s="44">
        <f>M13*0.55</f>
        <v/>
      </c>
      <c r="N16" s="44">
        <f>N13*0.55</f>
        <v/>
      </c>
      <c r="O16" s="44">
        <f>O13*0.55</f>
        <v/>
      </c>
      <c r="P16" s="44">
        <f>P13*0.55</f>
        <v/>
      </c>
      <c r="Q16" s="44">
        <f>Q13*0.55</f>
        <v/>
      </c>
      <c r="R16" s="44">
        <f>R13*0.55</f>
        <v/>
      </c>
      <c r="S16" s="44">
        <f>S13*0.55</f>
        <v/>
      </c>
      <c r="T16" s="44">
        <f>T13*0.55</f>
        <v/>
      </c>
      <c r="U16" s="44">
        <f>U13*0.55</f>
        <v/>
      </c>
      <c r="V16" s="44">
        <f>V13*0.55</f>
        <v/>
      </c>
      <c r="W16" s="44">
        <f>W13*0.55</f>
        <v/>
      </c>
      <c r="X16" s="44">
        <f>X13*0.55</f>
        <v/>
      </c>
      <c r="Y16" s="44">
        <f>Y13*0.55</f>
        <v/>
      </c>
      <c r="Z16" s="44">
        <f>Z13*0.55</f>
        <v/>
      </c>
      <c r="AA16" s="44">
        <f>AA13*0.55</f>
        <v/>
      </c>
      <c r="AB16" s="44">
        <f>AB13*0.55</f>
        <v/>
      </c>
      <c r="AC16" s="44">
        <f>AC13*0.55</f>
        <v/>
      </c>
      <c r="AD16" s="44">
        <f>AD13*0.55</f>
        <v/>
      </c>
      <c r="AE16" s="44">
        <f>AE13*0.55</f>
        <v/>
      </c>
      <c r="AF16" s="44">
        <f>AF13*0.55</f>
        <v/>
      </c>
      <c r="AG16" s="44">
        <f>AG13*0.55</f>
        <v/>
      </c>
      <c r="AH16" s="44">
        <f>AH13*0.55</f>
        <v/>
      </c>
      <c r="AI16" s="44">
        <f>AI13*0.55</f>
        <v/>
      </c>
      <c r="AJ16" s="44">
        <f>AJ13*0.55</f>
        <v/>
      </c>
      <c r="AK16" s="44">
        <f>AK13*0.55</f>
        <v/>
      </c>
      <c r="AL16" s="44">
        <f>AL13*0.55</f>
        <v/>
      </c>
      <c r="AM16" s="44">
        <f>AM13*0.55</f>
        <v/>
      </c>
      <c r="AN16" s="44">
        <f>AN13*0.55</f>
        <v/>
      </c>
      <c r="AO16" s="44">
        <f>AO13*0.55</f>
        <v/>
      </c>
      <c r="AP16" s="44">
        <f>AP13*0.55</f>
        <v/>
      </c>
      <c r="AQ16" s="44">
        <f>AQ13*0.55</f>
        <v/>
      </c>
      <c r="AR16" s="44">
        <f>AR13*0.55</f>
        <v/>
      </c>
      <c r="AS16" s="44">
        <f>AS13*0.55</f>
        <v/>
      </c>
      <c r="AT16" s="44">
        <f>AT13*0.55</f>
        <v/>
      </c>
      <c r="AU16" s="44">
        <f>AU13*0.55</f>
        <v/>
      </c>
      <c r="AV16" s="44">
        <f>AV13*0.55</f>
        <v/>
      </c>
      <c r="AW16" s="44">
        <f>AW13*0.55</f>
        <v/>
      </c>
      <c r="AX16" s="44">
        <f>AX13*0.55</f>
        <v/>
      </c>
      <c r="AY16" s="44">
        <f>AY13*0.55</f>
        <v/>
      </c>
      <c r="AZ16" s="44">
        <f>AZ13*0.55</f>
        <v/>
      </c>
      <c r="BA16" s="44">
        <f>BA13*0.55</f>
        <v/>
      </c>
      <c r="BB16" s="44">
        <f>BB13*0.55</f>
        <v/>
      </c>
      <c r="BC16" s="44">
        <f>BC13*0.55</f>
        <v/>
      </c>
      <c r="BD16" s="44">
        <f>BD13*0.55</f>
        <v/>
      </c>
      <c r="BE16" s="44">
        <f>BE13*0.55</f>
        <v/>
      </c>
      <c r="BF16" s="44">
        <f>BF13*0.55</f>
        <v/>
      </c>
      <c r="BG16" s="44">
        <f>BG13*0.55</f>
        <v/>
      </c>
      <c r="BH16" s="44">
        <f>BH13*0.55</f>
        <v/>
      </c>
      <c r="BI16" s="44">
        <f>BI13*0.55</f>
        <v/>
      </c>
      <c r="BJ16" s="44">
        <f>BJ13*0.55</f>
        <v/>
      </c>
      <c r="BK16" s="44">
        <f>BK13*0.55</f>
        <v/>
      </c>
      <c r="BL16" s="44">
        <f>BL13*0.55</f>
        <v/>
      </c>
      <c r="BM16" s="44">
        <f>BM13*0.55</f>
        <v/>
      </c>
      <c r="BN16" s="44">
        <f>BN13*0.55</f>
        <v/>
      </c>
      <c r="BO16" s="44">
        <f>BO13*0.55</f>
        <v/>
      </c>
      <c r="BP16" s="44">
        <f>BP13*0.55</f>
        <v/>
      </c>
      <c r="BQ16" s="44">
        <f>BQ13*0.55</f>
        <v/>
      </c>
      <c r="BR16" s="44">
        <f>BR13*0.55</f>
        <v/>
      </c>
      <c r="BS16" s="44">
        <f>BS13*0.55</f>
        <v/>
      </c>
      <c r="BT16" s="44">
        <f>BT13*0.55</f>
        <v/>
      </c>
      <c r="BU16" s="44">
        <f>BU13*0.55</f>
        <v/>
      </c>
      <c r="BV16" s="44">
        <f>BV13*0.55</f>
        <v/>
      </c>
      <c r="BW16" s="44">
        <f>BW13*0.55</f>
        <v/>
      </c>
      <c r="BX16" s="44">
        <f>BX13*0.55</f>
        <v/>
      </c>
      <c r="BY16" s="44">
        <f>BY13*0.55</f>
        <v/>
      </c>
      <c r="BZ16" s="44">
        <f>BZ13*0.55</f>
        <v/>
      </c>
      <c r="CA16" s="44">
        <f>CA13*0.55</f>
        <v/>
      </c>
      <c r="CB16" s="44">
        <f>CB13*0.55</f>
        <v/>
      </c>
      <c r="CC16" s="44">
        <f>CC13*0.55</f>
        <v/>
      </c>
      <c r="CD16" s="44">
        <f>CD13*0.55</f>
        <v/>
      </c>
      <c r="CE16" s="44">
        <f>CE13*0.55</f>
        <v/>
      </c>
      <c r="CF16" s="44">
        <f>CF13*0.55</f>
        <v/>
      </c>
      <c r="CG16" s="44">
        <f>CG13*0.55</f>
        <v/>
      </c>
      <c r="CH16" s="44">
        <f>CH13*0.55</f>
        <v/>
      </c>
      <c r="CI16" s="44">
        <f>CI13*0.55</f>
        <v/>
      </c>
      <c r="CJ16" s="44">
        <f>CJ13*0.55</f>
        <v/>
      </c>
      <c r="CK16" s="44">
        <f>CK13*0.55</f>
        <v/>
      </c>
      <c r="CL16" s="44">
        <f>CL13*0.55</f>
        <v/>
      </c>
      <c r="CM16" s="44">
        <f>CM13*0.55</f>
        <v/>
      </c>
      <c r="CN16" s="44">
        <f>CN13*0.55</f>
        <v/>
      </c>
      <c r="CO16" s="44">
        <f>CO13*0.55</f>
        <v/>
      </c>
      <c r="CP16" s="44">
        <f>CP13*0.55</f>
        <v/>
      </c>
      <c r="CQ16" s="44">
        <f>CQ13*0.55</f>
        <v/>
      </c>
      <c r="CR16" s="44">
        <f>CR13*0.55</f>
        <v/>
      </c>
      <c r="CS16" s="44">
        <f>CS13*0.55</f>
        <v/>
      </c>
      <c r="CT16" s="44">
        <f>CT13*0.55</f>
        <v/>
      </c>
      <c r="CU16" s="44">
        <f>CU13*0.55</f>
        <v/>
      </c>
      <c r="CV16" s="44">
        <f>CV13*0.55</f>
        <v/>
      </c>
      <c r="CW16" s="44">
        <f>CW13*0.55</f>
        <v/>
      </c>
      <c r="CX16" s="44">
        <f>CX13*0.55</f>
        <v/>
      </c>
      <c r="CY16" s="44">
        <f>CY13*0.55</f>
        <v/>
      </c>
      <c r="CZ16" s="44">
        <f>CZ13*0.55</f>
        <v/>
      </c>
      <c r="DA16" s="44">
        <f>DA13*0.55</f>
        <v/>
      </c>
      <c r="DB16" s="44">
        <f>DB13*0.55</f>
        <v/>
      </c>
      <c r="DC16" s="44">
        <f>DC13*0.55</f>
        <v/>
      </c>
      <c r="DD16" s="44">
        <f>DD13*0.55</f>
        <v/>
      </c>
      <c r="DE16" s="44">
        <f>DE13*0.55</f>
        <v/>
      </c>
      <c r="DF16" s="44">
        <f>DF13*0.55</f>
        <v/>
      </c>
      <c r="DG16" s="44">
        <f>DG13*0.55</f>
        <v/>
      </c>
      <c r="DH16" s="44">
        <f>DH13*0.55</f>
        <v/>
      </c>
      <c r="DI16" s="44">
        <f>DI13*0.55</f>
        <v/>
      </c>
      <c r="DJ16" s="44">
        <f>DJ13*0.55</f>
        <v/>
      </c>
      <c r="DK16" s="44">
        <f>DK13*0.55</f>
        <v/>
      </c>
      <c r="DL16" s="44">
        <f>DL13*0.55</f>
        <v/>
      </c>
      <c r="DM16" s="44">
        <f>DM13*0.55</f>
        <v/>
      </c>
      <c r="DN16" s="44">
        <f>DN13*0.55</f>
        <v/>
      </c>
      <c r="DO16" s="44">
        <f>DO13*0.55</f>
        <v/>
      </c>
      <c r="DP16" s="44">
        <f>DP13*0.55</f>
        <v/>
      </c>
      <c r="DQ16" s="44">
        <f>DQ13*0.55</f>
        <v/>
      </c>
      <c r="DR16" s="44">
        <f>DR13*0.55</f>
        <v/>
      </c>
      <c r="DS16" s="44">
        <f>DS13*0.55</f>
        <v/>
      </c>
      <c r="DT16" s="44">
        <f>DT13*0.55</f>
        <v/>
      </c>
      <c r="DU16" s="44">
        <f>DU13*0.55</f>
        <v/>
      </c>
    </row>
    <row r="18">
      <c r="A18" s="8" t="inlineStr">
        <is>
          <t>Gross Profit</t>
        </is>
      </c>
      <c r="F18" s="48">
        <f>F13-F16</f>
        <v/>
      </c>
      <c r="G18" s="48">
        <f>G13-G16</f>
        <v/>
      </c>
      <c r="H18" s="48">
        <f>H13-H16</f>
        <v/>
      </c>
      <c r="I18" s="48">
        <f>I13-I16</f>
        <v/>
      </c>
      <c r="J18" s="48">
        <f>J13-J16</f>
        <v/>
      </c>
      <c r="K18" s="48">
        <f>K13-K16</f>
        <v/>
      </c>
      <c r="L18" s="48">
        <f>L13-L16</f>
        <v/>
      </c>
      <c r="M18" s="48">
        <f>M13-M16</f>
        <v/>
      </c>
      <c r="N18" s="48">
        <f>N13-N16</f>
        <v/>
      </c>
      <c r="O18" s="48">
        <f>O13-O16</f>
        <v/>
      </c>
      <c r="P18" s="48">
        <f>P13-P16</f>
        <v/>
      </c>
      <c r="Q18" s="48">
        <f>Q13-Q16</f>
        <v/>
      </c>
      <c r="R18" s="48">
        <f>R13-R16</f>
        <v/>
      </c>
      <c r="S18" s="48">
        <f>S13-S16</f>
        <v/>
      </c>
      <c r="T18" s="48">
        <f>T13-T16</f>
        <v/>
      </c>
      <c r="U18" s="48">
        <f>U13-U16</f>
        <v/>
      </c>
      <c r="V18" s="48">
        <f>V13-V16</f>
        <v/>
      </c>
      <c r="W18" s="48">
        <f>W13-W16</f>
        <v/>
      </c>
      <c r="X18" s="48">
        <f>X13-X16</f>
        <v/>
      </c>
      <c r="Y18" s="48">
        <f>Y13-Y16</f>
        <v/>
      </c>
      <c r="Z18" s="48">
        <f>Z13-Z16</f>
        <v/>
      </c>
      <c r="AA18" s="48">
        <f>AA13-AA16</f>
        <v/>
      </c>
      <c r="AB18" s="48">
        <f>AB13-AB16</f>
        <v/>
      </c>
      <c r="AC18" s="48">
        <f>AC13-AC16</f>
        <v/>
      </c>
      <c r="AD18" s="48">
        <f>AD13-AD16</f>
        <v/>
      </c>
      <c r="AE18" s="48">
        <f>AE13-AE16</f>
        <v/>
      </c>
      <c r="AF18" s="48">
        <f>AF13-AF16</f>
        <v/>
      </c>
      <c r="AG18" s="48">
        <f>AG13-AG16</f>
        <v/>
      </c>
      <c r="AH18" s="48">
        <f>AH13-AH16</f>
        <v/>
      </c>
      <c r="AI18" s="48">
        <f>AI13-AI16</f>
        <v/>
      </c>
      <c r="AJ18" s="48">
        <f>AJ13-AJ16</f>
        <v/>
      </c>
      <c r="AK18" s="48">
        <f>AK13-AK16</f>
        <v/>
      </c>
      <c r="AL18" s="48">
        <f>AL13-AL16</f>
        <v/>
      </c>
      <c r="AM18" s="48">
        <f>AM13-AM16</f>
        <v/>
      </c>
      <c r="AN18" s="48">
        <f>AN13-AN16</f>
        <v/>
      </c>
      <c r="AO18" s="48">
        <f>AO13-AO16</f>
        <v/>
      </c>
      <c r="AP18" s="48">
        <f>AP13-AP16</f>
        <v/>
      </c>
      <c r="AQ18" s="48">
        <f>AQ13-AQ16</f>
        <v/>
      </c>
      <c r="AR18" s="48">
        <f>AR13-AR16</f>
        <v/>
      </c>
      <c r="AS18" s="48">
        <f>AS13-AS16</f>
        <v/>
      </c>
      <c r="AT18" s="48">
        <f>AT13-AT16</f>
        <v/>
      </c>
      <c r="AU18" s="48">
        <f>AU13-AU16</f>
        <v/>
      </c>
      <c r="AV18" s="48">
        <f>AV13-AV16</f>
        <v/>
      </c>
      <c r="AW18" s="48">
        <f>AW13-AW16</f>
        <v/>
      </c>
      <c r="AX18" s="48">
        <f>AX13-AX16</f>
        <v/>
      </c>
      <c r="AY18" s="48">
        <f>AY13-AY16</f>
        <v/>
      </c>
      <c r="AZ18" s="48">
        <f>AZ13-AZ16</f>
        <v/>
      </c>
      <c r="BA18" s="48">
        <f>BA13-BA16</f>
        <v/>
      </c>
      <c r="BB18" s="48">
        <f>BB13-BB16</f>
        <v/>
      </c>
      <c r="BC18" s="48">
        <f>BC13-BC16</f>
        <v/>
      </c>
      <c r="BD18" s="48">
        <f>BD13-BD16</f>
        <v/>
      </c>
      <c r="BE18" s="48">
        <f>BE13-BE16</f>
        <v/>
      </c>
      <c r="BF18" s="48">
        <f>BF13-BF16</f>
        <v/>
      </c>
      <c r="BG18" s="48">
        <f>BG13-BG16</f>
        <v/>
      </c>
      <c r="BH18" s="48">
        <f>BH13-BH16</f>
        <v/>
      </c>
      <c r="BI18" s="48">
        <f>BI13-BI16</f>
        <v/>
      </c>
      <c r="BJ18" s="48">
        <f>BJ13-BJ16</f>
        <v/>
      </c>
      <c r="BK18" s="48">
        <f>BK13-BK16</f>
        <v/>
      </c>
      <c r="BL18" s="48">
        <f>BL13-BL16</f>
        <v/>
      </c>
      <c r="BM18" s="48">
        <f>BM13-BM16</f>
        <v/>
      </c>
      <c r="BN18" s="48">
        <f>BN13-BN16</f>
        <v/>
      </c>
      <c r="BO18" s="48">
        <f>BO13-BO16</f>
        <v/>
      </c>
      <c r="BP18" s="48">
        <f>BP13-BP16</f>
        <v/>
      </c>
      <c r="BQ18" s="48">
        <f>BQ13-BQ16</f>
        <v/>
      </c>
      <c r="BR18" s="48">
        <f>BR13-BR16</f>
        <v/>
      </c>
      <c r="BS18" s="48">
        <f>BS13-BS16</f>
        <v/>
      </c>
      <c r="BT18" s="48">
        <f>BT13-BT16</f>
        <v/>
      </c>
      <c r="BU18" s="48">
        <f>BU13-BU16</f>
        <v/>
      </c>
      <c r="BV18" s="48">
        <f>BV13-BV16</f>
        <v/>
      </c>
      <c r="BW18" s="48">
        <f>BW13-BW16</f>
        <v/>
      </c>
      <c r="BX18" s="48">
        <f>BX13-BX16</f>
        <v/>
      </c>
      <c r="BY18" s="48">
        <f>BY13-BY16</f>
        <v/>
      </c>
      <c r="BZ18" s="48">
        <f>BZ13-BZ16</f>
        <v/>
      </c>
      <c r="CA18" s="48">
        <f>CA13-CA16</f>
        <v/>
      </c>
      <c r="CB18" s="48">
        <f>CB13-CB16</f>
        <v/>
      </c>
      <c r="CC18" s="48">
        <f>CC13-CC16</f>
        <v/>
      </c>
      <c r="CD18" s="48">
        <f>CD13-CD16</f>
        <v/>
      </c>
      <c r="CE18" s="48">
        <f>CE13-CE16</f>
        <v/>
      </c>
      <c r="CF18" s="48">
        <f>CF13-CF16</f>
        <v/>
      </c>
      <c r="CG18" s="48">
        <f>CG13-CG16</f>
        <v/>
      </c>
      <c r="CH18" s="48">
        <f>CH13-CH16</f>
        <v/>
      </c>
      <c r="CI18" s="48">
        <f>CI13-CI16</f>
        <v/>
      </c>
      <c r="CJ18" s="48">
        <f>CJ13-CJ16</f>
        <v/>
      </c>
      <c r="CK18" s="48">
        <f>CK13-CK16</f>
        <v/>
      </c>
      <c r="CL18" s="48">
        <f>CL13-CL16</f>
        <v/>
      </c>
      <c r="CM18" s="48">
        <f>CM13-CM16</f>
        <v/>
      </c>
      <c r="CN18" s="48">
        <f>CN13-CN16</f>
        <v/>
      </c>
      <c r="CO18" s="48">
        <f>CO13-CO16</f>
        <v/>
      </c>
      <c r="CP18" s="48">
        <f>CP13-CP16</f>
        <v/>
      </c>
      <c r="CQ18" s="48">
        <f>CQ13-CQ16</f>
        <v/>
      </c>
      <c r="CR18" s="48">
        <f>CR13-CR16</f>
        <v/>
      </c>
      <c r="CS18" s="48">
        <f>CS13-CS16</f>
        <v/>
      </c>
      <c r="CT18" s="48">
        <f>CT13-CT16</f>
        <v/>
      </c>
      <c r="CU18" s="48">
        <f>CU13-CU16</f>
        <v/>
      </c>
      <c r="CV18" s="48">
        <f>CV13-CV16</f>
        <v/>
      </c>
      <c r="CW18" s="48">
        <f>CW13-CW16</f>
        <v/>
      </c>
      <c r="CX18" s="48">
        <f>CX13-CX16</f>
        <v/>
      </c>
      <c r="CY18" s="48">
        <f>CY13-CY16</f>
        <v/>
      </c>
      <c r="CZ18" s="48">
        <f>CZ13-CZ16</f>
        <v/>
      </c>
      <c r="DA18" s="48">
        <f>DA13-DA16</f>
        <v/>
      </c>
      <c r="DB18" s="48">
        <f>DB13-DB16</f>
        <v/>
      </c>
      <c r="DC18" s="48">
        <f>DC13-DC16</f>
        <v/>
      </c>
      <c r="DD18" s="48">
        <f>DD13-DD16</f>
        <v/>
      </c>
      <c r="DE18" s="48">
        <f>DE13-DE16</f>
        <v/>
      </c>
      <c r="DF18" s="48">
        <f>DF13-DF16</f>
        <v/>
      </c>
      <c r="DG18" s="48">
        <f>DG13-DG16</f>
        <v/>
      </c>
      <c r="DH18" s="48">
        <f>DH13-DH16</f>
        <v/>
      </c>
      <c r="DI18" s="48">
        <f>DI13-DI16</f>
        <v/>
      </c>
      <c r="DJ18" s="48">
        <f>DJ13-DJ16</f>
        <v/>
      </c>
      <c r="DK18" s="48">
        <f>DK13-DK16</f>
        <v/>
      </c>
      <c r="DL18" s="48">
        <f>DL13-DL16</f>
        <v/>
      </c>
      <c r="DM18" s="48">
        <f>DM13-DM16</f>
        <v/>
      </c>
      <c r="DN18" s="48">
        <f>DN13-DN16</f>
        <v/>
      </c>
      <c r="DO18" s="48">
        <f>DO13-DO16</f>
        <v/>
      </c>
      <c r="DP18" s="48">
        <f>DP13-DP16</f>
        <v/>
      </c>
      <c r="DQ18" s="48">
        <f>DQ13-DQ16</f>
        <v/>
      </c>
      <c r="DR18" s="48">
        <f>DR13-DR16</f>
        <v/>
      </c>
      <c r="DS18" s="48">
        <f>DS13-DS16</f>
        <v/>
      </c>
      <c r="DT18" s="48">
        <f>DT13-DT16</f>
        <v/>
      </c>
      <c r="DU18" s="48">
        <f>DU13-DU16</f>
        <v/>
      </c>
    </row>
    <row r="19">
      <c r="A19" t="inlineStr">
        <is>
          <t>Gross margin %</t>
        </is>
      </c>
      <c r="F19" s="26">
        <f>F18/F13</f>
        <v/>
      </c>
      <c r="G19" s="26">
        <f>G18/G13</f>
        <v/>
      </c>
      <c r="H19" s="26">
        <f>H18/H13</f>
        <v/>
      </c>
      <c r="I19" s="26">
        <f>I18/I13</f>
        <v/>
      </c>
      <c r="J19" s="26">
        <f>J18/J13</f>
        <v/>
      </c>
      <c r="K19" s="26">
        <f>K18/K13</f>
        <v/>
      </c>
      <c r="L19" s="26">
        <f>L18/L13</f>
        <v/>
      </c>
      <c r="M19" s="26">
        <f>M18/M13</f>
        <v/>
      </c>
      <c r="N19" s="26">
        <f>N18/N13</f>
        <v/>
      </c>
      <c r="O19" s="26">
        <f>O18/O13</f>
        <v/>
      </c>
      <c r="P19" s="26">
        <f>P18/P13</f>
        <v/>
      </c>
      <c r="Q19" s="26">
        <f>Q18/Q13</f>
        <v/>
      </c>
      <c r="R19" s="26">
        <f>R18/R13</f>
        <v/>
      </c>
      <c r="S19" s="26">
        <f>S18/S13</f>
        <v/>
      </c>
      <c r="T19" s="26">
        <f>T18/T13</f>
        <v/>
      </c>
      <c r="U19" s="26">
        <f>U18/U13</f>
        <v/>
      </c>
      <c r="V19" s="26">
        <f>V18/V13</f>
        <v/>
      </c>
      <c r="W19" s="26">
        <f>W18/W13</f>
        <v/>
      </c>
      <c r="X19" s="26">
        <f>X18/X13</f>
        <v/>
      </c>
      <c r="Y19" s="26">
        <f>Y18/Y13</f>
        <v/>
      </c>
      <c r="Z19" s="26">
        <f>Z18/Z13</f>
        <v/>
      </c>
      <c r="AA19" s="26">
        <f>AA18/AA13</f>
        <v/>
      </c>
      <c r="AB19" s="26">
        <f>AB18/AB13</f>
        <v/>
      </c>
      <c r="AC19" s="26">
        <f>AC18/AC13</f>
        <v/>
      </c>
      <c r="AD19" s="26">
        <f>AD18/AD13</f>
        <v/>
      </c>
      <c r="AE19" s="26">
        <f>AE18/AE13</f>
        <v/>
      </c>
      <c r="AF19" s="26">
        <f>AF18/AF13</f>
        <v/>
      </c>
      <c r="AG19" s="26">
        <f>AG18/AG13</f>
        <v/>
      </c>
      <c r="AH19" s="26">
        <f>AH18/AH13</f>
        <v/>
      </c>
      <c r="AI19" s="26">
        <f>AI18/AI13</f>
        <v/>
      </c>
      <c r="AJ19" s="26">
        <f>AJ18/AJ13</f>
        <v/>
      </c>
      <c r="AK19" s="26">
        <f>AK18/AK13</f>
        <v/>
      </c>
      <c r="AL19" s="26">
        <f>AL18/AL13</f>
        <v/>
      </c>
      <c r="AM19" s="26">
        <f>AM18/AM13</f>
        <v/>
      </c>
      <c r="AN19" s="26">
        <f>AN18/AN13</f>
        <v/>
      </c>
      <c r="AO19" s="26">
        <f>AO18/AO13</f>
        <v/>
      </c>
      <c r="AP19" s="26">
        <f>AP18/AP13</f>
        <v/>
      </c>
      <c r="AQ19" s="26">
        <f>AQ18/AQ13</f>
        <v/>
      </c>
      <c r="AR19" s="26">
        <f>AR18/AR13</f>
        <v/>
      </c>
      <c r="AS19" s="26">
        <f>AS18/AS13</f>
        <v/>
      </c>
      <c r="AT19" s="26">
        <f>AT18/AT13</f>
        <v/>
      </c>
      <c r="AU19" s="26">
        <f>AU18/AU13</f>
        <v/>
      </c>
      <c r="AV19" s="26">
        <f>AV18/AV13</f>
        <v/>
      </c>
      <c r="AW19" s="26">
        <f>AW18/AW13</f>
        <v/>
      </c>
      <c r="AX19" s="26">
        <f>AX18/AX13</f>
        <v/>
      </c>
      <c r="AY19" s="26">
        <f>AY18/AY13</f>
        <v/>
      </c>
      <c r="AZ19" s="26">
        <f>AZ18/AZ13</f>
        <v/>
      </c>
      <c r="BA19" s="26">
        <f>BA18/BA13</f>
        <v/>
      </c>
      <c r="BB19" s="26">
        <f>BB18/BB13</f>
        <v/>
      </c>
      <c r="BC19" s="26">
        <f>BC18/BC13</f>
        <v/>
      </c>
      <c r="BD19" s="26">
        <f>BD18/BD13</f>
        <v/>
      </c>
      <c r="BE19" s="26">
        <f>BE18/BE13</f>
        <v/>
      </c>
      <c r="BF19" s="26">
        <f>BF18/BF13</f>
        <v/>
      </c>
      <c r="BG19" s="26">
        <f>BG18/BG13</f>
        <v/>
      </c>
      <c r="BH19" s="26">
        <f>BH18/BH13</f>
        <v/>
      </c>
      <c r="BI19" s="26">
        <f>BI18/BI13</f>
        <v/>
      </c>
      <c r="BJ19" s="26">
        <f>BJ18/BJ13</f>
        <v/>
      </c>
      <c r="BK19" s="26">
        <f>BK18/BK13</f>
        <v/>
      </c>
      <c r="BL19" s="26">
        <f>BL18/BL13</f>
        <v/>
      </c>
      <c r="BM19" s="26">
        <f>BM18/BM13</f>
        <v/>
      </c>
      <c r="BN19" s="26">
        <f>BN18/BN13</f>
        <v/>
      </c>
      <c r="BO19" s="26">
        <f>BO18/BO13</f>
        <v/>
      </c>
      <c r="BP19" s="26">
        <f>BP18/BP13</f>
        <v/>
      </c>
      <c r="BQ19" s="26">
        <f>BQ18/BQ13</f>
        <v/>
      </c>
      <c r="BR19" s="26">
        <f>BR18/BR13</f>
        <v/>
      </c>
      <c r="BS19" s="26">
        <f>BS18/BS13</f>
        <v/>
      </c>
      <c r="BT19" s="26">
        <f>BT18/BT13</f>
        <v/>
      </c>
      <c r="BU19" s="26">
        <f>BU18/BU13</f>
        <v/>
      </c>
      <c r="BV19" s="26">
        <f>BV18/BV13</f>
        <v/>
      </c>
      <c r="BW19" s="26">
        <f>BW18/BW13</f>
        <v/>
      </c>
      <c r="BX19" s="26">
        <f>BX18/BX13</f>
        <v/>
      </c>
      <c r="BY19" s="26">
        <f>BY18/BY13</f>
        <v/>
      </c>
      <c r="BZ19" s="26">
        <f>BZ18/BZ13</f>
        <v/>
      </c>
      <c r="CA19" s="26">
        <f>CA18/CA13</f>
        <v/>
      </c>
      <c r="CB19" s="26">
        <f>CB18/CB13</f>
        <v/>
      </c>
      <c r="CC19" s="26">
        <f>CC18/CC13</f>
        <v/>
      </c>
      <c r="CD19" s="26">
        <f>CD18/CD13</f>
        <v/>
      </c>
      <c r="CE19" s="26">
        <f>CE18/CE13</f>
        <v/>
      </c>
      <c r="CF19" s="26">
        <f>CF18/CF13</f>
        <v/>
      </c>
      <c r="CG19" s="26">
        <f>CG18/CG13</f>
        <v/>
      </c>
      <c r="CH19" s="26">
        <f>CH18/CH13</f>
        <v/>
      </c>
      <c r="CI19" s="26">
        <f>CI18/CI13</f>
        <v/>
      </c>
      <c r="CJ19" s="26">
        <f>CJ18/CJ13</f>
        <v/>
      </c>
      <c r="CK19" s="26">
        <f>CK18/CK13</f>
        <v/>
      </c>
      <c r="CL19" s="26">
        <f>CL18/CL13</f>
        <v/>
      </c>
      <c r="CM19" s="26">
        <f>CM18/CM13</f>
        <v/>
      </c>
      <c r="CN19" s="26">
        <f>CN18/CN13</f>
        <v/>
      </c>
      <c r="CO19" s="26">
        <f>CO18/CO13</f>
        <v/>
      </c>
      <c r="CP19" s="26">
        <f>CP18/CP13</f>
        <v/>
      </c>
      <c r="CQ19" s="26">
        <f>CQ18/CQ13</f>
        <v/>
      </c>
      <c r="CR19" s="26">
        <f>CR18/CR13</f>
        <v/>
      </c>
      <c r="CS19" s="26">
        <f>CS18/CS13</f>
        <v/>
      </c>
      <c r="CT19" s="26">
        <f>CT18/CT13</f>
        <v/>
      </c>
      <c r="CU19" s="26">
        <f>CU18/CU13</f>
        <v/>
      </c>
      <c r="CV19" s="26">
        <f>CV18/CV13</f>
        <v/>
      </c>
      <c r="CW19" s="26">
        <f>CW18/CW13</f>
        <v/>
      </c>
      <c r="CX19" s="26">
        <f>CX18/CX13</f>
        <v/>
      </c>
      <c r="CY19" s="26">
        <f>CY18/CY13</f>
        <v/>
      </c>
      <c r="CZ19" s="26">
        <f>CZ18/CZ13</f>
        <v/>
      </c>
      <c r="DA19" s="26">
        <f>DA18/DA13</f>
        <v/>
      </c>
      <c r="DB19" s="26">
        <f>DB18/DB13</f>
        <v/>
      </c>
      <c r="DC19" s="26">
        <f>DC18/DC13</f>
        <v/>
      </c>
      <c r="DD19" s="26">
        <f>DD18/DD13</f>
        <v/>
      </c>
      <c r="DE19" s="26">
        <f>DE18/DE13</f>
        <v/>
      </c>
      <c r="DF19" s="26">
        <f>DF18/DF13</f>
        <v/>
      </c>
      <c r="DG19" s="26">
        <f>DG18/DG13</f>
        <v/>
      </c>
      <c r="DH19" s="26">
        <f>DH18/DH13</f>
        <v/>
      </c>
      <c r="DI19" s="26">
        <f>DI18/DI13</f>
        <v/>
      </c>
      <c r="DJ19" s="26">
        <f>DJ18/DJ13</f>
        <v/>
      </c>
      <c r="DK19" s="26">
        <f>DK18/DK13</f>
        <v/>
      </c>
      <c r="DL19" s="26">
        <f>DL18/DL13</f>
        <v/>
      </c>
      <c r="DM19" s="26">
        <f>DM18/DM13</f>
        <v/>
      </c>
      <c r="DN19" s="26">
        <f>DN18/DN13</f>
        <v/>
      </c>
      <c r="DO19" s="26">
        <f>DO18/DO13</f>
        <v/>
      </c>
      <c r="DP19" s="26">
        <f>DP18/DP13</f>
        <v/>
      </c>
      <c r="DQ19" s="26">
        <f>DQ18/DQ13</f>
        <v/>
      </c>
      <c r="DR19" s="26">
        <f>DR18/DR13</f>
        <v/>
      </c>
      <c r="DS19" s="26">
        <f>DS18/DS13</f>
        <v/>
      </c>
      <c r="DT19" s="26">
        <f>DT18/DT13</f>
        <v/>
      </c>
      <c r="DU19" s="26">
        <f>DU18/DU13</f>
        <v/>
      </c>
    </row>
    <row r="21">
      <c r="A21" s="11" t="inlineStr">
        <is>
          <t>Operating Expenses</t>
        </is>
      </c>
    </row>
    <row r="22">
      <c r="A22" t="inlineStr">
        <is>
          <t>Logistics &amp; distribution</t>
        </is>
      </c>
      <c r="F22" s="44">
        <f>Volume_Assumptions!F51*6</f>
        <v/>
      </c>
      <c r="G22" s="44">
        <f>Volume_Assumptions!G51*6</f>
        <v/>
      </c>
      <c r="H22" s="44">
        <f>Volume_Assumptions!H51*6</f>
        <v/>
      </c>
      <c r="I22" s="44">
        <f>Volume_Assumptions!I51*6</f>
        <v/>
      </c>
      <c r="J22" s="44">
        <f>Volume_Assumptions!J51*6</f>
        <v/>
      </c>
      <c r="K22" s="44">
        <f>Volume_Assumptions!K51*6</f>
        <v/>
      </c>
      <c r="L22" s="44">
        <f>Volume_Assumptions!L51*6</f>
        <v/>
      </c>
      <c r="M22" s="44">
        <f>Volume_Assumptions!M51*6</f>
        <v/>
      </c>
      <c r="N22" s="44">
        <f>Volume_Assumptions!N51*6</f>
        <v/>
      </c>
      <c r="O22" s="44">
        <f>Volume_Assumptions!O51*6</f>
        <v/>
      </c>
      <c r="P22" s="44">
        <f>Volume_Assumptions!P51*6</f>
        <v/>
      </c>
      <c r="Q22" s="44">
        <f>Volume_Assumptions!Q51*6</f>
        <v/>
      </c>
      <c r="R22" s="44">
        <f>Volume_Assumptions!R51*6</f>
        <v/>
      </c>
      <c r="S22" s="44">
        <f>Volume_Assumptions!S51*6</f>
        <v/>
      </c>
      <c r="T22" s="44">
        <f>Volume_Assumptions!T51*6</f>
        <v/>
      </c>
      <c r="U22" s="44">
        <f>Volume_Assumptions!U51*6</f>
        <v/>
      </c>
      <c r="V22" s="44">
        <f>Volume_Assumptions!V51*6</f>
        <v/>
      </c>
      <c r="W22" s="44">
        <f>Volume_Assumptions!W51*6</f>
        <v/>
      </c>
      <c r="X22" s="44">
        <f>Volume_Assumptions!X51*6</f>
        <v/>
      </c>
      <c r="Y22" s="44">
        <f>Volume_Assumptions!Y51*6</f>
        <v/>
      </c>
      <c r="Z22" s="44">
        <f>Volume_Assumptions!Z51*6</f>
        <v/>
      </c>
      <c r="AA22" s="44">
        <f>Volume_Assumptions!AA51*6</f>
        <v/>
      </c>
      <c r="AB22" s="44">
        <f>Volume_Assumptions!AB51*6</f>
        <v/>
      </c>
      <c r="AC22" s="44">
        <f>Volume_Assumptions!AC51*6</f>
        <v/>
      </c>
      <c r="AD22" s="44">
        <f>Volume_Assumptions!AD51*6</f>
        <v/>
      </c>
      <c r="AE22" s="44">
        <f>Volume_Assumptions!AE51*6</f>
        <v/>
      </c>
      <c r="AF22" s="44">
        <f>Volume_Assumptions!AF51*6</f>
        <v/>
      </c>
      <c r="AG22" s="44">
        <f>Volume_Assumptions!AG51*6</f>
        <v/>
      </c>
      <c r="AH22" s="44">
        <f>Volume_Assumptions!AH51*6</f>
        <v/>
      </c>
      <c r="AI22" s="44">
        <f>Volume_Assumptions!AI51*6</f>
        <v/>
      </c>
      <c r="AJ22" s="44">
        <f>Volume_Assumptions!AJ51*6</f>
        <v/>
      </c>
      <c r="AK22" s="44">
        <f>Volume_Assumptions!AK51*6</f>
        <v/>
      </c>
      <c r="AL22" s="44">
        <f>Volume_Assumptions!AL51*6</f>
        <v/>
      </c>
      <c r="AM22" s="44">
        <f>Volume_Assumptions!AM51*6</f>
        <v/>
      </c>
      <c r="AN22" s="44">
        <f>Volume_Assumptions!AN51*6</f>
        <v/>
      </c>
      <c r="AO22" s="44">
        <f>Volume_Assumptions!AO51*6</f>
        <v/>
      </c>
      <c r="AP22" s="44">
        <f>Volume_Assumptions!AP51*6</f>
        <v/>
      </c>
      <c r="AQ22" s="44">
        <f>Volume_Assumptions!AQ51*6</f>
        <v/>
      </c>
      <c r="AR22" s="44">
        <f>Volume_Assumptions!AR51*6</f>
        <v/>
      </c>
      <c r="AS22" s="44">
        <f>Volume_Assumptions!AS51*6</f>
        <v/>
      </c>
      <c r="AT22" s="44">
        <f>Volume_Assumptions!AT51*6</f>
        <v/>
      </c>
      <c r="AU22" s="44">
        <f>Volume_Assumptions!AU51*6</f>
        <v/>
      </c>
      <c r="AV22" s="44">
        <f>Volume_Assumptions!AV51*6</f>
        <v/>
      </c>
      <c r="AW22" s="44">
        <f>Volume_Assumptions!AW51*6</f>
        <v/>
      </c>
      <c r="AX22" s="44">
        <f>Volume_Assumptions!AX51*6</f>
        <v/>
      </c>
      <c r="AY22" s="44">
        <f>Volume_Assumptions!AY51*6</f>
        <v/>
      </c>
      <c r="AZ22" s="44">
        <f>Volume_Assumptions!AZ51*6</f>
        <v/>
      </c>
      <c r="BA22" s="44">
        <f>Volume_Assumptions!BA51*6</f>
        <v/>
      </c>
      <c r="BB22" s="44">
        <f>Volume_Assumptions!BB51*6</f>
        <v/>
      </c>
      <c r="BC22" s="44">
        <f>Volume_Assumptions!BC51*6</f>
        <v/>
      </c>
      <c r="BD22" s="44">
        <f>Volume_Assumptions!BD51*6</f>
        <v/>
      </c>
      <c r="BE22" s="44">
        <f>Volume_Assumptions!BE51*6</f>
        <v/>
      </c>
      <c r="BF22" s="44">
        <f>Volume_Assumptions!BF51*6</f>
        <v/>
      </c>
      <c r="BG22" s="44">
        <f>Volume_Assumptions!BG51*6</f>
        <v/>
      </c>
      <c r="BH22" s="44">
        <f>Volume_Assumptions!BH51*6</f>
        <v/>
      </c>
      <c r="BI22" s="44">
        <f>Volume_Assumptions!BI51*6</f>
        <v/>
      </c>
      <c r="BJ22" s="44">
        <f>Volume_Assumptions!BJ51*6</f>
        <v/>
      </c>
      <c r="BK22" s="44">
        <f>Volume_Assumptions!BK51*6</f>
        <v/>
      </c>
      <c r="BL22" s="44">
        <f>Volume_Assumptions!BL51*6</f>
        <v/>
      </c>
      <c r="BM22" s="44">
        <f>Volume_Assumptions!BM51*6</f>
        <v/>
      </c>
      <c r="BN22" s="44">
        <f>Volume_Assumptions!BN51*6</f>
        <v/>
      </c>
      <c r="BO22" s="44">
        <f>Volume_Assumptions!BO51*6</f>
        <v/>
      </c>
      <c r="BP22" s="44">
        <f>Volume_Assumptions!BP51*6</f>
        <v/>
      </c>
      <c r="BQ22" s="44">
        <f>Volume_Assumptions!BQ51*6</f>
        <v/>
      </c>
      <c r="BR22" s="44">
        <f>Volume_Assumptions!BR51*6</f>
        <v/>
      </c>
      <c r="BS22" s="44">
        <f>Volume_Assumptions!BS51*6</f>
        <v/>
      </c>
      <c r="BT22" s="44">
        <f>Volume_Assumptions!BT51*6</f>
        <v/>
      </c>
      <c r="BU22" s="44">
        <f>Volume_Assumptions!BU51*6</f>
        <v/>
      </c>
      <c r="BV22" s="44">
        <f>Volume_Assumptions!BV51*6</f>
        <v/>
      </c>
      <c r="BW22" s="44">
        <f>Volume_Assumptions!BW51*6</f>
        <v/>
      </c>
      <c r="BX22" s="44">
        <f>Volume_Assumptions!BX51*6</f>
        <v/>
      </c>
      <c r="BY22" s="44">
        <f>Volume_Assumptions!BY51*6</f>
        <v/>
      </c>
      <c r="BZ22" s="44">
        <f>Volume_Assumptions!BZ51*6</f>
        <v/>
      </c>
      <c r="CA22" s="44">
        <f>Volume_Assumptions!CA51*6</f>
        <v/>
      </c>
      <c r="CB22" s="44">
        <f>Volume_Assumptions!CB51*6</f>
        <v/>
      </c>
      <c r="CC22" s="44">
        <f>Volume_Assumptions!CC51*6</f>
        <v/>
      </c>
      <c r="CD22" s="44">
        <f>Volume_Assumptions!CD51*6</f>
        <v/>
      </c>
      <c r="CE22" s="44">
        <f>Volume_Assumptions!CE51*6</f>
        <v/>
      </c>
      <c r="CF22" s="44">
        <f>Volume_Assumptions!CF51*6</f>
        <v/>
      </c>
      <c r="CG22" s="44">
        <f>Volume_Assumptions!CG51*6</f>
        <v/>
      </c>
      <c r="CH22" s="44">
        <f>Volume_Assumptions!CH51*6</f>
        <v/>
      </c>
      <c r="CI22" s="44">
        <f>Volume_Assumptions!CI51*6</f>
        <v/>
      </c>
      <c r="CJ22" s="44">
        <f>Volume_Assumptions!CJ51*6</f>
        <v/>
      </c>
      <c r="CK22" s="44">
        <f>Volume_Assumptions!CK51*6</f>
        <v/>
      </c>
      <c r="CL22" s="44">
        <f>Volume_Assumptions!CL51*6</f>
        <v/>
      </c>
      <c r="CM22" s="44">
        <f>Volume_Assumptions!CM51*6</f>
        <v/>
      </c>
      <c r="CN22" s="44">
        <f>Volume_Assumptions!CN51*6</f>
        <v/>
      </c>
      <c r="CO22" s="44">
        <f>Volume_Assumptions!CO51*6</f>
        <v/>
      </c>
      <c r="CP22" s="44">
        <f>Volume_Assumptions!CP51*6</f>
        <v/>
      </c>
      <c r="CQ22" s="44">
        <f>Volume_Assumptions!CQ51*6</f>
        <v/>
      </c>
      <c r="CR22" s="44">
        <f>Volume_Assumptions!CR51*6</f>
        <v/>
      </c>
      <c r="CS22" s="44">
        <f>Volume_Assumptions!CS51*6</f>
        <v/>
      </c>
      <c r="CT22" s="44">
        <f>Volume_Assumptions!CT51*6</f>
        <v/>
      </c>
      <c r="CU22" s="44">
        <f>Volume_Assumptions!CU51*6</f>
        <v/>
      </c>
      <c r="CV22" s="44">
        <f>Volume_Assumptions!CV51*6</f>
        <v/>
      </c>
      <c r="CW22" s="44">
        <f>Volume_Assumptions!CW51*6</f>
        <v/>
      </c>
      <c r="CX22" s="44">
        <f>Volume_Assumptions!CX51*6</f>
        <v/>
      </c>
      <c r="CY22" s="44">
        <f>Volume_Assumptions!CY51*6</f>
        <v/>
      </c>
      <c r="CZ22" s="44">
        <f>Volume_Assumptions!CZ51*6</f>
        <v/>
      </c>
      <c r="DA22" s="44">
        <f>Volume_Assumptions!DA51*6</f>
        <v/>
      </c>
      <c r="DB22" s="44">
        <f>Volume_Assumptions!DB51*6</f>
        <v/>
      </c>
      <c r="DC22" s="44">
        <f>Volume_Assumptions!DC51*6</f>
        <v/>
      </c>
      <c r="DD22" s="44">
        <f>Volume_Assumptions!DD51*6</f>
        <v/>
      </c>
      <c r="DE22" s="44">
        <f>Volume_Assumptions!DE51*6</f>
        <v/>
      </c>
      <c r="DF22" s="44">
        <f>Volume_Assumptions!DF51*6</f>
        <v/>
      </c>
      <c r="DG22" s="44">
        <f>Volume_Assumptions!DG51*6</f>
        <v/>
      </c>
      <c r="DH22" s="44">
        <f>Volume_Assumptions!DH51*6</f>
        <v/>
      </c>
      <c r="DI22" s="44">
        <f>Volume_Assumptions!DI51*6</f>
        <v/>
      </c>
      <c r="DJ22" s="44">
        <f>Volume_Assumptions!DJ51*6</f>
        <v/>
      </c>
      <c r="DK22" s="44">
        <f>Volume_Assumptions!DK51*6</f>
        <v/>
      </c>
      <c r="DL22" s="44">
        <f>Volume_Assumptions!DL51*6</f>
        <v/>
      </c>
      <c r="DM22" s="44">
        <f>Volume_Assumptions!DM51*6</f>
        <v/>
      </c>
      <c r="DN22" s="44">
        <f>Volume_Assumptions!DN51*6</f>
        <v/>
      </c>
      <c r="DO22" s="44">
        <f>Volume_Assumptions!DO51*6</f>
        <v/>
      </c>
      <c r="DP22" s="44">
        <f>Volume_Assumptions!DP51*6</f>
        <v/>
      </c>
      <c r="DQ22" s="44">
        <f>Volume_Assumptions!DQ51*6</f>
        <v/>
      </c>
      <c r="DR22" s="44">
        <f>Volume_Assumptions!DR51*6</f>
        <v/>
      </c>
      <c r="DS22" s="44">
        <f>Volume_Assumptions!DS51*6</f>
        <v/>
      </c>
      <c r="DT22" s="44">
        <f>Volume_Assumptions!DT51*6</f>
        <v/>
      </c>
      <c r="DU22" s="44">
        <f>Volume_Assumptions!DU51*6</f>
        <v/>
      </c>
    </row>
    <row r="23">
      <c r="A23" t="inlineStr">
        <is>
          <t>SG&amp;A</t>
        </is>
      </c>
      <c r="F23" s="44">
        <f>F13*0.10</f>
        <v/>
      </c>
      <c r="G23" s="44">
        <f>G13*0.10</f>
        <v/>
      </c>
      <c r="H23" s="44">
        <f>H13*0.10</f>
        <v/>
      </c>
      <c r="I23" s="44">
        <f>I13*0.10</f>
        <v/>
      </c>
      <c r="J23" s="44">
        <f>J13*0.10</f>
        <v/>
      </c>
      <c r="K23" s="44">
        <f>K13*0.10</f>
        <v/>
      </c>
      <c r="L23" s="44">
        <f>L13*0.10</f>
        <v/>
      </c>
      <c r="M23" s="44">
        <f>M13*0.10</f>
        <v/>
      </c>
      <c r="N23" s="44">
        <f>N13*0.10</f>
        <v/>
      </c>
      <c r="O23" s="44">
        <f>O13*0.10</f>
        <v/>
      </c>
      <c r="P23" s="44">
        <f>P13*0.10</f>
        <v/>
      </c>
      <c r="Q23" s="44">
        <f>Q13*0.10</f>
        <v/>
      </c>
      <c r="R23" s="44">
        <f>R13*0.10</f>
        <v/>
      </c>
      <c r="S23" s="44">
        <f>S13*0.10</f>
        <v/>
      </c>
      <c r="T23" s="44">
        <f>T13*0.10</f>
        <v/>
      </c>
      <c r="U23" s="44">
        <f>U13*0.10</f>
        <v/>
      </c>
      <c r="V23" s="44">
        <f>V13*0.10</f>
        <v/>
      </c>
      <c r="W23" s="44">
        <f>W13*0.10</f>
        <v/>
      </c>
      <c r="X23" s="44">
        <f>X13*0.10</f>
        <v/>
      </c>
      <c r="Y23" s="44">
        <f>Y13*0.10</f>
        <v/>
      </c>
      <c r="Z23" s="44">
        <f>Z13*0.10</f>
        <v/>
      </c>
      <c r="AA23" s="44">
        <f>AA13*0.10</f>
        <v/>
      </c>
      <c r="AB23" s="44">
        <f>AB13*0.10</f>
        <v/>
      </c>
      <c r="AC23" s="44">
        <f>AC13*0.10</f>
        <v/>
      </c>
      <c r="AD23" s="44">
        <f>AD13*0.10</f>
        <v/>
      </c>
      <c r="AE23" s="44">
        <f>AE13*0.10</f>
        <v/>
      </c>
      <c r="AF23" s="44">
        <f>AF13*0.10</f>
        <v/>
      </c>
      <c r="AG23" s="44">
        <f>AG13*0.10</f>
        <v/>
      </c>
      <c r="AH23" s="44">
        <f>AH13*0.10</f>
        <v/>
      </c>
      <c r="AI23" s="44">
        <f>AI13*0.10</f>
        <v/>
      </c>
      <c r="AJ23" s="44">
        <f>AJ13*0.10</f>
        <v/>
      </c>
      <c r="AK23" s="44">
        <f>AK13*0.10</f>
        <v/>
      </c>
      <c r="AL23" s="44">
        <f>AL13*0.10</f>
        <v/>
      </c>
      <c r="AM23" s="44">
        <f>AM13*0.10</f>
        <v/>
      </c>
      <c r="AN23" s="44">
        <f>AN13*0.10</f>
        <v/>
      </c>
      <c r="AO23" s="44">
        <f>AO13*0.10</f>
        <v/>
      </c>
      <c r="AP23" s="44">
        <f>AP13*0.10</f>
        <v/>
      </c>
      <c r="AQ23" s="44">
        <f>AQ13*0.10</f>
        <v/>
      </c>
      <c r="AR23" s="44">
        <f>AR13*0.10</f>
        <v/>
      </c>
      <c r="AS23" s="44">
        <f>AS13*0.10</f>
        <v/>
      </c>
      <c r="AT23" s="44">
        <f>AT13*0.10</f>
        <v/>
      </c>
      <c r="AU23" s="44">
        <f>AU13*0.10</f>
        <v/>
      </c>
      <c r="AV23" s="44">
        <f>AV13*0.10</f>
        <v/>
      </c>
      <c r="AW23" s="44">
        <f>AW13*0.10</f>
        <v/>
      </c>
      <c r="AX23" s="44">
        <f>AX13*0.10</f>
        <v/>
      </c>
      <c r="AY23" s="44">
        <f>AY13*0.10</f>
        <v/>
      </c>
      <c r="AZ23" s="44">
        <f>AZ13*0.10</f>
        <v/>
      </c>
      <c r="BA23" s="44">
        <f>BA13*0.10</f>
        <v/>
      </c>
      <c r="BB23" s="44">
        <f>BB13*0.10</f>
        <v/>
      </c>
      <c r="BC23" s="44">
        <f>BC13*0.10</f>
        <v/>
      </c>
      <c r="BD23" s="44">
        <f>BD13*0.10</f>
        <v/>
      </c>
      <c r="BE23" s="44">
        <f>BE13*0.10</f>
        <v/>
      </c>
      <c r="BF23" s="44">
        <f>BF13*0.10</f>
        <v/>
      </c>
      <c r="BG23" s="44">
        <f>BG13*0.10</f>
        <v/>
      </c>
      <c r="BH23" s="44">
        <f>BH13*0.10</f>
        <v/>
      </c>
      <c r="BI23" s="44">
        <f>BI13*0.10</f>
        <v/>
      </c>
      <c r="BJ23" s="44">
        <f>BJ13*0.10</f>
        <v/>
      </c>
      <c r="BK23" s="44">
        <f>BK13*0.10</f>
        <v/>
      </c>
      <c r="BL23" s="44">
        <f>BL13*0.10</f>
        <v/>
      </c>
      <c r="BM23" s="44">
        <f>BM13*0.10</f>
        <v/>
      </c>
      <c r="BN23" s="44">
        <f>BN13*0.10</f>
        <v/>
      </c>
      <c r="BO23" s="44">
        <f>BO13*0.10</f>
        <v/>
      </c>
      <c r="BP23" s="44">
        <f>BP13*0.10</f>
        <v/>
      </c>
      <c r="BQ23" s="44">
        <f>BQ13*0.10</f>
        <v/>
      </c>
      <c r="BR23" s="44">
        <f>BR13*0.10</f>
        <v/>
      </c>
      <c r="BS23" s="44">
        <f>BS13*0.10</f>
        <v/>
      </c>
      <c r="BT23" s="44">
        <f>BT13*0.10</f>
        <v/>
      </c>
      <c r="BU23" s="44">
        <f>BU13*0.10</f>
        <v/>
      </c>
      <c r="BV23" s="44">
        <f>BV13*0.10</f>
        <v/>
      </c>
      <c r="BW23" s="44">
        <f>BW13*0.10</f>
        <v/>
      </c>
      <c r="BX23" s="44">
        <f>BX13*0.10</f>
        <v/>
      </c>
      <c r="BY23" s="44">
        <f>BY13*0.10</f>
        <v/>
      </c>
      <c r="BZ23" s="44">
        <f>BZ13*0.10</f>
        <v/>
      </c>
      <c r="CA23" s="44">
        <f>CA13*0.10</f>
        <v/>
      </c>
      <c r="CB23" s="44">
        <f>CB13*0.10</f>
        <v/>
      </c>
      <c r="CC23" s="44">
        <f>CC13*0.10</f>
        <v/>
      </c>
      <c r="CD23" s="44">
        <f>CD13*0.10</f>
        <v/>
      </c>
      <c r="CE23" s="44">
        <f>CE13*0.10</f>
        <v/>
      </c>
      <c r="CF23" s="44">
        <f>CF13*0.10</f>
        <v/>
      </c>
      <c r="CG23" s="44">
        <f>CG13*0.10</f>
        <v/>
      </c>
      <c r="CH23" s="44">
        <f>CH13*0.10</f>
        <v/>
      </c>
      <c r="CI23" s="44">
        <f>CI13*0.10</f>
        <v/>
      </c>
      <c r="CJ23" s="44">
        <f>CJ13*0.10</f>
        <v/>
      </c>
      <c r="CK23" s="44">
        <f>CK13*0.10</f>
        <v/>
      </c>
      <c r="CL23" s="44">
        <f>CL13*0.10</f>
        <v/>
      </c>
      <c r="CM23" s="44">
        <f>CM13*0.10</f>
        <v/>
      </c>
      <c r="CN23" s="44">
        <f>CN13*0.10</f>
        <v/>
      </c>
      <c r="CO23" s="44">
        <f>CO13*0.10</f>
        <v/>
      </c>
      <c r="CP23" s="44">
        <f>CP13*0.10</f>
        <v/>
      </c>
      <c r="CQ23" s="44">
        <f>CQ13*0.10</f>
        <v/>
      </c>
      <c r="CR23" s="44">
        <f>CR13*0.10</f>
        <v/>
      </c>
      <c r="CS23" s="44">
        <f>CS13*0.10</f>
        <v/>
      </c>
      <c r="CT23" s="44">
        <f>CT13*0.10</f>
        <v/>
      </c>
      <c r="CU23" s="44">
        <f>CU13*0.10</f>
        <v/>
      </c>
      <c r="CV23" s="44">
        <f>CV13*0.10</f>
        <v/>
      </c>
      <c r="CW23" s="44">
        <f>CW13*0.10</f>
        <v/>
      </c>
      <c r="CX23" s="44">
        <f>CX13*0.10</f>
        <v/>
      </c>
      <c r="CY23" s="44">
        <f>CY13*0.10</f>
        <v/>
      </c>
      <c r="CZ23" s="44">
        <f>CZ13*0.10</f>
        <v/>
      </c>
      <c r="DA23" s="44">
        <f>DA13*0.10</f>
        <v/>
      </c>
      <c r="DB23" s="44">
        <f>DB13*0.10</f>
        <v/>
      </c>
      <c r="DC23" s="44">
        <f>DC13*0.10</f>
        <v/>
      </c>
      <c r="DD23" s="44">
        <f>DD13*0.10</f>
        <v/>
      </c>
      <c r="DE23" s="44">
        <f>DE13*0.10</f>
        <v/>
      </c>
      <c r="DF23" s="44">
        <f>DF13*0.10</f>
        <v/>
      </c>
      <c r="DG23" s="44">
        <f>DG13*0.10</f>
        <v/>
      </c>
      <c r="DH23" s="44">
        <f>DH13*0.10</f>
        <v/>
      </c>
      <c r="DI23" s="44">
        <f>DI13*0.10</f>
        <v/>
      </c>
      <c r="DJ23" s="44">
        <f>DJ13*0.10</f>
        <v/>
      </c>
      <c r="DK23" s="44">
        <f>DK13*0.10</f>
        <v/>
      </c>
      <c r="DL23" s="44">
        <f>DL13*0.10</f>
        <v/>
      </c>
      <c r="DM23" s="44">
        <f>DM13*0.10</f>
        <v/>
      </c>
      <c r="DN23" s="44">
        <f>DN13*0.10</f>
        <v/>
      </c>
      <c r="DO23" s="44">
        <f>DO13*0.10</f>
        <v/>
      </c>
      <c r="DP23" s="44">
        <f>DP13*0.10</f>
        <v/>
      </c>
      <c r="DQ23" s="44">
        <f>DQ13*0.10</f>
        <v/>
      </c>
      <c r="DR23" s="44">
        <f>DR13*0.10</f>
        <v/>
      </c>
      <c r="DS23" s="44">
        <f>DS13*0.10</f>
        <v/>
      </c>
      <c r="DT23" s="44">
        <f>DT13*0.10</f>
        <v/>
      </c>
      <c r="DU23" s="44">
        <f>DU13*0.10</f>
        <v/>
      </c>
    </row>
    <row r="24">
      <c r="A24" s="8" t="inlineStr">
        <is>
          <t>Total OpEx</t>
        </is>
      </c>
      <c r="F24" s="45">
        <f>F22+F23</f>
        <v/>
      </c>
      <c r="G24" s="45">
        <f>G22+G23</f>
        <v/>
      </c>
      <c r="H24" s="45">
        <f>H22+H23</f>
        <v/>
      </c>
      <c r="I24" s="45">
        <f>I22+I23</f>
        <v/>
      </c>
      <c r="J24" s="45">
        <f>J22+J23</f>
        <v/>
      </c>
      <c r="K24" s="45">
        <f>K22+K23</f>
        <v/>
      </c>
      <c r="L24" s="45">
        <f>L22+L23</f>
        <v/>
      </c>
      <c r="M24" s="45">
        <f>M22+M23</f>
        <v/>
      </c>
      <c r="N24" s="45">
        <f>N22+N23</f>
        <v/>
      </c>
      <c r="O24" s="45">
        <f>O22+O23</f>
        <v/>
      </c>
      <c r="P24" s="45">
        <f>P22+P23</f>
        <v/>
      </c>
      <c r="Q24" s="45">
        <f>Q22+Q23</f>
        <v/>
      </c>
      <c r="R24" s="45">
        <f>R22+R23</f>
        <v/>
      </c>
      <c r="S24" s="45">
        <f>S22+S23</f>
        <v/>
      </c>
      <c r="T24" s="45">
        <f>T22+T23</f>
        <v/>
      </c>
      <c r="U24" s="45">
        <f>U22+U23</f>
        <v/>
      </c>
      <c r="V24" s="45">
        <f>V22+V23</f>
        <v/>
      </c>
      <c r="W24" s="45">
        <f>W22+W23</f>
        <v/>
      </c>
      <c r="X24" s="45">
        <f>X22+X23</f>
        <v/>
      </c>
      <c r="Y24" s="45">
        <f>Y22+Y23</f>
        <v/>
      </c>
      <c r="Z24" s="45">
        <f>Z22+Z23</f>
        <v/>
      </c>
      <c r="AA24" s="45">
        <f>AA22+AA23</f>
        <v/>
      </c>
      <c r="AB24" s="45">
        <f>AB22+AB23</f>
        <v/>
      </c>
      <c r="AC24" s="45">
        <f>AC22+AC23</f>
        <v/>
      </c>
      <c r="AD24" s="45">
        <f>AD22+AD23</f>
        <v/>
      </c>
      <c r="AE24" s="45">
        <f>AE22+AE23</f>
        <v/>
      </c>
      <c r="AF24" s="45">
        <f>AF22+AF23</f>
        <v/>
      </c>
      <c r="AG24" s="45">
        <f>AG22+AG23</f>
        <v/>
      </c>
      <c r="AH24" s="45">
        <f>AH22+AH23</f>
        <v/>
      </c>
      <c r="AI24" s="45">
        <f>AI22+AI23</f>
        <v/>
      </c>
      <c r="AJ24" s="45">
        <f>AJ22+AJ23</f>
        <v/>
      </c>
      <c r="AK24" s="45">
        <f>AK22+AK23</f>
        <v/>
      </c>
      <c r="AL24" s="45">
        <f>AL22+AL23</f>
        <v/>
      </c>
      <c r="AM24" s="45">
        <f>AM22+AM23</f>
        <v/>
      </c>
      <c r="AN24" s="45">
        <f>AN22+AN23</f>
        <v/>
      </c>
      <c r="AO24" s="45">
        <f>AO22+AO23</f>
        <v/>
      </c>
      <c r="AP24" s="45">
        <f>AP22+AP23</f>
        <v/>
      </c>
      <c r="AQ24" s="45">
        <f>AQ22+AQ23</f>
        <v/>
      </c>
      <c r="AR24" s="45">
        <f>AR22+AR23</f>
        <v/>
      </c>
      <c r="AS24" s="45">
        <f>AS22+AS23</f>
        <v/>
      </c>
      <c r="AT24" s="45">
        <f>AT22+AT23</f>
        <v/>
      </c>
      <c r="AU24" s="45">
        <f>AU22+AU23</f>
        <v/>
      </c>
      <c r="AV24" s="45">
        <f>AV22+AV23</f>
        <v/>
      </c>
      <c r="AW24" s="45">
        <f>AW22+AW23</f>
        <v/>
      </c>
      <c r="AX24" s="45">
        <f>AX22+AX23</f>
        <v/>
      </c>
      <c r="AY24" s="45">
        <f>AY22+AY23</f>
        <v/>
      </c>
      <c r="AZ24" s="45">
        <f>AZ22+AZ23</f>
        <v/>
      </c>
      <c r="BA24" s="45">
        <f>BA22+BA23</f>
        <v/>
      </c>
      <c r="BB24" s="45">
        <f>BB22+BB23</f>
        <v/>
      </c>
      <c r="BC24" s="45">
        <f>BC22+BC23</f>
        <v/>
      </c>
      <c r="BD24" s="45">
        <f>BD22+BD23</f>
        <v/>
      </c>
      <c r="BE24" s="45">
        <f>BE22+BE23</f>
        <v/>
      </c>
      <c r="BF24" s="45">
        <f>BF22+BF23</f>
        <v/>
      </c>
      <c r="BG24" s="45">
        <f>BG22+BG23</f>
        <v/>
      </c>
      <c r="BH24" s="45">
        <f>BH22+BH23</f>
        <v/>
      </c>
      <c r="BI24" s="45">
        <f>BI22+BI23</f>
        <v/>
      </c>
      <c r="BJ24" s="45">
        <f>BJ22+BJ23</f>
        <v/>
      </c>
      <c r="BK24" s="45">
        <f>BK22+BK23</f>
        <v/>
      </c>
      <c r="BL24" s="45">
        <f>BL22+BL23</f>
        <v/>
      </c>
      <c r="BM24" s="45">
        <f>BM22+BM23</f>
        <v/>
      </c>
      <c r="BN24" s="45">
        <f>BN22+BN23</f>
        <v/>
      </c>
      <c r="BO24" s="45">
        <f>BO22+BO23</f>
        <v/>
      </c>
      <c r="BP24" s="45">
        <f>BP22+BP23</f>
        <v/>
      </c>
      <c r="BQ24" s="45">
        <f>BQ22+BQ23</f>
        <v/>
      </c>
      <c r="BR24" s="45">
        <f>BR22+BR23</f>
        <v/>
      </c>
      <c r="BS24" s="45">
        <f>BS22+BS23</f>
        <v/>
      </c>
      <c r="BT24" s="45">
        <f>BT22+BT23</f>
        <v/>
      </c>
      <c r="BU24" s="45">
        <f>BU22+BU23</f>
        <v/>
      </c>
      <c r="BV24" s="45">
        <f>BV22+BV23</f>
        <v/>
      </c>
      <c r="BW24" s="45">
        <f>BW22+BW23</f>
        <v/>
      </c>
      <c r="BX24" s="45">
        <f>BX22+BX23</f>
        <v/>
      </c>
      <c r="BY24" s="45">
        <f>BY22+BY23</f>
        <v/>
      </c>
      <c r="BZ24" s="45">
        <f>BZ22+BZ23</f>
        <v/>
      </c>
      <c r="CA24" s="45">
        <f>CA22+CA23</f>
        <v/>
      </c>
      <c r="CB24" s="45">
        <f>CB22+CB23</f>
        <v/>
      </c>
      <c r="CC24" s="45">
        <f>CC22+CC23</f>
        <v/>
      </c>
      <c r="CD24" s="45">
        <f>CD22+CD23</f>
        <v/>
      </c>
      <c r="CE24" s="45">
        <f>CE22+CE23</f>
        <v/>
      </c>
      <c r="CF24" s="45">
        <f>CF22+CF23</f>
        <v/>
      </c>
      <c r="CG24" s="45">
        <f>CG22+CG23</f>
        <v/>
      </c>
      <c r="CH24" s="45">
        <f>CH22+CH23</f>
        <v/>
      </c>
      <c r="CI24" s="45">
        <f>CI22+CI23</f>
        <v/>
      </c>
      <c r="CJ24" s="45">
        <f>CJ22+CJ23</f>
        <v/>
      </c>
      <c r="CK24" s="45">
        <f>CK22+CK23</f>
        <v/>
      </c>
      <c r="CL24" s="45">
        <f>CL22+CL23</f>
        <v/>
      </c>
      <c r="CM24" s="45">
        <f>CM22+CM23</f>
        <v/>
      </c>
      <c r="CN24" s="45">
        <f>CN22+CN23</f>
        <v/>
      </c>
      <c r="CO24" s="45">
        <f>CO22+CO23</f>
        <v/>
      </c>
      <c r="CP24" s="45">
        <f>CP22+CP23</f>
        <v/>
      </c>
      <c r="CQ24" s="45">
        <f>CQ22+CQ23</f>
        <v/>
      </c>
      <c r="CR24" s="45">
        <f>CR22+CR23</f>
        <v/>
      </c>
      <c r="CS24" s="45">
        <f>CS22+CS23</f>
        <v/>
      </c>
      <c r="CT24" s="45">
        <f>CT22+CT23</f>
        <v/>
      </c>
      <c r="CU24" s="45">
        <f>CU22+CU23</f>
        <v/>
      </c>
      <c r="CV24" s="45">
        <f>CV22+CV23</f>
        <v/>
      </c>
      <c r="CW24" s="45">
        <f>CW22+CW23</f>
        <v/>
      </c>
      <c r="CX24" s="45">
        <f>CX22+CX23</f>
        <v/>
      </c>
      <c r="CY24" s="45">
        <f>CY22+CY23</f>
        <v/>
      </c>
      <c r="CZ24" s="45">
        <f>CZ22+CZ23</f>
        <v/>
      </c>
      <c r="DA24" s="45">
        <f>DA22+DA23</f>
        <v/>
      </c>
      <c r="DB24" s="45">
        <f>DB22+DB23</f>
        <v/>
      </c>
      <c r="DC24" s="45">
        <f>DC22+DC23</f>
        <v/>
      </c>
      <c r="DD24" s="45">
        <f>DD22+DD23</f>
        <v/>
      </c>
      <c r="DE24" s="45">
        <f>DE22+DE23</f>
        <v/>
      </c>
      <c r="DF24" s="45">
        <f>DF22+DF23</f>
        <v/>
      </c>
      <c r="DG24" s="45">
        <f>DG22+DG23</f>
        <v/>
      </c>
      <c r="DH24" s="45">
        <f>DH22+DH23</f>
        <v/>
      </c>
      <c r="DI24" s="45">
        <f>DI22+DI23</f>
        <v/>
      </c>
      <c r="DJ24" s="45">
        <f>DJ22+DJ23</f>
        <v/>
      </c>
      <c r="DK24" s="45">
        <f>DK22+DK23</f>
        <v/>
      </c>
      <c r="DL24" s="45">
        <f>DL22+DL23</f>
        <v/>
      </c>
      <c r="DM24" s="45">
        <f>DM22+DM23</f>
        <v/>
      </c>
      <c r="DN24" s="45">
        <f>DN22+DN23</f>
        <v/>
      </c>
      <c r="DO24" s="45">
        <f>DO22+DO23</f>
        <v/>
      </c>
      <c r="DP24" s="45">
        <f>DP22+DP23</f>
        <v/>
      </c>
      <c r="DQ24" s="45">
        <f>DQ22+DQ23</f>
        <v/>
      </c>
      <c r="DR24" s="45">
        <f>DR22+DR23</f>
        <v/>
      </c>
      <c r="DS24" s="45">
        <f>DS22+DS23</f>
        <v/>
      </c>
      <c r="DT24" s="45">
        <f>DT22+DT23</f>
        <v/>
      </c>
      <c r="DU24" s="45">
        <f>DU22+DU23</f>
        <v/>
      </c>
    </row>
    <row r="26">
      <c r="A26" s="8" t="inlineStr">
        <is>
          <t>EBITDA</t>
        </is>
      </c>
      <c r="F26" s="48">
        <f>F18-F24</f>
        <v/>
      </c>
      <c r="G26" s="48">
        <f>G18-G24</f>
        <v/>
      </c>
      <c r="H26" s="48">
        <f>H18-H24</f>
        <v/>
      </c>
      <c r="I26" s="48">
        <f>I18-I24</f>
        <v/>
      </c>
      <c r="J26" s="48">
        <f>J18-J24</f>
        <v/>
      </c>
      <c r="K26" s="48">
        <f>K18-K24</f>
        <v/>
      </c>
      <c r="L26" s="48">
        <f>L18-L24</f>
        <v/>
      </c>
      <c r="M26" s="48">
        <f>M18-M24</f>
        <v/>
      </c>
      <c r="N26" s="48">
        <f>N18-N24</f>
        <v/>
      </c>
      <c r="O26" s="48">
        <f>O18-O24</f>
        <v/>
      </c>
      <c r="P26" s="48">
        <f>P18-P24</f>
        <v/>
      </c>
      <c r="Q26" s="48">
        <f>Q18-Q24</f>
        <v/>
      </c>
      <c r="R26" s="48">
        <f>R18-R24</f>
        <v/>
      </c>
      <c r="S26" s="48">
        <f>S18-S24</f>
        <v/>
      </c>
      <c r="T26" s="48">
        <f>T18-T24</f>
        <v/>
      </c>
      <c r="U26" s="48">
        <f>U18-U24</f>
        <v/>
      </c>
      <c r="V26" s="48">
        <f>V18-V24</f>
        <v/>
      </c>
      <c r="W26" s="48">
        <f>W18-W24</f>
        <v/>
      </c>
      <c r="X26" s="48">
        <f>X18-X24</f>
        <v/>
      </c>
      <c r="Y26" s="48">
        <f>Y18-Y24</f>
        <v/>
      </c>
      <c r="Z26" s="48">
        <f>Z18-Z24</f>
        <v/>
      </c>
      <c r="AA26" s="48">
        <f>AA18-AA24</f>
        <v/>
      </c>
      <c r="AB26" s="48">
        <f>AB18-AB24</f>
        <v/>
      </c>
      <c r="AC26" s="48">
        <f>AC18-AC24</f>
        <v/>
      </c>
      <c r="AD26" s="48">
        <f>AD18-AD24</f>
        <v/>
      </c>
      <c r="AE26" s="48">
        <f>AE18-AE24</f>
        <v/>
      </c>
      <c r="AF26" s="48">
        <f>AF18-AF24</f>
        <v/>
      </c>
      <c r="AG26" s="48">
        <f>AG18-AG24</f>
        <v/>
      </c>
      <c r="AH26" s="48">
        <f>AH18-AH24</f>
        <v/>
      </c>
      <c r="AI26" s="48">
        <f>AI18-AI24</f>
        <v/>
      </c>
      <c r="AJ26" s="48">
        <f>AJ18-AJ24</f>
        <v/>
      </c>
      <c r="AK26" s="48">
        <f>AK18-AK24</f>
        <v/>
      </c>
      <c r="AL26" s="48">
        <f>AL18-AL24</f>
        <v/>
      </c>
      <c r="AM26" s="48">
        <f>AM18-AM24</f>
        <v/>
      </c>
      <c r="AN26" s="48">
        <f>AN18-AN24</f>
        <v/>
      </c>
      <c r="AO26" s="48">
        <f>AO18-AO24</f>
        <v/>
      </c>
      <c r="AP26" s="48">
        <f>AP18-AP24</f>
        <v/>
      </c>
      <c r="AQ26" s="48">
        <f>AQ18-AQ24</f>
        <v/>
      </c>
      <c r="AR26" s="48">
        <f>AR18-AR24</f>
        <v/>
      </c>
      <c r="AS26" s="48">
        <f>AS18-AS24</f>
        <v/>
      </c>
      <c r="AT26" s="48">
        <f>AT18-AT24</f>
        <v/>
      </c>
      <c r="AU26" s="48">
        <f>AU18-AU24</f>
        <v/>
      </c>
      <c r="AV26" s="48">
        <f>AV18-AV24</f>
        <v/>
      </c>
      <c r="AW26" s="48">
        <f>AW18-AW24</f>
        <v/>
      </c>
      <c r="AX26" s="48">
        <f>AX18-AX24</f>
        <v/>
      </c>
      <c r="AY26" s="48">
        <f>AY18-AY24</f>
        <v/>
      </c>
      <c r="AZ26" s="48">
        <f>AZ18-AZ24</f>
        <v/>
      </c>
      <c r="BA26" s="48">
        <f>BA18-BA24</f>
        <v/>
      </c>
      <c r="BB26" s="48">
        <f>BB18-BB24</f>
        <v/>
      </c>
      <c r="BC26" s="48">
        <f>BC18-BC24</f>
        <v/>
      </c>
      <c r="BD26" s="48">
        <f>BD18-BD24</f>
        <v/>
      </c>
      <c r="BE26" s="48">
        <f>BE18-BE24</f>
        <v/>
      </c>
      <c r="BF26" s="48">
        <f>BF18-BF24</f>
        <v/>
      </c>
      <c r="BG26" s="48">
        <f>BG18-BG24</f>
        <v/>
      </c>
      <c r="BH26" s="48">
        <f>BH18-BH24</f>
        <v/>
      </c>
      <c r="BI26" s="48">
        <f>BI18-BI24</f>
        <v/>
      </c>
      <c r="BJ26" s="48">
        <f>BJ18-BJ24</f>
        <v/>
      </c>
      <c r="BK26" s="48">
        <f>BK18-BK24</f>
        <v/>
      </c>
      <c r="BL26" s="48">
        <f>BL18-BL24</f>
        <v/>
      </c>
      <c r="BM26" s="48">
        <f>BM18-BM24</f>
        <v/>
      </c>
      <c r="BN26" s="48">
        <f>BN18-BN24</f>
        <v/>
      </c>
      <c r="BO26" s="48">
        <f>BO18-BO24</f>
        <v/>
      </c>
      <c r="BP26" s="48">
        <f>BP18-BP24</f>
        <v/>
      </c>
      <c r="BQ26" s="48">
        <f>BQ18-BQ24</f>
        <v/>
      </c>
      <c r="BR26" s="48">
        <f>BR18-BR24</f>
        <v/>
      </c>
      <c r="BS26" s="48">
        <f>BS18-BS24</f>
        <v/>
      </c>
      <c r="BT26" s="48">
        <f>BT18-BT24</f>
        <v/>
      </c>
      <c r="BU26" s="48">
        <f>BU18-BU24</f>
        <v/>
      </c>
      <c r="BV26" s="48">
        <f>BV18-BV24</f>
        <v/>
      </c>
      <c r="BW26" s="48">
        <f>BW18-BW24</f>
        <v/>
      </c>
      <c r="BX26" s="48">
        <f>BX18-BX24</f>
        <v/>
      </c>
      <c r="BY26" s="48">
        <f>BY18-BY24</f>
        <v/>
      </c>
      <c r="BZ26" s="48">
        <f>BZ18-BZ24</f>
        <v/>
      </c>
      <c r="CA26" s="48">
        <f>CA18-CA24</f>
        <v/>
      </c>
      <c r="CB26" s="48">
        <f>CB18-CB24</f>
        <v/>
      </c>
      <c r="CC26" s="48">
        <f>CC18-CC24</f>
        <v/>
      </c>
      <c r="CD26" s="48">
        <f>CD18-CD24</f>
        <v/>
      </c>
      <c r="CE26" s="48">
        <f>CE18-CE24</f>
        <v/>
      </c>
      <c r="CF26" s="48">
        <f>CF18-CF24</f>
        <v/>
      </c>
      <c r="CG26" s="48">
        <f>CG18-CG24</f>
        <v/>
      </c>
      <c r="CH26" s="48">
        <f>CH18-CH24</f>
        <v/>
      </c>
      <c r="CI26" s="48">
        <f>CI18-CI24</f>
        <v/>
      </c>
      <c r="CJ26" s="48">
        <f>CJ18-CJ24</f>
        <v/>
      </c>
      <c r="CK26" s="48">
        <f>CK18-CK24</f>
        <v/>
      </c>
      <c r="CL26" s="48">
        <f>CL18-CL24</f>
        <v/>
      </c>
      <c r="CM26" s="48">
        <f>CM18-CM24</f>
        <v/>
      </c>
      <c r="CN26" s="48">
        <f>CN18-CN24</f>
        <v/>
      </c>
      <c r="CO26" s="48">
        <f>CO18-CO24</f>
        <v/>
      </c>
      <c r="CP26" s="48">
        <f>CP18-CP24</f>
        <v/>
      </c>
      <c r="CQ26" s="48">
        <f>CQ18-CQ24</f>
        <v/>
      </c>
      <c r="CR26" s="48">
        <f>CR18-CR24</f>
        <v/>
      </c>
      <c r="CS26" s="48">
        <f>CS18-CS24</f>
        <v/>
      </c>
      <c r="CT26" s="48">
        <f>CT18-CT24</f>
        <v/>
      </c>
      <c r="CU26" s="48">
        <f>CU18-CU24</f>
        <v/>
      </c>
      <c r="CV26" s="48">
        <f>CV18-CV24</f>
        <v/>
      </c>
      <c r="CW26" s="48">
        <f>CW18-CW24</f>
        <v/>
      </c>
      <c r="CX26" s="48">
        <f>CX18-CX24</f>
        <v/>
      </c>
      <c r="CY26" s="48">
        <f>CY18-CY24</f>
        <v/>
      </c>
      <c r="CZ26" s="48">
        <f>CZ18-CZ24</f>
        <v/>
      </c>
      <c r="DA26" s="48">
        <f>DA18-DA24</f>
        <v/>
      </c>
      <c r="DB26" s="48">
        <f>DB18-DB24</f>
        <v/>
      </c>
      <c r="DC26" s="48">
        <f>DC18-DC24</f>
        <v/>
      </c>
      <c r="DD26" s="48">
        <f>DD18-DD24</f>
        <v/>
      </c>
      <c r="DE26" s="48">
        <f>DE18-DE24</f>
        <v/>
      </c>
      <c r="DF26" s="48">
        <f>DF18-DF24</f>
        <v/>
      </c>
      <c r="DG26" s="48">
        <f>DG18-DG24</f>
        <v/>
      </c>
      <c r="DH26" s="48">
        <f>DH18-DH24</f>
        <v/>
      </c>
      <c r="DI26" s="48">
        <f>DI18-DI24</f>
        <v/>
      </c>
      <c r="DJ26" s="48">
        <f>DJ18-DJ24</f>
        <v/>
      </c>
      <c r="DK26" s="48">
        <f>DK18-DK24</f>
        <v/>
      </c>
      <c r="DL26" s="48">
        <f>DL18-DL24</f>
        <v/>
      </c>
      <c r="DM26" s="48">
        <f>DM18-DM24</f>
        <v/>
      </c>
      <c r="DN26" s="48">
        <f>DN18-DN24</f>
        <v/>
      </c>
      <c r="DO26" s="48">
        <f>DO18-DO24</f>
        <v/>
      </c>
      <c r="DP26" s="48">
        <f>DP18-DP24</f>
        <v/>
      </c>
      <c r="DQ26" s="48">
        <f>DQ18-DQ24</f>
        <v/>
      </c>
      <c r="DR26" s="48">
        <f>DR18-DR24</f>
        <v/>
      </c>
      <c r="DS26" s="48">
        <f>DS18-DS24</f>
        <v/>
      </c>
      <c r="DT26" s="48">
        <f>DT18-DT24</f>
        <v/>
      </c>
      <c r="DU26" s="48">
        <f>DU18-DU24</f>
        <v/>
      </c>
    </row>
    <row r="27">
      <c r="A27" t="inlineStr">
        <is>
          <t>EBITDA margin %</t>
        </is>
      </c>
      <c r="F27" s="26">
        <f>F26/F13</f>
        <v/>
      </c>
      <c r="G27" s="26">
        <f>G26/G13</f>
        <v/>
      </c>
      <c r="H27" s="26">
        <f>H26/H13</f>
        <v/>
      </c>
      <c r="I27" s="26">
        <f>I26/I13</f>
        <v/>
      </c>
      <c r="J27" s="26">
        <f>J26/J13</f>
        <v/>
      </c>
      <c r="K27" s="26">
        <f>K26/K13</f>
        <v/>
      </c>
      <c r="L27" s="26">
        <f>L26/L13</f>
        <v/>
      </c>
      <c r="M27" s="26">
        <f>M26/M13</f>
        <v/>
      </c>
      <c r="N27" s="26">
        <f>N26/N13</f>
        <v/>
      </c>
      <c r="O27" s="26">
        <f>O26/O13</f>
        <v/>
      </c>
      <c r="P27" s="26">
        <f>P26/P13</f>
        <v/>
      </c>
      <c r="Q27" s="26">
        <f>Q26/Q13</f>
        <v/>
      </c>
      <c r="R27" s="26">
        <f>R26/R13</f>
        <v/>
      </c>
      <c r="S27" s="26">
        <f>S26/S13</f>
        <v/>
      </c>
      <c r="T27" s="26">
        <f>T26/T13</f>
        <v/>
      </c>
      <c r="U27" s="26">
        <f>U26/U13</f>
        <v/>
      </c>
      <c r="V27" s="26">
        <f>V26/V13</f>
        <v/>
      </c>
      <c r="W27" s="26">
        <f>W26/W13</f>
        <v/>
      </c>
      <c r="X27" s="26">
        <f>X26/X13</f>
        <v/>
      </c>
      <c r="Y27" s="26">
        <f>Y26/Y13</f>
        <v/>
      </c>
      <c r="Z27" s="26">
        <f>Z26/Z13</f>
        <v/>
      </c>
      <c r="AA27" s="26">
        <f>AA26/AA13</f>
        <v/>
      </c>
      <c r="AB27" s="26">
        <f>AB26/AB13</f>
        <v/>
      </c>
      <c r="AC27" s="26">
        <f>AC26/AC13</f>
        <v/>
      </c>
      <c r="AD27" s="26">
        <f>AD26/AD13</f>
        <v/>
      </c>
      <c r="AE27" s="26">
        <f>AE26/AE13</f>
        <v/>
      </c>
      <c r="AF27" s="26">
        <f>AF26/AF13</f>
        <v/>
      </c>
      <c r="AG27" s="26">
        <f>AG26/AG13</f>
        <v/>
      </c>
      <c r="AH27" s="26">
        <f>AH26/AH13</f>
        <v/>
      </c>
      <c r="AI27" s="26">
        <f>AI26/AI13</f>
        <v/>
      </c>
      <c r="AJ27" s="26">
        <f>AJ26/AJ13</f>
        <v/>
      </c>
      <c r="AK27" s="26">
        <f>AK26/AK13</f>
        <v/>
      </c>
      <c r="AL27" s="26">
        <f>AL26/AL13</f>
        <v/>
      </c>
      <c r="AM27" s="26">
        <f>AM26/AM13</f>
        <v/>
      </c>
      <c r="AN27" s="26">
        <f>AN26/AN13</f>
        <v/>
      </c>
      <c r="AO27" s="26">
        <f>AO26/AO13</f>
        <v/>
      </c>
      <c r="AP27" s="26">
        <f>AP26/AP13</f>
        <v/>
      </c>
      <c r="AQ27" s="26">
        <f>AQ26/AQ13</f>
        <v/>
      </c>
      <c r="AR27" s="26">
        <f>AR26/AR13</f>
        <v/>
      </c>
      <c r="AS27" s="26">
        <f>AS26/AS13</f>
        <v/>
      </c>
      <c r="AT27" s="26">
        <f>AT26/AT13</f>
        <v/>
      </c>
      <c r="AU27" s="26">
        <f>AU26/AU13</f>
        <v/>
      </c>
      <c r="AV27" s="26">
        <f>AV26/AV13</f>
        <v/>
      </c>
      <c r="AW27" s="26">
        <f>AW26/AW13</f>
        <v/>
      </c>
      <c r="AX27" s="26">
        <f>AX26/AX13</f>
        <v/>
      </c>
      <c r="AY27" s="26">
        <f>AY26/AY13</f>
        <v/>
      </c>
      <c r="AZ27" s="26">
        <f>AZ26/AZ13</f>
        <v/>
      </c>
      <c r="BA27" s="26">
        <f>BA26/BA13</f>
        <v/>
      </c>
      <c r="BB27" s="26">
        <f>BB26/BB13</f>
        <v/>
      </c>
      <c r="BC27" s="26">
        <f>BC26/BC13</f>
        <v/>
      </c>
      <c r="BD27" s="26">
        <f>BD26/BD13</f>
        <v/>
      </c>
      <c r="BE27" s="26">
        <f>BE26/BE13</f>
        <v/>
      </c>
      <c r="BF27" s="26">
        <f>BF26/BF13</f>
        <v/>
      </c>
      <c r="BG27" s="26">
        <f>BG26/BG13</f>
        <v/>
      </c>
      <c r="BH27" s="26">
        <f>BH26/BH13</f>
        <v/>
      </c>
      <c r="BI27" s="26">
        <f>BI26/BI13</f>
        <v/>
      </c>
      <c r="BJ27" s="26">
        <f>BJ26/BJ13</f>
        <v/>
      </c>
      <c r="BK27" s="26">
        <f>BK26/BK13</f>
        <v/>
      </c>
      <c r="BL27" s="26">
        <f>BL26/BL13</f>
        <v/>
      </c>
      <c r="BM27" s="26">
        <f>BM26/BM13</f>
        <v/>
      </c>
      <c r="BN27" s="26">
        <f>BN26/BN13</f>
        <v/>
      </c>
      <c r="BO27" s="26">
        <f>BO26/BO13</f>
        <v/>
      </c>
      <c r="BP27" s="26">
        <f>BP26/BP13</f>
        <v/>
      </c>
      <c r="BQ27" s="26">
        <f>BQ26/BQ13</f>
        <v/>
      </c>
      <c r="BR27" s="26">
        <f>BR26/BR13</f>
        <v/>
      </c>
      <c r="BS27" s="26">
        <f>BS26/BS13</f>
        <v/>
      </c>
      <c r="BT27" s="26">
        <f>BT26/BT13</f>
        <v/>
      </c>
      <c r="BU27" s="26">
        <f>BU26/BU13</f>
        <v/>
      </c>
      <c r="BV27" s="26">
        <f>BV26/BV13</f>
        <v/>
      </c>
      <c r="BW27" s="26">
        <f>BW26/BW13</f>
        <v/>
      </c>
      <c r="BX27" s="26">
        <f>BX26/BX13</f>
        <v/>
      </c>
      <c r="BY27" s="26">
        <f>BY26/BY13</f>
        <v/>
      </c>
      <c r="BZ27" s="26">
        <f>BZ26/BZ13</f>
        <v/>
      </c>
      <c r="CA27" s="26">
        <f>CA26/CA13</f>
        <v/>
      </c>
      <c r="CB27" s="26">
        <f>CB26/CB13</f>
        <v/>
      </c>
      <c r="CC27" s="26">
        <f>CC26/CC13</f>
        <v/>
      </c>
      <c r="CD27" s="26">
        <f>CD26/CD13</f>
        <v/>
      </c>
      <c r="CE27" s="26">
        <f>CE26/CE13</f>
        <v/>
      </c>
      <c r="CF27" s="26">
        <f>CF26/CF13</f>
        <v/>
      </c>
      <c r="CG27" s="26">
        <f>CG26/CG13</f>
        <v/>
      </c>
      <c r="CH27" s="26">
        <f>CH26/CH13</f>
        <v/>
      </c>
      <c r="CI27" s="26">
        <f>CI26/CI13</f>
        <v/>
      </c>
      <c r="CJ27" s="26">
        <f>CJ26/CJ13</f>
        <v/>
      </c>
      <c r="CK27" s="26">
        <f>CK26/CK13</f>
        <v/>
      </c>
      <c r="CL27" s="26">
        <f>CL26/CL13</f>
        <v/>
      </c>
      <c r="CM27" s="26">
        <f>CM26/CM13</f>
        <v/>
      </c>
      <c r="CN27" s="26">
        <f>CN26/CN13</f>
        <v/>
      </c>
      <c r="CO27" s="26">
        <f>CO26/CO13</f>
        <v/>
      </c>
      <c r="CP27" s="26">
        <f>CP26/CP13</f>
        <v/>
      </c>
      <c r="CQ27" s="26">
        <f>CQ26/CQ13</f>
        <v/>
      </c>
      <c r="CR27" s="26">
        <f>CR26/CR13</f>
        <v/>
      </c>
      <c r="CS27" s="26">
        <f>CS26/CS13</f>
        <v/>
      </c>
      <c r="CT27" s="26">
        <f>CT26/CT13</f>
        <v/>
      </c>
      <c r="CU27" s="26">
        <f>CU26/CU13</f>
        <v/>
      </c>
      <c r="CV27" s="26">
        <f>CV26/CV13</f>
        <v/>
      </c>
      <c r="CW27" s="26">
        <f>CW26/CW13</f>
        <v/>
      </c>
      <c r="CX27" s="26">
        <f>CX26/CX13</f>
        <v/>
      </c>
      <c r="CY27" s="26">
        <f>CY26/CY13</f>
        <v/>
      </c>
      <c r="CZ27" s="26">
        <f>CZ26/CZ13</f>
        <v/>
      </c>
      <c r="DA27" s="26">
        <f>DA26/DA13</f>
        <v/>
      </c>
      <c r="DB27" s="26">
        <f>DB26/DB13</f>
        <v/>
      </c>
      <c r="DC27" s="26">
        <f>DC26/DC13</f>
        <v/>
      </c>
      <c r="DD27" s="26">
        <f>DD26/DD13</f>
        <v/>
      </c>
      <c r="DE27" s="26">
        <f>DE26/DE13</f>
        <v/>
      </c>
      <c r="DF27" s="26">
        <f>DF26/DF13</f>
        <v/>
      </c>
      <c r="DG27" s="26">
        <f>DG26/DG13</f>
        <v/>
      </c>
      <c r="DH27" s="26">
        <f>DH26/DH13</f>
        <v/>
      </c>
      <c r="DI27" s="26">
        <f>DI26/DI13</f>
        <v/>
      </c>
      <c r="DJ27" s="26">
        <f>DJ26/DJ13</f>
        <v/>
      </c>
      <c r="DK27" s="26">
        <f>DK26/DK13</f>
        <v/>
      </c>
      <c r="DL27" s="26">
        <f>DL26/DL13</f>
        <v/>
      </c>
      <c r="DM27" s="26">
        <f>DM26/DM13</f>
        <v/>
      </c>
      <c r="DN27" s="26">
        <f>DN26/DN13</f>
        <v/>
      </c>
      <c r="DO27" s="26">
        <f>DO26/DO13</f>
        <v/>
      </c>
      <c r="DP27" s="26">
        <f>DP26/DP13</f>
        <v/>
      </c>
      <c r="DQ27" s="26">
        <f>DQ26/DQ13</f>
        <v/>
      </c>
      <c r="DR27" s="26">
        <f>DR26/DR13</f>
        <v/>
      </c>
      <c r="DS27" s="26">
        <f>DS26/DS13</f>
        <v/>
      </c>
      <c r="DT27" s="26">
        <f>DT26/DT13</f>
        <v/>
      </c>
      <c r="DU27" s="26">
        <f>DU26/DU13</f>
        <v/>
      </c>
    </row>
    <row r="29">
      <c r="A29" t="inlineStr">
        <is>
          <t>Depreciation</t>
        </is>
      </c>
      <c r="F29" s="44">
        <f>Capex_Schedule!F19</f>
        <v/>
      </c>
      <c r="G29" s="44">
        <f>Capex_Schedule!G19</f>
        <v/>
      </c>
      <c r="H29" s="44">
        <f>Capex_Schedule!H19</f>
        <v/>
      </c>
      <c r="I29" s="44">
        <f>Capex_Schedule!I19</f>
        <v/>
      </c>
      <c r="J29" s="44">
        <f>Capex_Schedule!J19</f>
        <v/>
      </c>
      <c r="K29" s="44">
        <f>Capex_Schedule!K19</f>
        <v/>
      </c>
      <c r="L29" s="44">
        <f>Capex_Schedule!L19</f>
        <v/>
      </c>
      <c r="M29" s="44">
        <f>Capex_Schedule!M19</f>
        <v/>
      </c>
      <c r="N29" s="44">
        <f>Capex_Schedule!N19</f>
        <v/>
      </c>
      <c r="O29" s="44">
        <f>Capex_Schedule!O19</f>
        <v/>
      </c>
      <c r="P29" s="44">
        <f>Capex_Schedule!P19</f>
        <v/>
      </c>
      <c r="Q29" s="44">
        <f>Capex_Schedule!Q19</f>
        <v/>
      </c>
      <c r="R29" s="44">
        <f>Capex_Schedule!R19</f>
        <v/>
      </c>
      <c r="S29" s="44">
        <f>Capex_Schedule!S19</f>
        <v/>
      </c>
      <c r="T29" s="44">
        <f>Capex_Schedule!T19</f>
        <v/>
      </c>
      <c r="U29" s="44">
        <f>Capex_Schedule!U19</f>
        <v/>
      </c>
      <c r="V29" s="44">
        <f>Capex_Schedule!V19</f>
        <v/>
      </c>
      <c r="W29" s="44">
        <f>Capex_Schedule!W19</f>
        <v/>
      </c>
      <c r="X29" s="44">
        <f>Capex_Schedule!X19</f>
        <v/>
      </c>
      <c r="Y29" s="44">
        <f>Capex_Schedule!Y19</f>
        <v/>
      </c>
      <c r="Z29" s="44">
        <f>Capex_Schedule!Z19</f>
        <v/>
      </c>
      <c r="AA29" s="44">
        <f>Capex_Schedule!AA19</f>
        <v/>
      </c>
      <c r="AB29" s="44">
        <f>Capex_Schedule!AB19</f>
        <v/>
      </c>
      <c r="AC29" s="44">
        <f>Capex_Schedule!AC19</f>
        <v/>
      </c>
      <c r="AD29" s="44">
        <f>Capex_Schedule!AD19</f>
        <v/>
      </c>
      <c r="AE29" s="44">
        <f>Capex_Schedule!AE19</f>
        <v/>
      </c>
      <c r="AF29" s="44">
        <f>Capex_Schedule!AF19</f>
        <v/>
      </c>
      <c r="AG29" s="44">
        <f>Capex_Schedule!AG19</f>
        <v/>
      </c>
      <c r="AH29" s="44">
        <f>Capex_Schedule!AH19</f>
        <v/>
      </c>
      <c r="AI29" s="44">
        <f>Capex_Schedule!AI19</f>
        <v/>
      </c>
      <c r="AJ29" s="44">
        <f>Capex_Schedule!AJ19</f>
        <v/>
      </c>
      <c r="AK29" s="44">
        <f>Capex_Schedule!AK19</f>
        <v/>
      </c>
      <c r="AL29" s="44">
        <f>Capex_Schedule!AL19</f>
        <v/>
      </c>
      <c r="AM29" s="44">
        <f>Capex_Schedule!AM19</f>
        <v/>
      </c>
      <c r="AN29" s="44">
        <f>Capex_Schedule!AN19</f>
        <v/>
      </c>
      <c r="AO29" s="44">
        <f>Capex_Schedule!AO19</f>
        <v/>
      </c>
      <c r="AP29" s="44">
        <f>Capex_Schedule!AP19</f>
        <v/>
      </c>
      <c r="AQ29" s="44">
        <f>Capex_Schedule!AQ19</f>
        <v/>
      </c>
      <c r="AR29" s="44">
        <f>Capex_Schedule!AR19</f>
        <v/>
      </c>
      <c r="AS29" s="44">
        <f>Capex_Schedule!AS19</f>
        <v/>
      </c>
      <c r="AT29" s="44">
        <f>Capex_Schedule!AT19</f>
        <v/>
      </c>
      <c r="AU29" s="44">
        <f>Capex_Schedule!AU19</f>
        <v/>
      </c>
      <c r="AV29" s="44">
        <f>Capex_Schedule!AV19</f>
        <v/>
      </c>
      <c r="AW29" s="44">
        <f>Capex_Schedule!AW19</f>
        <v/>
      </c>
      <c r="AX29" s="44">
        <f>Capex_Schedule!AX19</f>
        <v/>
      </c>
      <c r="AY29" s="44">
        <f>Capex_Schedule!AY19</f>
        <v/>
      </c>
      <c r="AZ29" s="44">
        <f>Capex_Schedule!AZ19</f>
        <v/>
      </c>
      <c r="BA29" s="44">
        <f>Capex_Schedule!BA19</f>
        <v/>
      </c>
      <c r="BB29" s="44">
        <f>Capex_Schedule!BB19</f>
        <v/>
      </c>
      <c r="BC29" s="44">
        <f>Capex_Schedule!BC19</f>
        <v/>
      </c>
      <c r="BD29" s="44">
        <f>Capex_Schedule!BD19</f>
        <v/>
      </c>
      <c r="BE29" s="44">
        <f>Capex_Schedule!BE19</f>
        <v/>
      </c>
      <c r="BF29" s="44">
        <f>Capex_Schedule!BF19</f>
        <v/>
      </c>
      <c r="BG29" s="44">
        <f>Capex_Schedule!BG19</f>
        <v/>
      </c>
      <c r="BH29" s="44">
        <f>Capex_Schedule!BH19</f>
        <v/>
      </c>
      <c r="BI29" s="44">
        <f>Capex_Schedule!BI19</f>
        <v/>
      </c>
      <c r="BJ29" s="44">
        <f>Capex_Schedule!BJ19</f>
        <v/>
      </c>
      <c r="BK29" s="44">
        <f>Capex_Schedule!BK19</f>
        <v/>
      </c>
      <c r="BL29" s="44">
        <f>Capex_Schedule!BL19</f>
        <v/>
      </c>
      <c r="BM29" s="44">
        <f>Capex_Schedule!BM19</f>
        <v/>
      </c>
      <c r="BN29" s="44">
        <f>Capex_Schedule!BN19</f>
        <v/>
      </c>
      <c r="BO29" s="44">
        <f>Capex_Schedule!BO19</f>
        <v/>
      </c>
      <c r="BP29" s="44">
        <f>Capex_Schedule!BP19</f>
        <v/>
      </c>
      <c r="BQ29" s="44">
        <f>Capex_Schedule!BQ19</f>
        <v/>
      </c>
      <c r="BR29" s="44">
        <f>Capex_Schedule!BR19</f>
        <v/>
      </c>
      <c r="BS29" s="44">
        <f>Capex_Schedule!BS19</f>
        <v/>
      </c>
      <c r="BT29" s="44">
        <f>Capex_Schedule!BT19</f>
        <v/>
      </c>
      <c r="BU29" s="44">
        <f>Capex_Schedule!BU19</f>
        <v/>
      </c>
      <c r="BV29" s="44">
        <f>Capex_Schedule!BV19</f>
        <v/>
      </c>
      <c r="BW29" s="44">
        <f>Capex_Schedule!BW19</f>
        <v/>
      </c>
      <c r="BX29" s="44">
        <f>Capex_Schedule!BX19</f>
        <v/>
      </c>
      <c r="BY29" s="44">
        <f>Capex_Schedule!BY19</f>
        <v/>
      </c>
      <c r="BZ29" s="44">
        <f>Capex_Schedule!BZ19</f>
        <v/>
      </c>
      <c r="CA29" s="44">
        <f>Capex_Schedule!CA19</f>
        <v/>
      </c>
      <c r="CB29" s="44">
        <f>Capex_Schedule!CB19</f>
        <v/>
      </c>
      <c r="CC29" s="44">
        <f>Capex_Schedule!CC19</f>
        <v/>
      </c>
      <c r="CD29" s="44">
        <f>Capex_Schedule!CD19</f>
        <v/>
      </c>
      <c r="CE29" s="44">
        <f>Capex_Schedule!CE19</f>
        <v/>
      </c>
      <c r="CF29" s="44">
        <f>Capex_Schedule!CF19</f>
        <v/>
      </c>
      <c r="CG29" s="44">
        <f>Capex_Schedule!CG19</f>
        <v/>
      </c>
      <c r="CH29" s="44">
        <f>Capex_Schedule!CH19</f>
        <v/>
      </c>
      <c r="CI29" s="44">
        <f>Capex_Schedule!CI19</f>
        <v/>
      </c>
      <c r="CJ29" s="44">
        <f>Capex_Schedule!CJ19</f>
        <v/>
      </c>
      <c r="CK29" s="44">
        <f>Capex_Schedule!CK19</f>
        <v/>
      </c>
      <c r="CL29" s="44">
        <f>Capex_Schedule!CL19</f>
        <v/>
      </c>
      <c r="CM29" s="44">
        <f>Capex_Schedule!CM19</f>
        <v/>
      </c>
      <c r="CN29" s="44">
        <f>Capex_Schedule!CN19</f>
        <v/>
      </c>
      <c r="CO29" s="44">
        <f>Capex_Schedule!CO19</f>
        <v/>
      </c>
      <c r="CP29" s="44">
        <f>Capex_Schedule!CP19</f>
        <v/>
      </c>
      <c r="CQ29" s="44">
        <f>Capex_Schedule!CQ19</f>
        <v/>
      </c>
      <c r="CR29" s="44">
        <f>Capex_Schedule!CR19</f>
        <v/>
      </c>
      <c r="CS29" s="44">
        <f>Capex_Schedule!CS19</f>
        <v/>
      </c>
      <c r="CT29" s="44">
        <f>Capex_Schedule!CT19</f>
        <v/>
      </c>
      <c r="CU29" s="44">
        <f>Capex_Schedule!CU19</f>
        <v/>
      </c>
      <c r="CV29" s="44">
        <f>Capex_Schedule!CV19</f>
        <v/>
      </c>
      <c r="CW29" s="44">
        <f>Capex_Schedule!CW19</f>
        <v/>
      </c>
      <c r="CX29" s="44">
        <f>Capex_Schedule!CX19</f>
        <v/>
      </c>
      <c r="CY29" s="44">
        <f>Capex_Schedule!CY19</f>
        <v/>
      </c>
      <c r="CZ29" s="44">
        <f>Capex_Schedule!CZ19</f>
        <v/>
      </c>
      <c r="DA29" s="44">
        <f>Capex_Schedule!DA19</f>
        <v/>
      </c>
      <c r="DB29" s="44">
        <f>Capex_Schedule!DB19</f>
        <v/>
      </c>
      <c r="DC29" s="44">
        <f>Capex_Schedule!DC19</f>
        <v/>
      </c>
      <c r="DD29" s="44">
        <f>Capex_Schedule!DD19</f>
        <v/>
      </c>
      <c r="DE29" s="44">
        <f>Capex_Schedule!DE19</f>
        <v/>
      </c>
      <c r="DF29" s="44">
        <f>Capex_Schedule!DF19</f>
        <v/>
      </c>
      <c r="DG29" s="44">
        <f>Capex_Schedule!DG19</f>
        <v/>
      </c>
      <c r="DH29" s="44">
        <f>Capex_Schedule!DH19</f>
        <v/>
      </c>
      <c r="DI29" s="44">
        <f>Capex_Schedule!DI19</f>
        <v/>
      </c>
      <c r="DJ29" s="44">
        <f>Capex_Schedule!DJ19</f>
        <v/>
      </c>
      <c r="DK29" s="44">
        <f>Capex_Schedule!DK19</f>
        <v/>
      </c>
      <c r="DL29" s="44">
        <f>Capex_Schedule!DL19</f>
        <v/>
      </c>
      <c r="DM29" s="44">
        <f>Capex_Schedule!DM19</f>
        <v/>
      </c>
      <c r="DN29" s="44">
        <f>Capex_Schedule!DN19</f>
        <v/>
      </c>
      <c r="DO29" s="44">
        <f>Capex_Schedule!DO19</f>
        <v/>
      </c>
      <c r="DP29" s="44">
        <f>Capex_Schedule!DP19</f>
        <v/>
      </c>
      <c r="DQ29" s="44">
        <f>Capex_Schedule!DQ19</f>
        <v/>
      </c>
      <c r="DR29" s="44">
        <f>Capex_Schedule!DR19</f>
        <v/>
      </c>
      <c r="DS29" s="44">
        <f>Capex_Schedule!DS19</f>
        <v/>
      </c>
      <c r="DT29" s="44">
        <f>Capex_Schedule!DT19</f>
        <v/>
      </c>
      <c r="DU29" s="44">
        <f>Capex_Schedule!DU19</f>
        <v/>
      </c>
    </row>
    <row r="31">
      <c r="A31" s="8" t="inlineStr">
        <is>
          <t>EBIT</t>
        </is>
      </c>
      <c r="F31" s="48">
        <f>F26-F29</f>
        <v/>
      </c>
      <c r="G31" s="48">
        <f>G26-G29</f>
        <v/>
      </c>
      <c r="H31" s="48">
        <f>H26-H29</f>
        <v/>
      </c>
      <c r="I31" s="48">
        <f>I26-I29</f>
        <v/>
      </c>
      <c r="J31" s="48">
        <f>J26-J29</f>
        <v/>
      </c>
      <c r="K31" s="48">
        <f>K26-K29</f>
        <v/>
      </c>
      <c r="L31" s="48">
        <f>L26-L29</f>
        <v/>
      </c>
      <c r="M31" s="48">
        <f>M26-M29</f>
        <v/>
      </c>
      <c r="N31" s="48">
        <f>N26-N29</f>
        <v/>
      </c>
      <c r="O31" s="48">
        <f>O26-O29</f>
        <v/>
      </c>
      <c r="P31" s="48">
        <f>P26-P29</f>
        <v/>
      </c>
      <c r="Q31" s="48">
        <f>Q26-Q29</f>
        <v/>
      </c>
      <c r="R31" s="48">
        <f>R26-R29</f>
        <v/>
      </c>
      <c r="S31" s="48">
        <f>S26-S29</f>
        <v/>
      </c>
      <c r="T31" s="48">
        <f>T26-T29</f>
        <v/>
      </c>
      <c r="U31" s="48">
        <f>U26-U29</f>
        <v/>
      </c>
      <c r="V31" s="48">
        <f>V26-V29</f>
        <v/>
      </c>
      <c r="W31" s="48">
        <f>W26-W29</f>
        <v/>
      </c>
      <c r="X31" s="48">
        <f>X26-X29</f>
        <v/>
      </c>
      <c r="Y31" s="48">
        <f>Y26-Y29</f>
        <v/>
      </c>
      <c r="Z31" s="48">
        <f>Z26-Z29</f>
        <v/>
      </c>
      <c r="AA31" s="48">
        <f>AA26-AA29</f>
        <v/>
      </c>
      <c r="AB31" s="48">
        <f>AB26-AB29</f>
        <v/>
      </c>
      <c r="AC31" s="48">
        <f>AC26-AC29</f>
        <v/>
      </c>
      <c r="AD31" s="48">
        <f>AD26-AD29</f>
        <v/>
      </c>
      <c r="AE31" s="48">
        <f>AE26-AE29</f>
        <v/>
      </c>
      <c r="AF31" s="48">
        <f>AF26-AF29</f>
        <v/>
      </c>
      <c r="AG31" s="48">
        <f>AG26-AG29</f>
        <v/>
      </c>
      <c r="AH31" s="48">
        <f>AH26-AH29</f>
        <v/>
      </c>
      <c r="AI31" s="48">
        <f>AI26-AI29</f>
        <v/>
      </c>
      <c r="AJ31" s="48">
        <f>AJ26-AJ29</f>
        <v/>
      </c>
      <c r="AK31" s="48">
        <f>AK26-AK29</f>
        <v/>
      </c>
      <c r="AL31" s="48">
        <f>AL26-AL29</f>
        <v/>
      </c>
      <c r="AM31" s="48">
        <f>AM26-AM29</f>
        <v/>
      </c>
      <c r="AN31" s="48">
        <f>AN26-AN29</f>
        <v/>
      </c>
      <c r="AO31" s="48">
        <f>AO26-AO29</f>
        <v/>
      </c>
      <c r="AP31" s="48">
        <f>AP26-AP29</f>
        <v/>
      </c>
      <c r="AQ31" s="48">
        <f>AQ26-AQ29</f>
        <v/>
      </c>
      <c r="AR31" s="48">
        <f>AR26-AR29</f>
        <v/>
      </c>
      <c r="AS31" s="48">
        <f>AS26-AS29</f>
        <v/>
      </c>
      <c r="AT31" s="48">
        <f>AT26-AT29</f>
        <v/>
      </c>
      <c r="AU31" s="48">
        <f>AU26-AU29</f>
        <v/>
      </c>
      <c r="AV31" s="48">
        <f>AV26-AV29</f>
        <v/>
      </c>
      <c r="AW31" s="48">
        <f>AW26-AW29</f>
        <v/>
      </c>
      <c r="AX31" s="48">
        <f>AX26-AX29</f>
        <v/>
      </c>
      <c r="AY31" s="48">
        <f>AY26-AY29</f>
        <v/>
      </c>
      <c r="AZ31" s="48">
        <f>AZ26-AZ29</f>
        <v/>
      </c>
      <c r="BA31" s="48">
        <f>BA26-BA29</f>
        <v/>
      </c>
      <c r="BB31" s="48">
        <f>BB26-BB29</f>
        <v/>
      </c>
      <c r="BC31" s="48">
        <f>BC26-BC29</f>
        <v/>
      </c>
      <c r="BD31" s="48">
        <f>BD26-BD29</f>
        <v/>
      </c>
      <c r="BE31" s="48">
        <f>BE26-BE29</f>
        <v/>
      </c>
      <c r="BF31" s="48">
        <f>BF26-BF29</f>
        <v/>
      </c>
      <c r="BG31" s="48">
        <f>BG26-BG29</f>
        <v/>
      </c>
      <c r="BH31" s="48">
        <f>BH26-BH29</f>
        <v/>
      </c>
      <c r="BI31" s="48">
        <f>BI26-BI29</f>
        <v/>
      </c>
      <c r="BJ31" s="48">
        <f>BJ26-BJ29</f>
        <v/>
      </c>
      <c r="BK31" s="48">
        <f>BK26-BK29</f>
        <v/>
      </c>
      <c r="BL31" s="48">
        <f>BL26-BL29</f>
        <v/>
      </c>
      <c r="BM31" s="48">
        <f>BM26-BM29</f>
        <v/>
      </c>
      <c r="BN31" s="48">
        <f>BN26-BN29</f>
        <v/>
      </c>
      <c r="BO31" s="48">
        <f>BO26-BO29</f>
        <v/>
      </c>
      <c r="BP31" s="48">
        <f>BP26-BP29</f>
        <v/>
      </c>
      <c r="BQ31" s="48">
        <f>BQ26-BQ29</f>
        <v/>
      </c>
      <c r="BR31" s="48">
        <f>BR26-BR29</f>
        <v/>
      </c>
      <c r="BS31" s="48">
        <f>BS26-BS29</f>
        <v/>
      </c>
      <c r="BT31" s="48">
        <f>BT26-BT29</f>
        <v/>
      </c>
      <c r="BU31" s="48">
        <f>BU26-BU29</f>
        <v/>
      </c>
      <c r="BV31" s="48">
        <f>BV26-BV29</f>
        <v/>
      </c>
      <c r="BW31" s="48">
        <f>BW26-BW29</f>
        <v/>
      </c>
      <c r="BX31" s="48">
        <f>BX26-BX29</f>
        <v/>
      </c>
      <c r="BY31" s="48">
        <f>BY26-BY29</f>
        <v/>
      </c>
      <c r="BZ31" s="48">
        <f>BZ26-BZ29</f>
        <v/>
      </c>
      <c r="CA31" s="48">
        <f>CA26-CA29</f>
        <v/>
      </c>
      <c r="CB31" s="48">
        <f>CB26-CB29</f>
        <v/>
      </c>
      <c r="CC31" s="48">
        <f>CC26-CC29</f>
        <v/>
      </c>
      <c r="CD31" s="48">
        <f>CD26-CD29</f>
        <v/>
      </c>
      <c r="CE31" s="48">
        <f>CE26-CE29</f>
        <v/>
      </c>
      <c r="CF31" s="48">
        <f>CF26-CF29</f>
        <v/>
      </c>
      <c r="CG31" s="48">
        <f>CG26-CG29</f>
        <v/>
      </c>
      <c r="CH31" s="48">
        <f>CH26-CH29</f>
        <v/>
      </c>
      <c r="CI31" s="48">
        <f>CI26-CI29</f>
        <v/>
      </c>
      <c r="CJ31" s="48">
        <f>CJ26-CJ29</f>
        <v/>
      </c>
      <c r="CK31" s="48">
        <f>CK26-CK29</f>
        <v/>
      </c>
      <c r="CL31" s="48">
        <f>CL26-CL29</f>
        <v/>
      </c>
      <c r="CM31" s="48">
        <f>CM26-CM29</f>
        <v/>
      </c>
      <c r="CN31" s="48">
        <f>CN26-CN29</f>
        <v/>
      </c>
      <c r="CO31" s="48">
        <f>CO26-CO29</f>
        <v/>
      </c>
      <c r="CP31" s="48">
        <f>CP26-CP29</f>
        <v/>
      </c>
      <c r="CQ31" s="48">
        <f>CQ26-CQ29</f>
        <v/>
      </c>
      <c r="CR31" s="48">
        <f>CR26-CR29</f>
        <v/>
      </c>
      <c r="CS31" s="48">
        <f>CS26-CS29</f>
        <v/>
      </c>
      <c r="CT31" s="48">
        <f>CT26-CT29</f>
        <v/>
      </c>
      <c r="CU31" s="48">
        <f>CU26-CU29</f>
        <v/>
      </c>
      <c r="CV31" s="48">
        <f>CV26-CV29</f>
        <v/>
      </c>
      <c r="CW31" s="48">
        <f>CW26-CW29</f>
        <v/>
      </c>
      <c r="CX31" s="48">
        <f>CX26-CX29</f>
        <v/>
      </c>
      <c r="CY31" s="48">
        <f>CY26-CY29</f>
        <v/>
      </c>
      <c r="CZ31" s="48">
        <f>CZ26-CZ29</f>
        <v/>
      </c>
      <c r="DA31" s="48">
        <f>DA26-DA29</f>
        <v/>
      </c>
      <c r="DB31" s="48">
        <f>DB26-DB29</f>
        <v/>
      </c>
      <c r="DC31" s="48">
        <f>DC26-DC29</f>
        <v/>
      </c>
      <c r="DD31" s="48">
        <f>DD26-DD29</f>
        <v/>
      </c>
      <c r="DE31" s="48">
        <f>DE26-DE29</f>
        <v/>
      </c>
      <c r="DF31" s="48">
        <f>DF26-DF29</f>
        <v/>
      </c>
      <c r="DG31" s="48">
        <f>DG26-DG29</f>
        <v/>
      </c>
      <c r="DH31" s="48">
        <f>DH26-DH29</f>
        <v/>
      </c>
      <c r="DI31" s="48">
        <f>DI26-DI29</f>
        <v/>
      </c>
      <c r="DJ31" s="48">
        <f>DJ26-DJ29</f>
        <v/>
      </c>
      <c r="DK31" s="48">
        <f>DK26-DK29</f>
        <v/>
      </c>
      <c r="DL31" s="48">
        <f>DL26-DL29</f>
        <v/>
      </c>
      <c r="DM31" s="48">
        <f>DM26-DM29</f>
        <v/>
      </c>
      <c r="DN31" s="48">
        <f>DN26-DN29</f>
        <v/>
      </c>
      <c r="DO31" s="48">
        <f>DO26-DO29</f>
        <v/>
      </c>
      <c r="DP31" s="48">
        <f>DP26-DP29</f>
        <v/>
      </c>
      <c r="DQ31" s="48">
        <f>DQ26-DQ29</f>
        <v/>
      </c>
      <c r="DR31" s="48">
        <f>DR26-DR29</f>
        <v/>
      </c>
      <c r="DS31" s="48">
        <f>DS26-DS29</f>
        <v/>
      </c>
      <c r="DT31" s="48">
        <f>DT26-DT29</f>
        <v/>
      </c>
      <c r="DU31" s="48">
        <f>DU26-DU29</f>
        <v/>
      </c>
    </row>
    <row r="32">
      <c r="A32" t="inlineStr">
        <is>
          <t>EBIT margin %</t>
        </is>
      </c>
      <c r="F32" s="26">
        <f>F31/F13</f>
        <v/>
      </c>
      <c r="G32" s="26">
        <f>G31/G13</f>
        <v/>
      </c>
      <c r="H32" s="26">
        <f>H31/H13</f>
        <v/>
      </c>
      <c r="I32" s="26">
        <f>I31/I13</f>
        <v/>
      </c>
      <c r="J32" s="26">
        <f>J31/J13</f>
        <v/>
      </c>
      <c r="K32" s="26">
        <f>K31/K13</f>
        <v/>
      </c>
      <c r="L32" s="26">
        <f>L31/L13</f>
        <v/>
      </c>
      <c r="M32" s="26">
        <f>M31/M13</f>
        <v/>
      </c>
      <c r="N32" s="26">
        <f>N31/N13</f>
        <v/>
      </c>
      <c r="O32" s="26">
        <f>O31/O13</f>
        <v/>
      </c>
      <c r="P32" s="26">
        <f>P31/P13</f>
        <v/>
      </c>
      <c r="Q32" s="26">
        <f>Q31/Q13</f>
        <v/>
      </c>
      <c r="R32" s="26">
        <f>R31/R13</f>
        <v/>
      </c>
      <c r="S32" s="26">
        <f>S31/S13</f>
        <v/>
      </c>
      <c r="T32" s="26">
        <f>T31/T13</f>
        <v/>
      </c>
      <c r="U32" s="26">
        <f>U31/U13</f>
        <v/>
      </c>
      <c r="V32" s="26">
        <f>V31/V13</f>
        <v/>
      </c>
      <c r="W32" s="26">
        <f>W31/W13</f>
        <v/>
      </c>
      <c r="X32" s="26">
        <f>X31/X13</f>
        <v/>
      </c>
      <c r="Y32" s="26">
        <f>Y31/Y13</f>
        <v/>
      </c>
      <c r="Z32" s="26">
        <f>Z31/Z13</f>
        <v/>
      </c>
      <c r="AA32" s="26">
        <f>AA31/AA13</f>
        <v/>
      </c>
      <c r="AB32" s="26">
        <f>AB31/AB13</f>
        <v/>
      </c>
      <c r="AC32" s="26">
        <f>AC31/AC13</f>
        <v/>
      </c>
      <c r="AD32" s="26">
        <f>AD31/AD13</f>
        <v/>
      </c>
      <c r="AE32" s="26">
        <f>AE31/AE13</f>
        <v/>
      </c>
      <c r="AF32" s="26">
        <f>AF31/AF13</f>
        <v/>
      </c>
      <c r="AG32" s="26">
        <f>AG31/AG13</f>
        <v/>
      </c>
      <c r="AH32" s="26">
        <f>AH31/AH13</f>
        <v/>
      </c>
      <c r="AI32" s="26">
        <f>AI31/AI13</f>
        <v/>
      </c>
      <c r="AJ32" s="26">
        <f>AJ31/AJ13</f>
        <v/>
      </c>
      <c r="AK32" s="26">
        <f>AK31/AK13</f>
        <v/>
      </c>
      <c r="AL32" s="26">
        <f>AL31/AL13</f>
        <v/>
      </c>
      <c r="AM32" s="26">
        <f>AM31/AM13</f>
        <v/>
      </c>
      <c r="AN32" s="26">
        <f>AN31/AN13</f>
        <v/>
      </c>
      <c r="AO32" s="26">
        <f>AO31/AO13</f>
        <v/>
      </c>
      <c r="AP32" s="26">
        <f>AP31/AP13</f>
        <v/>
      </c>
      <c r="AQ32" s="26">
        <f>AQ31/AQ13</f>
        <v/>
      </c>
      <c r="AR32" s="26">
        <f>AR31/AR13</f>
        <v/>
      </c>
      <c r="AS32" s="26">
        <f>AS31/AS13</f>
        <v/>
      </c>
      <c r="AT32" s="26">
        <f>AT31/AT13</f>
        <v/>
      </c>
      <c r="AU32" s="26">
        <f>AU31/AU13</f>
        <v/>
      </c>
      <c r="AV32" s="26">
        <f>AV31/AV13</f>
        <v/>
      </c>
      <c r="AW32" s="26">
        <f>AW31/AW13</f>
        <v/>
      </c>
      <c r="AX32" s="26">
        <f>AX31/AX13</f>
        <v/>
      </c>
      <c r="AY32" s="26">
        <f>AY31/AY13</f>
        <v/>
      </c>
      <c r="AZ32" s="26">
        <f>AZ31/AZ13</f>
        <v/>
      </c>
      <c r="BA32" s="26">
        <f>BA31/BA13</f>
        <v/>
      </c>
      <c r="BB32" s="26">
        <f>BB31/BB13</f>
        <v/>
      </c>
      <c r="BC32" s="26">
        <f>BC31/BC13</f>
        <v/>
      </c>
      <c r="BD32" s="26">
        <f>BD31/BD13</f>
        <v/>
      </c>
      <c r="BE32" s="26">
        <f>BE31/BE13</f>
        <v/>
      </c>
      <c r="BF32" s="26">
        <f>BF31/BF13</f>
        <v/>
      </c>
      <c r="BG32" s="26">
        <f>BG31/BG13</f>
        <v/>
      </c>
      <c r="BH32" s="26">
        <f>BH31/BH13</f>
        <v/>
      </c>
      <c r="BI32" s="26">
        <f>BI31/BI13</f>
        <v/>
      </c>
      <c r="BJ32" s="26">
        <f>BJ31/BJ13</f>
        <v/>
      </c>
      <c r="BK32" s="26">
        <f>BK31/BK13</f>
        <v/>
      </c>
      <c r="BL32" s="26">
        <f>BL31/BL13</f>
        <v/>
      </c>
      <c r="BM32" s="26">
        <f>BM31/BM13</f>
        <v/>
      </c>
      <c r="BN32" s="26">
        <f>BN31/BN13</f>
        <v/>
      </c>
      <c r="BO32" s="26">
        <f>BO31/BO13</f>
        <v/>
      </c>
      <c r="BP32" s="26">
        <f>BP31/BP13</f>
        <v/>
      </c>
      <c r="BQ32" s="26">
        <f>BQ31/BQ13</f>
        <v/>
      </c>
      <c r="BR32" s="26">
        <f>BR31/BR13</f>
        <v/>
      </c>
      <c r="BS32" s="26">
        <f>BS31/BS13</f>
        <v/>
      </c>
      <c r="BT32" s="26">
        <f>BT31/BT13</f>
        <v/>
      </c>
      <c r="BU32" s="26">
        <f>BU31/BU13</f>
        <v/>
      </c>
      <c r="BV32" s="26">
        <f>BV31/BV13</f>
        <v/>
      </c>
      <c r="BW32" s="26">
        <f>BW31/BW13</f>
        <v/>
      </c>
      <c r="BX32" s="26">
        <f>BX31/BX13</f>
        <v/>
      </c>
      <c r="BY32" s="26">
        <f>BY31/BY13</f>
        <v/>
      </c>
      <c r="BZ32" s="26">
        <f>BZ31/BZ13</f>
        <v/>
      </c>
      <c r="CA32" s="26">
        <f>CA31/CA13</f>
        <v/>
      </c>
      <c r="CB32" s="26">
        <f>CB31/CB13</f>
        <v/>
      </c>
      <c r="CC32" s="26">
        <f>CC31/CC13</f>
        <v/>
      </c>
      <c r="CD32" s="26">
        <f>CD31/CD13</f>
        <v/>
      </c>
      <c r="CE32" s="26">
        <f>CE31/CE13</f>
        <v/>
      </c>
      <c r="CF32" s="26">
        <f>CF31/CF13</f>
        <v/>
      </c>
      <c r="CG32" s="26">
        <f>CG31/CG13</f>
        <v/>
      </c>
      <c r="CH32" s="26">
        <f>CH31/CH13</f>
        <v/>
      </c>
      <c r="CI32" s="26">
        <f>CI31/CI13</f>
        <v/>
      </c>
      <c r="CJ32" s="26">
        <f>CJ31/CJ13</f>
        <v/>
      </c>
      <c r="CK32" s="26">
        <f>CK31/CK13</f>
        <v/>
      </c>
      <c r="CL32" s="26">
        <f>CL31/CL13</f>
        <v/>
      </c>
      <c r="CM32" s="26">
        <f>CM31/CM13</f>
        <v/>
      </c>
      <c r="CN32" s="26">
        <f>CN31/CN13</f>
        <v/>
      </c>
      <c r="CO32" s="26">
        <f>CO31/CO13</f>
        <v/>
      </c>
      <c r="CP32" s="26">
        <f>CP31/CP13</f>
        <v/>
      </c>
      <c r="CQ32" s="26">
        <f>CQ31/CQ13</f>
        <v/>
      </c>
      <c r="CR32" s="26">
        <f>CR31/CR13</f>
        <v/>
      </c>
      <c r="CS32" s="26">
        <f>CS31/CS13</f>
        <v/>
      </c>
      <c r="CT32" s="26">
        <f>CT31/CT13</f>
        <v/>
      </c>
      <c r="CU32" s="26">
        <f>CU31/CU13</f>
        <v/>
      </c>
      <c r="CV32" s="26">
        <f>CV31/CV13</f>
        <v/>
      </c>
      <c r="CW32" s="26">
        <f>CW31/CW13</f>
        <v/>
      </c>
      <c r="CX32" s="26">
        <f>CX31/CX13</f>
        <v/>
      </c>
      <c r="CY32" s="26">
        <f>CY31/CY13</f>
        <v/>
      </c>
      <c r="CZ32" s="26">
        <f>CZ31/CZ13</f>
        <v/>
      </c>
      <c r="DA32" s="26">
        <f>DA31/DA13</f>
        <v/>
      </c>
      <c r="DB32" s="26">
        <f>DB31/DB13</f>
        <v/>
      </c>
      <c r="DC32" s="26">
        <f>DC31/DC13</f>
        <v/>
      </c>
      <c r="DD32" s="26">
        <f>DD31/DD13</f>
        <v/>
      </c>
      <c r="DE32" s="26">
        <f>DE31/DE13</f>
        <v/>
      </c>
      <c r="DF32" s="26">
        <f>DF31/DF13</f>
        <v/>
      </c>
      <c r="DG32" s="26">
        <f>DG31/DG13</f>
        <v/>
      </c>
      <c r="DH32" s="26">
        <f>DH31/DH13</f>
        <v/>
      </c>
      <c r="DI32" s="26">
        <f>DI31/DI13</f>
        <v/>
      </c>
      <c r="DJ32" s="26">
        <f>DJ31/DJ13</f>
        <v/>
      </c>
      <c r="DK32" s="26">
        <f>DK31/DK13</f>
        <v/>
      </c>
      <c r="DL32" s="26">
        <f>DL31/DL13</f>
        <v/>
      </c>
      <c r="DM32" s="26">
        <f>DM31/DM13</f>
        <v/>
      </c>
      <c r="DN32" s="26">
        <f>DN31/DN13</f>
        <v/>
      </c>
      <c r="DO32" s="26">
        <f>DO31/DO13</f>
        <v/>
      </c>
      <c r="DP32" s="26">
        <f>DP31/DP13</f>
        <v/>
      </c>
      <c r="DQ32" s="26">
        <f>DQ31/DQ13</f>
        <v/>
      </c>
      <c r="DR32" s="26">
        <f>DR31/DR13</f>
        <v/>
      </c>
      <c r="DS32" s="26">
        <f>DS31/DS13</f>
        <v/>
      </c>
      <c r="DT32" s="26">
        <f>DT31/DT13</f>
        <v/>
      </c>
      <c r="DU32" s="26">
        <f>DU31/DU13</f>
        <v/>
      </c>
    </row>
    <row r="34">
      <c r="A34" t="inlineStr">
        <is>
          <t>Interest expense</t>
        </is>
      </c>
      <c r="F34" s="44">
        <f>Debt_Schedule!F20</f>
        <v/>
      </c>
      <c r="G34" s="44">
        <f>Debt_Schedule!G20</f>
        <v/>
      </c>
      <c r="H34" s="44">
        <f>Debt_Schedule!H20</f>
        <v/>
      </c>
      <c r="I34" s="44">
        <f>Debt_Schedule!I20</f>
        <v/>
      </c>
      <c r="J34" s="44">
        <f>Debt_Schedule!J20</f>
        <v/>
      </c>
      <c r="K34" s="44">
        <f>Debt_Schedule!K20</f>
        <v/>
      </c>
      <c r="L34" s="44">
        <f>Debt_Schedule!L20</f>
        <v/>
      </c>
      <c r="M34" s="44">
        <f>Debt_Schedule!M20</f>
        <v/>
      </c>
      <c r="N34" s="44">
        <f>Debt_Schedule!N20</f>
        <v/>
      </c>
      <c r="O34" s="44">
        <f>Debt_Schedule!O20</f>
        <v/>
      </c>
      <c r="P34" s="44">
        <f>Debt_Schedule!P20</f>
        <v/>
      </c>
      <c r="Q34" s="44">
        <f>Debt_Schedule!Q20</f>
        <v/>
      </c>
      <c r="R34" s="44">
        <f>Debt_Schedule!R20</f>
        <v/>
      </c>
      <c r="S34" s="44">
        <f>Debt_Schedule!S20</f>
        <v/>
      </c>
      <c r="T34" s="44">
        <f>Debt_Schedule!T20</f>
        <v/>
      </c>
      <c r="U34" s="44">
        <f>Debt_Schedule!U20</f>
        <v/>
      </c>
      <c r="V34" s="44">
        <f>Debt_Schedule!V20</f>
        <v/>
      </c>
      <c r="W34" s="44">
        <f>Debt_Schedule!W20</f>
        <v/>
      </c>
      <c r="X34" s="44">
        <f>Debt_Schedule!X20</f>
        <v/>
      </c>
      <c r="Y34" s="44">
        <f>Debt_Schedule!Y20</f>
        <v/>
      </c>
      <c r="Z34" s="44">
        <f>Debt_Schedule!Z20</f>
        <v/>
      </c>
      <c r="AA34" s="44">
        <f>Debt_Schedule!AA20</f>
        <v/>
      </c>
      <c r="AB34" s="44">
        <f>Debt_Schedule!AB20</f>
        <v/>
      </c>
      <c r="AC34" s="44">
        <f>Debt_Schedule!AC20</f>
        <v/>
      </c>
      <c r="AD34" s="44">
        <f>Debt_Schedule!AD20</f>
        <v/>
      </c>
      <c r="AE34" s="44">
        <f>Debt_Schedule!AE20</f>
        <v/>
      </c>
      <c r="AF34" s="44">
        <f>Debt_Schedule!AF20</f>
        <v/>
      </c>
      <c r="AG34" s="44">
        <f>Debt_Schedule!AG20</f>
        <v/>
      </c>
      <c r="AH34" s="44">
        <f>Debt_Schedule!AH20</f>
        <v/>
      </c>
      <c r="AI34" s="44">
        <f>Debt_Schedule!AI20</f>
        <v/>
      </c>
      <c r="AJ34" s="44">
        <f>Debt_Schedule!AJ20</f>
        <v/>
      </c>
      <c r="AK34" s="44">
        <f>Debt_Schedule!AK20</f>
        <v/>
      </c>
      <c r="AL34" s="44">
        <f>Debt_Schedule!AL20</f>
        <v/>
      </c>
      <c r="AM34" s="44">
        <f>Debt_Schedule!AM20</f>
        <v/>
      </c>
      <c r="AN34" s="44">
        <f>Debt_Schedule!AN20</f>
        <v/>
      </c>
      <c r="AO34" s="44">
        <f>Debt_Schedule!AO20</f>
        <v/>
      </c>
      <c r="AP34" s="44">
        <f>Debt_Schedule!AP20</f>
        <v/>
      </c>
      <c r="AQ34" s="44">
        <f>Debt_Schedule!AQ20</f>
        <v/>
      </c>
      <c r="AR34" s="44">
        <f>Debt_Schedule!AR20</f>
        <v/>
      </c>
      <c r="AS34" s="44">
        <f>Debt_Schedule!AS20</f>
        <v/>
      </c>
      <c r="AT34" s="44">
        <f>Debt_Schedule!AT20</f>
        <v/>
      </c>
      <c r="AU34" s="44">
        <f>Debt_Schedule!AU20</f>
        <v/>
      </c>
      <c r="AV34" s="44">
        <f>Debt_Schedule!AV20</f>
        <v/>
      </c>
      <c r="AW34" s="44">
        <f>Debt_Schedule!AW20</f>
        <v/>
      </c>
      <c r="AX34" s="44">
        <f>Debt_Schedule!AX20</f>
        <v/>
      </c>
      <c r="AY34" s="44">
        <f>Debt_Schedule!AY20</f>
        <v/>
      </c>
      <c r="AZ34" s="44">
        <f>Debt_Schedule!AZ20</f>
        <v/>
      </c>
      <c r="BA34" s="44">
        <f>Debt_Schedule!BA20</f>
        <v/>
      </c>
      <c r="BB34" s="44">
        <f>Debt_Schedule!BB20</f>
        <v/>
      </c>
      <c r="BC34" s="44">
        <f>Debt_Schedule!BC20</f>
        <v/>
      </c>
      <c r="BD34" s="44">
        <f>Debt_Schedule!BD20</f>
        <v/>
      </c>
      <c r="BE34" s="44">
        <f>Debt_Schedule!BE20</f>
        <v/>
      </c>
      <c r="BF34" s="44">
        <f>Debt_Schedule!BF20</f>
        <v/>
      </c>
      <c r="BG34" s="44">
        <f>Debt_Schedule!BG20</f>
        <v/>
      </c>
      <c r="BH34" s="44">
        <f>Debt_Schedule!BH20</f>
        <v/>
      </c>
      <c r="BI34" s="44">
        <f>Debt_Schedule!BI20</f>
        <v/>
      </c>
      <c r="BJ34" s="44">
        <f>Debt_Schedule!BJ20</f>
        <v/>
      </c>
      <c r="BK34" s="44">
        <f>Debt_Schedule!BK20</f>
        <v/>
      </c>
      <c r="BL34" s="44">
        <f>Debt_Schedule!BL20</f>
        <v/>
      </c>
      <c r="BM34" s="44">
        <f>Debt_Schedule!BM20</f>
        <v/>
      </c>
      <c r="BN34" s="44">
        <f>Debt_Schedule!BN20</f>
        <v/>
      </c>
      <c r="BO34" s="44">
        <f>Debt_Schedule!BO20</f>
        <v/>
      </c>
      <c r="BP34" s="44">
        <f>Debt_Schedule!BP20</f>
        <v/>
      </c>
      <c r="BQ34" s="44">
        <f>Debt_Schedule!BQ20</f>
        <v/>
      </c>
      <c r="BR34" s="44">
        <f>Debt_Schedule!BR20</f>
        <v/>
      </c>
      <c r="BS34" s="44">
        <f>Debt_Schedule!BS20</f>
        <v/>
      </c>
      <c r="BT34" s="44">
        <f>Debt_Schedule!BT20</f>
        <v/>
      </c>
      <c r="BU34" s="44">
        <f>Debt_Schedule!BU20</f>
        <v/>
      </c>
      <c r="BV34" s="44">
        <f>Debt_Schedule!BV20</f>
        <v/>
      </c>
      <c r="BW34" s="44">
        <f>Debt_Schedule!BW20</f>
        <v/>
      </c>
      <c r="BX34" s="44">
        <f>Debt_Schedule!BX20</f>
        <v/>
      </c>
      <c r="BY34" s="44">
        <f>Debt_Schedule!BY20</f>
        <v/>
      </c>
      <c r="BZ34" s="44">
        <f>Debt_Schedule!BZ20</f>
        <v/>
      </c>
      <c r="CA34" s="44">
        <f>Debt_Schedule!CA20</f>
        <v/>
      </c>
      <c r="CB34" s="44">
        <f>Debt_Schedule!CB20</f>
        <v/>
      </c>
      <c r="CC34" s="44">
        <f>Debt_Schedule!CC20</f>
        <v/>
      </c>
      <c r="CD34" s="44">
        <f>Debt_Schedule!CD20</f>
        <v/>
      </c>
      <c r="CE34" s="44">
        <f>Debt_Schedule!CE20</f>
        <v/>
      </c>
      <c r="CF34" s="44">
        <f>Debt_Schedule!CF20</f>
        <v/>
      </c>
      <c r="CG34" s="44">
        <f>Debt_Schedule!CG20</f>
        <v/>
      </c>
      <c r="CH34" s="44">
        <f>Debt_Schedule!CH20</f>
        <v/>
      </c>
      <c r="CI34" s="44">
        <f>Debt_Schedule!CI20</f>
        <v/>
      </c>
      <c r="CJ34" s="44">
        <f>Debt_Schedule!CJ20</f>
        <v/>
      </c>
      <c r="CK34" s="44">
        <f>Debt_Schedule!CK20</f>
        <v/>
      </c>
      <c r="CL34" s="44">
        <f>Debt_Schedule!CL20</f>
        <v/>
      </c>
      <c r="CM34" s="44">
        <f>Debt_Schedule!CM20</f>
        <v/>
      </c>
      <c r="CN34" s="44">
        <f>Debt_Schedule!CN20</f>
        <v/>
      </c>
      <c r="CO34" s="44">
        <f>Debt_Schedule!CO20</f>
        <v/>
      </c>
      <c r="CP34" s="44">
        <f>Debt_Schedule!CP20</f>
        <v/>
      </c>
      <c r="CQ34" s="44">
        <f>Debt_Schedule!CQ20</f>
        <v/>
      </c>
      <c r="CR34" s="44">
        <f>Debt_Schedule!CR20</f>
        <v/>
      </c>
      <c r="CS34" s="44">
        <f>Debt_Schedule!CS20</f>
        <v/>
      </c>
      <c r="CT34" s="44">
        <f>Debt_Schedule!CT20</f>
        <v/>
      </c>
      <c r="CU34" s="44">
        <f>Debt_Schedule!CU20</f>
        <v/>
      </c>
      <c r="CV34" s="44">
        <f>Debt_Schedule!CV20</f>
        <v/>
      </c>
      <c r="CW34" s="44">
        <f>Debt_Schedule!CW20</f>
        <v/>
      </c>
      <c r="CX34" s="44">
        <f>Debt_Schedule!CX20</f>
        <v/>
      </c>
      <c r="CY34" s="44">
        <f>Debt_Schedule!CY20</f>
        <v/>
      </c>
      <c r="CZ34" s="44">
        <f>Debt_Schedule!CZ20</f>
        <v/>
      </c>
      <c r="DA34" s="44">
        <f>Debt_Schedule!DA20</f>
        <v/>
      </c>
      <c r="DB34" s="44">
        <f>Debt_Schedule!DB20</f>
        <v/>
      </c>
      <c r="DC34" s="44">
        <f>Debt_Schedule!DC20</f>
        <v/>
      </c>
      <c r="DD34" s="44">
        <f>Debt_Schedule!DD20</f>
        <v/>
      </c>
      <c r="DE34" s="44">
        <f>Debt_Schedule!DE20</f>
        <v/>
      </c>
      <c r="DF34" s="44">
        <f>Debt_Schedule!DF20</f>
        <v/>
      </c>
      <c r="DG34" s="44">
        <f>Debt_Schedule!DG20</f>
        <v/>
      </c>
      <c r="DH34" s="44">
        <f>Debt_Schedule!DH20</f>
        <v/>
      </c>
      <c r="DI34" s="44">
        <f>Debt_Schedule!DI20</f>
        <v/>
      </c>
      <c r="DJ34" s="44">
        <f>Debt_Schedule!DJ20</f>
        <v/>
      </c>
      <c r="DK34" s="44">
        <f>Debt_Schedule!DK20</f>
        <v/>
      </c>
      <c r="DL34" s="44">
        <f>Debt_Schedule!DL20</f>
        <v/>
      </c>
      <c r="DM34" s="44">
        <f>Debt_Schedule!DM20</f>
        <v/>
      </c>
      <c r="DN34" s="44">
        <f>Debt_Schedule!DN20</f>
        <v/>
      </c>
      <c r="DO34" s="44">
        <f>Debt_Schedule!DO20</f>
        <v/>
      </c>
      <c r="DP34" s="44">
        <f>Debt_Schedule!DP20</f>
        <v/>
      </c>
      <c r="DQ34" s="44">
        <f>Debt_Schedule!DQ20</f>
        <v/>
      </c>
      <c r="DR34" s="44">
        <f>Debt_Schedule!DR20</f>
        <v/>
      </c>
      <c r="DS34" s="44">
        <f>Debt_Schedule!DS20</f>
        <v/>
      </c>
      <c r="DT34" s="44">
        <f>Debt_Schedule!DT20</f>
        <v/>
      </c>
      <c r="DU34" s="44">
        <f>Debt_Schedule!DU20</f>
        <v/>
      </c>
    </row>
    <row r="36">
      <c r="A36" s="8" t="inlineStr">
        <is>
          <t>EBT (Earnings Before Tax)</t>
        </is>
      </c>
      <c r="F36" s="45">
        <f>F31-F34</f>
        <v/>
      </c>
      <c r="G36" s="45">
        <f>G31-G34</f>
        <v/>
      </c>
      <c r="H36" s="45">
        <f>H31-H34</f>
        <v/>
      </c>
      <c r="I36" s="45">
        <f>I31-I34</f>
        <v/>
      </c>
      <c r="J36" s="45">
        <f>J31-J34</f>
        <v/>
      </c>
      <c r="K36" s="45">
        <f>K31-K34</f>
        <v/>
      </c>
      <c r="L36" s="45">
        <f>L31-L34</f>
        <v/>
      </c>
      <c r="M36" s="45">
        <f>M31-M34</f>
        <v/>
      </c>
      <c r="N36" s="45">
        <f>N31-N34</f>
        <v/>
      </c>
      <c r="O36" s="45">
        <f>O31-O34</f>
        <v/>
      </c>
      <c r="P36" s="45">
        <f>P31-P34</f>
        <v/>
      </c>
      <c r="Q36" s="45">
        <f>Q31-Q34</f>
        <v/>
      </c>
      <c r="R36" s="45">
        <f>R31-R34</f>
        <v/>
      </c>
      <c r="S36" s="45">
        <f>S31-S34</f>
        <v/>
      </c>
      <c r="T36" s="45">
        <f>T31-T34</f>
        <v/>
      </c>
      <c r="U36" s="45">
        <f>U31-U34</f>
        <v/>
      </c>
      <c r="V36" s="45">
        <f>V31-V34</f>
        <v/>
      </c>
      <c r="W36" s="45">
        <f>W31-W34</f>
        <v/>
      </c>
      <c r="X36" s="45">
        <f>X31-X34</f>
        <v/>
      </c>
      <c r="Y36" s="45">
        <f>Y31-Y34</f>
        <v/>
      </c>
      <c r="Z36" s="45">
        <f>Z31-Z34</f>
        <v/>
      </c>
      <c r="AA36" s="45">
        <f>AA31-AA34</f>
        <v/>
      </c>
      <c r="AB36" s="45">
        <f>AB31-AB34</f>
        <v/>
      </c>
      <c r="AC36" s="45">
        <f>AC31-AC34</f>
        <v/>
      </c>
      <c r="AD36" s="45">
        <f>AD31-AD34</f>
        <v/>
      </c>
      <c r="AE36" s="45">
        <f>AE31-AE34</f>
        <v/>
      </c>
      <c r="AF36" s="45">
        <f>AF31-AF34</f>
        <v/>
      </c>
      <c r="AG36" s="45">
        <f>AG31-AG34</f>
        <v/>
      </c>
      <c r="AH36" s="45">
        <f>AH31-AH34</f>
        <v/>
      </c>
      <c r="AI36" s="45">
        <f>AI31-AI34</f>
        <v/>
      </c>
      <c r="AJ36" s="45">
        <f>AJ31-AJ34</f>
        <v/>
      </c>
      <c r="AK36" s="45">
        <f>AK31-AK34</f>
        <v/>
      </c>
      <c r="AL36" s="45">
        <f>AL31-AL34</f>
        <v/>
      </c>
      <c r="AM36" s="45">
        <f>AM31-AM34</f>
        <v/>
      </c>
      <c r="AN36" s="45">
        <f>AN31-AN34</f>
        <v/>
      </c>
      <c r="AO36" s="45">
        <f>AO31-AO34</f>
        <v/>
      </c>
      <c r="AP36" s="45">
        <f>AP31-AP34</f>
        <v/>
      </c>
      <c r="AQ36" s="45">
        <f>AQ31-AQ34</f>
        <v/>
      </c>
      <c r="AR36" s="45">
        <f>AR31-AR34</f>
        <v/>
      </c>
      <c r="AS36" s="45">
        <f>AS31-AS34</f>
        <v/>
      </c>
      <c r="AT36" s="45">
        <f>AT31-AT34</f>
        <v/>
      </c>
      <c r="AU36" s="45">
        <f>AU31-AU34</f>
        <v/>
      </c>
      <c r="AV36" s="45">
        <f>AV31-AV34</f>
        <v/>
      </c>
      <c r="AW36" s="45">
        <f>AW31-AW34</f>
        <v/>
      </c>
      <c r="AX36" s="45">
        <f>AX31-AX34</f>
        <v/>
      </c>
      <c r="AY36" s="45">
        <f>AY31-AY34</f>
        <v/>
      </c>
      <c r="AZ36" s="45">
        <f>AZ31-AZ34</f>
        <v/>
      </c>
      <c r="BA36" s="45">
        <f>BA31-BA34</f>
        <v/>
      </c>
      <c r="BB36" s="45">
        <f>BB31-BB34</f>
        <v/>
      </c>
      <c r="BC36" s="45">
        <f>BC31-BC34</f>
        <v/>
      </c>
      <c r="BD36" s="45">
        <f>BD31-BD34</f>
        <v/>
      </c>
      <c r="BE36" s="45">
        <f>BE31-BE34</f>
        <v/>
      </c>
      <c r="BF36" s="45">
        <f>BF31-BF34</f>
        <v/>
      </c>
      <c r="BG36" s="45">
        <f>BG31-BG34</f>
        <v/>
      </c>
      <c r="BH36" s="45">
        <f>BH31-BH34</f>
        <v/>
      </c>
      <c r="BI36" s="45">
        <f>BI31-BI34</f>
        <v/>
      </c>
      <c r="BJ36" s="45">
        <f>BJ31-BJ34</f>
        <v/>
      </c>
      <c r="BK36" s="45">
        <f>BK31-BK34</f>
        <v/>
      </c>
      <c r="BL36" s="45">
        <f>BL31-BL34</f>
        <v/>
      </c>
      <c r="BM36" s="45">
        <f>BM31-BM34</f>
        <v/>
      </c>
      <c r="BN36" s="45">
        <f>BN31-BN34</f>
        <v/>
      </c>
      <c r="BO36" s="45">
        <f>BO31-BO34</f>
        <v/>
      </c>
      <c r="BP36" s="45">
        <f>BP31-BP34</f>
        <v/>
      </c>
      <c r="BQ36" s="45">
        <f>BQ31-BQ34</f>
        <v/>
      </c>
      <c r="BR36" s="45">
        <f>BR31-BR34</f>
        <v/>
      </c>
      <c r="BS36" s="45">
        <f>BS31-BS34</f>
        <v/>
      </c>
      <c r="BT36" s="45">
        <f>BT31-BT34</f>
        <v/>
      </c>
      <c r="BU36" s="45">
        <f>BU31-BU34</f>
        <v/>
      </c>
      <c r="BV36" s="45">
        <f>BV31-BV34</f>
        <v/>
      </c>
      <c r="BW36" s="45">
        <f>BW31-BW34</f>
        <v/>
      </c>
      <c r="BX36" s="45">
        <f>BX31-BX34</f>
        <v/>
      </c>
      <c r="BY36" s="45">
        <f>BY31-BY34</f>
        <v/>
      </c>
      <c r="BZ36" s="45">
        <f>BZ31-BZ34</f>
        <v/>
      </c>
      <c r="CA36" s="45">
        <f>CA31-CA34</f>
        <v/>
      </c>
      <c r="CB36" s="45">
        <f>CB31-CB34</f>
        <v/>
      </c>
      <c r="CC36" s="45">
        <f>CC31-CC34</f>
        <v/>
      </c>
      <c r="CD36" s="45">
        <f>CD31-CD34</f>
        <v/>
      </c>
      <c r="CE36" s="45">
        <f>CE31-CE34</f>
        <v/>
      </c>
      <c r="CF36" s="45">
        <f>CF31-CF34</f>
        <v/>
      </c>
      <c r="CG36" s="45">
        <f>CG31-CG34</f>
        <v/>
      </c>
      <c r="CH36" s="45">
        <f>CH31-CH34</f>
        <v/>
      </c>
      <c r="CI36" s="45">
        <f>CI31-CI34</f>
        <v/>
      </c>
      <c r="CJ36" s="45">
        <f>CJ31-CJ34</f>
        <v/>
      </c>
      <c r="CK36" s="45">
        <f>CK31-CK34</f>
        <v/>
      </c>
      <c r="CL36" s="45">
        <f>CL31-CL34</f>
        <v/>
      </c>
      <c r="CM36" s="45">
        <f>CM31-CM34</f>
        <v/>
      </c>
      <c r="CN36" s="45">
        <f>CN31-CN34</f>
        <v/>
      </c>
      <c r="CO36" s="45">
        <f>CO31-CO34</f>
        <v/>
      </c>
      <c r="CP36" s="45">
        <f>CP31-CP34</f>
        <v/>
      </c>
      <c r="CQ36" s="45">
        <f>CQ31-CQ34</f>
        <v/>
      </c>
      <c r="CR36" s="45">
        <f>CR31-CR34</f>
        <v/>
      </c>
      <c r="CS36" s="45">
        <f>CS31-CS34</f>
        <v/>
      </c>
      <c r="CT36" s="45">
        <f>CT31-CT34</f>
        <v/>
      </c>
      <c r="CU36" s="45">
        <f>CU31-CU34</f>
        <v/>
      </c>
      <c r="CV36" s="45">
        <f>CV31-CV34</f>
        <v/>
      </c>
      <c r="CW36" s="45">
        <f>CW31-CW34</f>
        <v/>
      </c>
      <c r="CX36" s="45">
        <f>CX31-CX34</f>
        <v/>
      </c>
      <c r="CY36" s="45">
        <f>CY31-CY34</f>
        <v/>
      </c>
      <c r="CZ36" s="45">
        <f>CZ31-CZ34</f>
        <v/>
      </c>
      <c r="DA36" s="45">
        <f>DA31-DA34</f>
        <v/>
      </c>
      <c r="DB36" s="45">
        <f>DB31-DB34</f>
        <v/>
      </c>
      <c r="DC36" s="45">
        <f>DC31-DC34</f>
        <v/>
      </c>
      <c r="DD36" s="45">
        <f>DD31-DD34</f>
        <v/>
      </c>
      <c r="DE36" s="45">
        <f>DE31-DE34</f>
        <v/>
      </c>
      <c r="DF36" s="45">
        <f>DF31-DF34</f>
        <v/>
      </c>
      <c r="DG36" s="45">
        <f>DG31-DG34</f>
        <v/>
      </c>
      <c r="DH36" s="45">
        <f>DH31-DH34</f>
        <v/>
      </c>
      <c r="DI36" s="45">
        <f>DI31-DI34</f>
        <v/>
      </c>
      <c r="DJ36" s="45">
        <f>DJ31-DJ34</f>
        <v/>
      </c>
      <c r="DK36" s="45">
        <f>DK31-DK34</f>
        <v/>
      </c>
      <c r="DL36" s="45">
        <f>DL31-DL34</f>
        <v/>
      </c>
      <c r="DM36" s="45">
        <f>DM31-DM34</f>
        <v/>
      </c>
      <c r="DN36" s="45">
        <f>DN31-DN34</f>
        <v/>
      </c>
      <c r="DO36" s="45">
        <f>DO31-DO34</f>
        <v/>
      </c>
      <c r="DP36" s="45">
        <f>DP31-DP34</f>
        <v/>
      </c>
      <c r="DQ36" s="45">
        <f>DQ31-DQ34</f>
        <v/>
      </c>
      <c r="DR36" s="45">
        <f>DR31-DR34</f>
        <v/>
      </c>
      <c r="DS36" s="45">
        <f>DS31-DS34</f>
        <v/>
      </c>
      <c r="DT36" s="45">
        <f>DT31-DT34</f>
        <v/>
      </c>
      <c r="DU36" s="45">
        <f>DU31-DU34</f>
        <v/>
      </c>
    </row>
    <row r="38">
      <c r="A38" t="inlineStr">
        <is>
          <t>Tax expense</t>
        </is>
      </c>
      <c r="F38" s="44">
        <f>MAX(0,F36*Assumptions_Global!$E$11)</f>
        <v/>
      </c>
      <c r="G38" s="44">
        <f>MAX(0,G36*Assumptions_Global!$E$11)</f>
        <v/>
      </c>
      <c r="H38" s="44">
        <f>MAX(0,H36*Assumptions_Global!$E$11)</f>
        <v/>
      </c>
      <c r="I38" s="44">
        <f>MAX(0,I36*Assumptions_Global!$E$11)</f>
        <v/>
      </c>
      <c r="J38" s="44">
        <f>MAX(0,J36*Assumptions_Global!$E$11)</f>
        <v/>
      </c>
      <c r="K38" s="44">
        <f>MAX(0,K36*Assumptions_Global!$E$11)</f>
        <v/>
      </c>
      <c r="L38" s="44">
        <f>MAX(0,L36*Assumptions_Global!$E$11)</f>
        <v/>
      </c>
      <c r="M38" s="44">
        <f>MAX(0,M36*Assumptions_Global!$E$11)</f>
        <v/>
      </c>
      <c r="N38" s="44">
        <f>MAX(0,N36*Assumptions_Global!$E$11)</f>
        <v/>
      </c>
      <c r="O38" s="44">
        <f>MAX(0,O36*Assumptions_Global!$E$11)</f>
        <v/>
      </c>
      <c r="P38" s="44">
        <f>MAX(0,P36*Assumptions_Global!$E$11)</f>
        <v/>
      </c>
      <c r="Q38" s="44">
        <f>MAX(0,Q36*Assumptions_Global!$E$11)</f>
        <v/>
      </c>
      <c r="R38" s="44">
        <f>MAX(0,R36*Assumptions_Global!$E$11)</f>
        <v/>
      </c>
      <c r="S38" s="44">
        <f>MAX(0,S36*Assumptions_Global!$E$11)</f>
        <v/>
      </c>
      <c r="T38" s="44">
        <f>MAX(0,T36*Assumptions_Global!$E$11)</f>
        <v/>
      </c>
      <c r="U38" s="44">
        <f>MAX(0,U36*Assumptions_Global!$E$11)</f>
        <v/>
      </c>
      <c r="V38" s="44">
        <f>MAX(0,V36*Assumptions_Global!$E$11)</f>
        <v/>
      </c>
      <c r="W38" s="44">
        <f>MAX(0,W36*Assumptions_Global!$E$11)</f>
        <v/>
      </c>
      <c r="X38" s="44">
        <f>MAX(0,X36*Assumptions_Global!$E$11)</f>
        <v/>
      </c>
      <c r="Y38" s="44">
        <f>MAX(0,Y36*Assumptions_Global!$E$11)</f>
        <v/>
      </c>
      <c r="Z38" s="44">
        <f>MAX(0,Z36*Assumptions_Global!$E$11)</f>
        <v/>
      </c>
      <c r="AA38" s="44">
        <f>MAX(0,AA36*Assumptions_Global!$E$11)</f>
        <v/>
      </c>
      <c r="AB38" s="44">
        <f>MAX(0,AB36*Assumptions_Global!$E$11)</f>
        <v/>
      </c>
      <c r="AC38" s="44">
        <f>MAX(0,AC36*Assumptions_Global!$E$11)</f>
        <v/>
      </c>
      <c r="AD38" s="44">
        <f>MAX(0,AD36*Assumptions_Global!$E$11)</f>
        <v/>
      </c>
      <c r="AE38" s="44">
        <f>MAX(0,AE36*Assumptions_Global!$E$11)</f>
        <v/>
      </c>
      <c r="AF38" s="44">
        <f>MAX(0,AF36*Assumptions_Global!$E$11)</f>
        <v/>
      </c>
      <c r="AG38" s="44">
        <f>MAX(0,AG36*Assumptions_Global!$E$11)</f>
        <v/>
      </c>
      <c r="AH38" s="44">
        <f>MAX(0,AH36*Assumptions_Global!$E$11)</f>
        <v/>
      </c>
      <c r="AI38" s="44">
        <f>MAX(0,AI36*Assumptions_Global!$E$11)</f>
        <v/>
      </c>
      <c r="AJ38" s="44">
        <f>MAX(0,AJ36*Assumptions_Global!$E$11)</f>
        <v/>
      </c>
      <c r="AK38" s="44">
        <f>MAX(0,AK36*Assumptions_Global!$E$11)</f>
        <v/>
      </c>
      <c r="AL38" s="44">
        <f>MAX(0,AL36*Assumptions_Global!$E$11)</f>
        <v/>
      </c>
      <c r="AM38" s="44">
        <f>MAX(0,AM36*Assumptions_Global!$E$11)</f>
        <v/>
      </c>
      <c r="AN38" s="44">
        <f>MAX(0,AN36*Assumptions_Global!$E$11)</f>
        <v/>
      </c>
      <c r="AO38" s="44">
        <f>MAX(0,AO36*Assumptions_Global!$E$11)</f>
        <v/>
      </c>
      <c r="AP38" s="44">
        <f>MAX(0,AP36*Assumptions_Global!$E$11)</f>
        <v/>
      </c>
      <c r="AQ38" s="44">
        <f>MAX(0,AQ36*Assumptions_Global!$E$11)</f>
        <v/>
      </c>
      <c r="AR38" s="44">
        <f>MAX(0,AR36*Assumptions_Global!$E$11)</f>
        <v/>
      </c>
      <c r="AS38" s="44">
        <f>MAX(0,AS36*Assumptions_Global!$E$11)</f>
        <v/>
      </c>
      <c r="AT38" s="44">
        <f>MAX(0,AT36*Assumptions_Global!$E$11)</f>
        <v/>
      </c>
      <c r="AU38" s="44">
        <f>MAX(0,AU36*Assumptions_Global!$E$11)</f>
        <v/>
      </c>
      <c r="AV38" s="44">
        <f>MAX(0,AV36*Assumptions_Global!$E$11)</f>
        <v/>
      </c>
      <c r="AW38" s="44">
        <f>MAX(0,AW36*Assumptions_Global!$E$11)</f>
        <v/>
      </c>
      <c r="AX38" s="44">
        <f>MAX(0,AX36*Assumptions_Global!$E$11)</f>
        <v/>
      </c>
      <c r="AY38" s="44">
        <f>MAX(0,AY36*Assumptions_Global!$E$11)</f>
        <v/>
      </c>
      <c r="AZ38" s="44">
        <f>MAX(0,AZ36*Assumptions_Global!$E$11)</f>
        <v/>
      </c>
      <c r="BA38" s="44">
        <f>MAX(0,BA36*Assumptions_Global!$E$11)</f>
        <v/>
      </c>
      <c r="BB38" s="44">
        <f>MAX(0,BB36*Assumptions_Global!$E$11)</f>
        <v/>
      </c>
      <c r="BC38" s="44">
        <f>MAX(0,BC36*Assumptions_Global!$E$11)</f>
        <v/>
      </c>
      <c r="BD38" s="44">
        <f>MAX(0,BD36*Assumptions_Global!$E$11)</f>
        <v/>
      </c>
      <c r="BE38" s="44">
        <f>MAX(0,BE36*Assumptions_Global!$E$11)</f>
        <v/>
      </c>
      <c r="BF38" s="44">
        <f>MAX(0,BF36*Assumptions_Global!$E$11)</f>
        <v/>
      </c>
      <c r="BG38" s="44">
        <f>MAX(0,BG36*Assumptions_Global!$E$11)</f>
        <v/>
      </c>
      <c r="BH38" s="44">
        <f>MAX(0,BH36*Assumptions_Global!$E$11)</f>
        <v/>
      </c>
      <c r="BI38" s="44">
        <f>MAX(0,BI36*Assumptions_Global!$E$11)</f>
        <v/>
      </c>
      <c r="BJ38" s="44">
        <f>MAX(0,BJ36*Assumptions_Global!$E$11)</f>
        <v/>
      </c>
      <c r="BK38" s="44">
        <f>MAX(0,BK36*Assumptions_Global!$E$11)</f>
        <v/>
      </c>
      <c r="BL38" s="44">
        <f>MAX(0,BL36*Assumptions_Global!$E$11)</f>
        <v/>
      </c>
      <c r="BM38" s="44">
        <f>MAX(0,BM36*Assumptions_Global!$E$11)</f>
        <v/>
      </c>
      <c r="BN38" s="44">
        <f>MAX(0,BN36*Assumptions_Global!$E$11)</f>
        <v/>
      </c>
      <c r="BO38" s="44">
        <f>MAX(0,BO36*Assumptions_Global!$E$11)</f>
        <v/>
      </c>
      <c r="BP38" s="44">
        <f>MAX(0,BP36*Assumptions_Global!$E$11)</f>
        <v/>
      </c>
      <c r="BQ38" s="44">
        <f>MAX(0,BQ36*Assumptions_Global!$E$11)</f>
        <v/>
      </c>
      <c r="BR38" s="44">
        <f>MAX(0,BR36*Assumptions_Global!$E$11)</f>
        <v/>
      </c>
      <c r="BS38" s="44">
        <f>MAX(0,BS36*Assumptions_Global!$E$11)</f>
        <v/>
      </c>
      <c r="BT38" s="44">
        <f>MAX(0,BT36*Assumptions_Global!$E$11)</f>
        <v/>
      </c>
      <c r="BU38" s="44">
        <f>MAX(0,BU36*Assumptions_Global!$E$11)</f>
        <v/>
      </c>
      <c r="BV38" s="44">
        <f>MAX(0,BV36*Assumptions_Global!$E$11)</f>
        <v/>
      </c>
      <c r="BW38" s="44">
        <f>MAX(0,BW36*Assumptions_Global!$E$11)</f>
        <v/>
      </c>
      <c r="BX38" s="44">
        <f>MAX(0,BX36*Assumptions_Global!$E$11)</f>
        <v/>
      </c>
      <c r="BY38" s="44">
        <f>MAX(0,BY36*Assumptions_Global!$E$11)</f>
        <v/>
      </c>
      <c r="BZ38" s="44">
        <f>MAX(0,BZ36*Assumptions_Global!$E$11)</f>
        <v/>
      </c>
      <c r="CA38" s="44">
        <f>MAX(0,CA36*Assumptions_Global!$E$11)</f>
        <v/>
      </c>
      <c r="CB38" s="44">
        <f>MAX(0,CB36*Assumptions_Global!$E$11)</f>
        <v/>
      </c>
      <c r="CC38" s="44">
        <f>MAX(0,CC36*Assumptions_Global!$E$11)</f>
        <v/>
      </c>
      <c r="CD38" s="44">
        <f>MAX(0,CD36*Assumptions_Global!$E$11)</f>
        <v/>
      </c>
      <c r="CE38" s="44">
        <f>MAX(0,CE36*Assumptions_Global!$E$11)</f>
        <v/>
      </c>
      <c r="CF38" s="44">
        <f>MAX(0,CF36*Assumptions_Global!$E$11)</f>
        <v/>
      </c>
      <c r="CG38" s="44">
        <f>MAX(0,CG36*Assumptions_Global!$E$11)</f>
        <v/>
      </c>
      <c r="CH38" s="44">
        <f>MAX(0,CH36*Assumptions_Global!$E$11)</f>
        <v/>
      </c>
      <c r="CI38" s="44">
        <f>MAX(0,CI36*Assumptions_Global!$E$11)</f>
        <v/>
      </c>
      <c r="CJ38" s="44">
        <f>MAX(0,CJ36*Assumptions_Global!$E$11)</f>
        <v/>
      </c>
      <c r="CK38" s="44">
        <f>MAX(0,CK36*Assumptions_Global!$E$11)</f>
        <v/>
      </c>
      <c r="CL38" s="44">
        <f>MAX(0,CL36*Assumptions_Global!$E$11)</f>
        <v/>
      </c>
      <c r="CM38" s="44">
        <f>MAX(0,CM36*Assumptions_Global!$E$11)</f>
        <v/>
      </c>
      <c r="CN38" s="44">
        <f>MAX(0,CN36*Assumptions_Global!$E$11)</f>
        <v/>
      </c>
      <c r="CO38" s="44">
        <f>MAX(0,CO36*Assumptions_Global!$E$11)</f>
        <v/>
      </c>
      <c r="CP38" s="44">
        <f>MAX(0,CP36*Assumptions_Global!$E$11)</f>
        <v/>
      </c>
      <c r="CQ38" s="44">
        <f>MAX(0,CQ36*Assumptions_Global!$E$11)</f>
        <v/>
      </c>
      <c r="CR38" s="44">
        <f>MAX(0,CR36*Assumptions_Global!$E$11)</f>
        <v/>
      </c>
      <c r="CS38" s="44">
        <f>MAX(0,CS36*Assumptions_Global!$E$11)</f>
        <v/>
      </c>
      <c r="CT38" s="44">
        <f>MAX(0,CT36*Assumptions_Global!$E$11)</f>
        <v/>
      </c>
      <c r="CU38" s="44">
        <f>MAX(0,CU36*Assumptions_Global!$E$11)</f>
        <v/>
      </c>
      <c r="CV38" s="44">
        <f>MAX(0,CV36*Assumptions_Global!$E$11)</f>
        <v/>
      </c>
      <c r="CW38" s="44">
        <f>MAX(0,CW36*Assumptions_Global!$E$11)</f>
        <v/>
      </c>
      <c r="CX38" s="44">
        <f>MAX(0,CX36*Assumptions_Global!$E$11)</f>
        <v/>
      </c>
      <c r="CY38" s="44">
        <f>MAX(0,CY36*Assumptions_Global!$E$11)</f>
        <v/>
      </c>
      <c r="CZ38" s="44">
        <f>MAX(0,CZ36*Assumptions_Global!$E$11)</f>
        <v/>
      </c>
      <c r="DA38" s="44">
        <f>MAX(0,DA36*Assumptions_Global!$E$11)</f>
        <v/>
      </c>
      <c r="DB38" s="44">
        <f>MAX(0,DB36*Assumptions_Global!$E$11)</f>
        <v/>
      </c>
      <c r="DC38" s="44">
        <f>MAX(0,DC36*Assumptions_Global!$E$11)</f>
        <v/>
      </c>
      <c r="DD38" s="44">
        <f>MAX(0,DD36*Assumptions_Global!$E$11)</f>
        <v/>
      </c>
      <c r="DE38" s="44">
        <f>MAX(0,DE36*Assumptions_Global!$E$11)</f>
        <v/>
      </c>
      <c r="DF38" s="44">
        <f>MAX(0,DF36*Assumptions_Global!$E$11)</f>
        <v/>
      </c>
      <c r="DG38" s="44">
        <f>MAX(0,DG36*Assumptions_Global!$E$11)</f>
        <v/>
      </c>
      <c r="DH38" s="44">
        <f>MAX(0,DH36*Assumptions_Global!$E$11)</f>
        <v/>
      </c>
      <c r="DI38" s="44">
        <f>MAX(0,DI36*Assumptions_Global!$E$11)</f>
        <v/>
      </c>
      <c r="DJ38" s="44">
        <f>MAX(0,DJ36*Assumptions_Global!$E$11)</f>
        <v/>
      </c>
      <c r="DK38" s="44">
        <f>MAX(0,DK36*Assumptions_Global!$E$11)</f>
        <v/>
      </c>
      <c r="DL38" s="44">
        <f>MAX(0,DL36*Assumptions_Global!$E$11)</f>
        <v/>
      </c>
      <c r="DM38" s="44">
        <f>MAX(0,DM36*Assumptions_Global!$E$11)</f>
        <v/>
      </c>
      <c r="DN38" s="44">
        <f>MAX(0,DN36*Assumptions_Global!$E$11)</f>
        <v/>
      </c>
      <c r="DO38" s="44">
        <f>MAX(0,DO36*Assumptions_Global!$E$11)</f>
        <v/>
      </c>
      <c r="DP38" s="44">
        <f>MAX(0,DP36*Assumptions_Global!$E$11)</f>
        <v/>
      </c>
      <c r="DQ38" s="44">
        <f>MAX(0,DQ36*Assumptions_Global!$E$11)</f>
        <v/>
      </c>
      <c r="DR38" s="44">
        <f>MAX(0,DR36*Assumptions_Global!$E$11)</f>
        <v/>
      </c>
      <c r="DS38" s="44">
        <f>MAX(0,DS36*Assumptions_Global!$E$11)</f>
        <v/>
      </c>
      <c r="DT38" s="44">
        <f>MAX(0,DT36*Assumptions_Global!$E$11)</f>
        <v/>
      </c>
      <c r="DU38" s="44">
        <f>MAX(0,DU36*Assumptions_Global!$E$11)</f>
        <v/>
      </c>
    </row>
    <row r="40">
      <c r="A40" s="49" t="inlineStr">
        <is>
          <t>Net Income</t>
        </is>
      </c>
      <c r="F40" s="50">
        <f>F36-F38</f>
        <v/>
      </c>
      <c r="G40" s="50">
        <f>G36-G38</f>
        <v/>
      </c>
      <c r="H40" s="50">
        <f>H36-H38</f>
        <v/>
      </c>
      <c r="I40" s="50">
        <f>I36-I38</f>
        <v/>
      </c>
      <c r="J40" s="50">
        <f>J36-J38</f>
        <v/>
      </c>
      <c r="K40" s="50">
        <f>K36-K38</f>
        <v/>
      </c>
      <c r="L40" s="50">
        <f>L36-L38</f>
        <v/>
      </c>
      <c r="M40" s="50">
        <f>M36-M38</f>
        <v/>
      </c>
      <c r="N40" s="50">
        <f>N36-N38</f>
        <v/>
      </c>
      <c r="O40" s="50">
        <f>O36-O38</f>
        <v/>
      </c>
      <c r="P40" s="50">
        <f>P36-P38</f>
        <v/>
      </c>
      <c r="Q40" s="50">
        <f>Q36-Q38</f>
        <v/>
      </c>
      <c r="R40" s="50">
        <f>R36-R38</f>
        <v/>
      </c>
      <c r="S40" s="50">
        <f>S36-S38</f>
        <v/>
      </c>
      <c r="T40" s="50">
        <f>T36-T38</f>
        <v/>
      </c>
      <c r="U40" s="50">
        <f>U36-U38</f>
        <v/>
      </c>
      <c r="V40" s="50">
        <f>V36-V38</f>
        <v/>
      </c>
      <c r="W40" s="50">
        <f>W36-W38</f>
        <v/>
      </c>
      <c r="X40" s="50">
        <f>X36-X38</f>
        <v/>
      </c>
      <c r="Y40" s="50">
        <f>Y36-Y38</f>
        <v/>
      </c>
      <c r="Z40" s="50">
        <f>Z36-Z38</f>
        <v/>
      </c>
      <c r="AA40" s="50">
        <f>AA36-AA38</f>
        <v/>
      </c>
      <c r="AB40" s="50">
        <f>AB36-AB38</f>
        <v/>
      </c>
      <c r="AC40" s="50">
        <f>AC36-AC38</f>
        <v/>
      </c>
      <c r="AD40" s="50">
        <f>AD36-AD38</f>
        <v/>
      </c>
      <c r="AE40" s="50">
        <f>AE36-AE38</f>
        <v/>
      </c>
      <c r="AF40" s="50">
        <f>AF36-AF38</f>
        <v/>
      </c>
      <c r="AG40" s="50">
        <f>AG36-AG38</f>
        <v/>
      </c>
      <c r="AH40" s="50">
        <f>AH36-AH38</f>
        <v/>
      </c>
      <c r="AI40" s="50">
        <f>AI36-AI38</f>
        <v/>
      </c>
      <c r="AJ40" s="50">
        <f>AJ36-AJ38</f>
        <v/>
      </c>
      <c r="AK40" s="50">
        <f>AK36-AK38</f>
        <v/>
      </c>
      <c r="AL40" s="50">
        <f>AL36-AL38</f>
        <v/>
      </c>
      <c r="AM40" s="50">
        <f>AM36-AM38</f>
        <v/>
      </c>
      <c r="AN40" s="50">
        <f>AN36-AN38</f>
        <v/>
      </c>
      <c r="AO40" s="50">
        <f>AO36-AO38</f>
        <v/>
      </c>
      <c r="AP40" s="50">
        <f>AP36-AP38</f>
        <v/>
      </c>
      <c r="AQ40" s="50">
        <f>AQ36-AQ38</f>
        <v/>
      </c>
      <c r="AR40" s="50">
        <f>AR36-AR38</f>
        <v/>
      </c>
      <c r="AS40" s="50">
        <f>AS36-AS38</f>
        <v/>
      </c>
      <c r="AT40" s="50">
        <f>AT36-AT38</f>
        <v/>
      </c>
      <c r="AU40" s="50">
        <f>AU36-AU38</f>
        <v/>
      </c>
      <c r="AV40" s="50">
        <f>AV36-AV38</f>
        <v/>
      </c>
      <c r="AW40" s="50">
        <f>AW36-AW38</f>
        <v/>
      </c>
      <c r="AX40" s="50">
        <f>AX36-AX38</f>
        <v/>
      </c>
      <c r="AY40" s="50">
        <f>AY36-AY38</f>
        <v/>
      </c>
      <c r="AZ40" s="50">
        <f>AZ36-AZ38</f>
        <v/>
      </c>
      <c r="BA40" s="50">
        <f>BA36-BA38</f>
        <v/>
      </c>
      <c r="BB40" s="50">
        <f>BB36-BB38</f>
        <v/>
      </c>
      <c r="BC40" s="50">
        <f>BC36-BC38</f>
        <v/>
      </c>
      <c r="BD40" s="50">
        <f>BD36-BD38</f>
        <v/>
      </c>
      <c r="BE40" s="50">
        <f>BE36-BE38</f>
        <v/>
      </c>
      <c r="BF40" s="50">
        <f>BF36-BF38</f>
        <v/>
      </c>
      <c r="BG40" s="50">
        <f>BG36-BG38</f>
        <v/>
      </c>
      <c r="BH40" s="50">
        <f>BH36-BH38</f>
        <v/>
      </c>
      <c r="BI40" s="50">
        <f>BI36-BI38</f>
        <v/>
      </c>
      <c r="BJ40" s="50">
        <f>BJ36-BJ38</f>
        <v/>
      </c>
      <c r="BK40" s="50">
        <f>BK36-BK38</f>
        <v/>
      </c>
      <c r="BL40" s="50">
        <f>BL36-BL38</f>
        <v/>
      </c>
      <c r="BM40" s="50">
        <f>BM36-BM38</f>
        <v/>
      </c>
      <c r="BN40" s="50">
        <f>BN36-BN38</f>
        <v/>
      </c>
      <c r="BO40" s="50">
        <f>BO36-BO38</f>
        <v/>
      </c>
      <c r="BP40" s="50">
        <f>BP36-BP38</f>
        <v/>
      </c>
      <c r="BQ40" s="50">
        <f>BQ36-BQ38</f>
        <v/>
      </c>
      <c r="BR40" s="50">
        <f>BR36-BR38</f>
        <v/>
      </c>
      <c r="BS40" s="50">
        <f>BS36-BS38</f>
        <v/>
      </c>
      <c r="BT40" s="50">
        <f>BT36-BT38</f>
        <v/>
      </c>
      <c r="BU40" s="50">
        <f>BU36-BU38</f>
        <v/>
      </c>
      <c r="BV40" s="50">
        <f>BV36-BV38</f>
        <v/>
      </c>
      <c r="BW40" s="50">
        <f>BW36-BW38</f>
        <v/>
      </c>
      <c r="BX40" s="50">
        <f>BX36-BX38</f>
        <v/>
      </c>
      <c r="BY40" s="50">
        <f>BY36-BY38</f>
        <v/>
      </c>
      <c r="BZ40" s="50">
        <f>BZ36-BZ38</f>
        <v/>
      </c>
      <c r="CA40" s="50">
        <f>CA36-CA38</f>
        <v/>
      </c>
      <c r="CB40" s="50">
        <f>CB36-CB38</f>
        <v/>
      </c>
      <c r="CC40" s="50">
        <f>CC36-CC38</f>
        <v/>
      </c>
      <c r="CD40" s="50">
        <f>CD36-CD38</f>
        <v/>
      </c>
      <c r="CE40" s="50">
        <f>CE36-CE38</f>
        <v/>
      </c>
      <c r="CF40" s="50">
        <f>CF36-CF38</f>
        <v/>
      </c>
      <c r="CG40" s="50">
        <f>CG36-CG38</f>
        <v/>
      </c>
      <c r="CH40" s="50">
        <f>CH36-CH38</f>
        <v/>
      </c>
      <c r="CI40" s="50">
        <f>CI36-CI38</f>
        <v/>
      </c>
      <c r="CJ40" s="50">
        <f>CJ36-CJ38</f>
        <v/>
      </c>
      <c r="CK40" s="50">
        <f>CK36-CK38</f>
        <v/>
      </c>
      <c r="CL40" s="50">
        <f>CL36-CL38</f>
        <v/>
      </c>
      <c r="CM40" s="50">
        <f>CM36-CM38</f>
        <v/>
      </c>
      <c r="CN40" s="50">
        <f>CN36-CN38</f>
        <v/>
      </c>
      <c r="CO40" s="50">
        <f>CO36-CO38</f>
        <v/>
      </c>
      <c r="CP40" s="50">
        <f>CP36-CP38</f>
        <v/>
      </c>
      <c r="CQ40" s="50">
        <f>CQ36-CQ38</f>
        <v/>
      </c>
      <c r="CR40" s="50">
        <f>CR36-CR38</f>
        <v/>
      </c>
      <c r="CS40" s="50">
        <f>CS36-CS38</f>
        <v/>
      </c>
      <c r="CT40" s="50">
        <f>CT36-CT38</f>
        <v/>
      </c>
      <c r="CU40" s="50">
        <f>CU36-CU38</f>
        <v/>
      </c>
      <c r="CV40" s="50">
        <f>CV36-CV38</f>
        <v/>
      </c>
      <c r="CW40" s="50">
        <f>CW36-CW38</f>
        <v/>
      </c>
      <c r="CX40" s="50">
        <f>CX36-CX38</f>
        <v/>
      </c>
      <c r="CY40" s="50">
        <f>CY36-CY38</f>
        <v/>
      </c>
      <c r="CZ40" s="50">
        <f>CZ36-CZ38</f>
        <v/>
      </c>
      <c r="DA40" s="50">
        <f>DA36-DA38</f>
        <v/>
      </c>
      <c r="DB40" s="50">
        <f>DB36-DB38</f>
        <v/>
      </c>
      <c r="DC40" s="50">
        <f>DC36-DC38</f>
        <v/>
      </c>
      <c r="DD40" s="50">
        <f>DD36-DD38</f>
        <v/>
      </c>
      <c r="DE40" s="50">
        <f>DE36-DE38</f>
        <v/>
      </c>
      <c r="DF40" s="50">
        <f>DF36-DF38</f>
        <v/>
      </c>
      <c r="DG40" s="50">
        <f>DG36-DG38</f>
        <v/>
      </c>
      <c r="DH40" s="50">
        <f>DH36-DH38</f>
        <v/>
      </c>
      <c r="DI40" s="50">
        <f>DI36-DI38</f>
        <v/>
      </c>
      <c r="DJ40" s="50">
        <f>DJ36-DJ38</f>
        <v/>
      </c>
      <c r="DK40" s="50">
        <f>DK36-DK38</f>
        <v/>
      </c>
      <c r="DL40" s="50">
        <f>DL36-DL38</f>
        <v/>
      </c>
      <c r="DM40" s="50">
        <f>DM36-DM38</f>
        <v/>
      </c>
      <c r="DN40" s="50">
        <f>DN36-DN38</f>
        <v/>
      </c>
      <c r="DO40" s="50">
        <f>DO36-DO38</f>
        <v/>
      </c>
      <c r="DP40" s="50">
        <f>DP36-DP38</f>
        <v/>
      </c>
      <c r="DQ40" s="50">
        <f>DQ36-DQ38</f>
        <v/>
      </c>
      <c r="DR40" s="50">
        <f>DR36-DR38</f>
        <v/>
      </c>
      <c r="DS40" s="50">
        <f>DS36-DS38</f>
        <v/>
      </c>
      <c r="DT40" s="50">
        <f>DT36-DT38</f>
        <v/>
      </c>
      <c r="DU40" s="50">
        <f>DU36-DU38</f>
        <v/>
      </c>
    </row>
    <row r="41">
      <c r="A41" t="inlineStr">
        <is>
          <t>Net margin %</t>
        </is>
      </c>
      <c r="F41" s="26">
        <f>F40/F13</f>
        <v/>
      </c>
      <c r="G41" s="26">
        <f>G40/G13</f>
        <v/>
      </c>
      <c r="H41" s="26">
        <f>H40/H13</f>
        <v/>
      </c>
      <c r="I41" s="26">
        <f>I40/I13</f>
        <v/>
      </c>
      <c r="J41" s="26">
        <f>J40/J13</f>
        <v/>
      </c>
      <c r="K41" s="26">
        <f>K40/K13</f>
        <v/>
      </c>
      <c r="L41" s="26">
        <f>L40/L13</f>
        <v/>
      </c>
      <c r="M41" s="26">
        <f>M40/M13</f>
        <v/>
      </c>
      <c r="N41" s="26">
        <f>N40/N13</f>
        <v/>
      </c>
      <c r="O41" s="26">
        <f>O40/O13</f>
        <v/>
      </c>
      <c r="P41" s="26">
        <f>P40/P13</f>
        <v/>
      </c>
      <c r="Q41" s="26">
        <f>Q40/Q13</f>
        <v/>
      </c>
      <c r="R41" s="26">
        <f>R40/R13</f>
        <v/>
      </c>
      <c r="S41" s="26">
        <f>S40/S13</f>
        <v/>
      </c>
      <c r="T41" s="26">
        <f>T40/T13</f>
        <v/>
      </c>
      <c r="U41" s="26">
        <f>U40/U13</f>
        <v/>
      </c>
      <c r="V41" s="26">
        <f>V40/V13</f>
        <v/>
      </c>
      <c r="W41" s="26">
        <f>W40/W13</f>
        <v/>
      </c>
      <c r="X41" s="26">
        <f>X40/X13</f>
        <v/>
      </c>
      <c r="Y41" s="26">
        <f>Y40/Y13</f>
        <v/>
      </c>
      <c r="Z41" s="26">
        <f>Z40/Z13</f>
        <v/>
      </c>
      <c r="AA41" s="26">
        <f>AA40/AA13</f>
        <v/>
      </c>
      <c r="AB41" s="26">
        <f>AB40/AB13</f>
        <v/>
      </c>
      <c r="AC41" s="26">
        <f>AC40/AC13</f>
        <v/>
      </c>
      <c r="AD41" s="26">
        <f>AD40/AD13</f>
        <v/>
      </c>
      <c r="AE41" s="26">
        <f>AE40/AE13</f>
        <v/>
      </c>
      <c r="AF41" s="26">
        <f>AF40/AF13</f>
        <v/>
      </c>
      <c r="AG41" s="26">
        <f>AG40/AG13</f>
        <v/>
      </c>
      <c r="AH41" s="26">
        <f>AH40/AH13</f>
        <v/>
      </c>
      <c r="AI41" s="26">
        <f>AI40/AI13</f>
        <v/>
      </c>
      <c r="AJ41" s="26">
        <f>AJ40/AJ13</f>
        <v/>
      </c>
      <c r="AK41" s="26">
        <f>AK40/AK13</f>
        <v/>
      </c>
      <c r="AL41" s="26">
        <f>AL40/AL13</f>
        <v/>
      </c>
      <c r="AM41" s="26">
        <f>AM40/AM13</f>
        <v/>
      </c>
      <c r="AN41" s="26">
        <f>AN40/AN13</f>
        <v/>
      </c>
      <c r="AO41" s="26">
        <f>AO40/AO13</f>
        <v/>
      </c>
      <c r="AP41" s="26">
        <f>AP40/AP13</f>
        <v/>
      </c>
      <c r="AQ41" s="26">
        <f>AQ40/AQ13</f>
        <v/>
      </c>
      <c r="AR41" s="26">
        <f>AR40/AR13</f>
        <v/>
      </c>
      <c r="AS41" s="26">
        <f>AS40/AS13</f>
        <v/>
      </c>
      <c r="AT41" s="26">
        <f>AT40/AT13</f>
        <v/>
      </c>
      <c r="AU41" s="26">
        <f>AU40/AU13</f>
        <v/>
      </c>
      <c r="AV41" s="26">
        <f>AV40/AV13</f>
        <v/>
      </c>
      <c r="AW41" s="26">
        <f>AW40/AW13</f>
        <v/>
      </c>
      <c r="AX41" s="26">
        <f>AX40/AX13</f>
        <v/>
      </c>
      <c r="AY41" s="26">
        <f>AY40/AY13</f>
        <v/>
      </c>
      <c r="AZ41" s="26">
        <f>AZ40/AZ13</f>
        <v/>
      </c>
      <c r="BA41" s="26">
        <f>BA40/BA13</f>
        <v/>
      </c>
      <c r="BB41" s="26">
        <f>BB40/BB13</f>
        <v/>
      </c>
      <c r="BC41" s="26">
        <f>BC40/BC13</f>
        <v/>
      </c>
      <c r="BD41" s="26">
        <f>BD40/BD13</f>
        <v/>
      </c>
      <c r="BE41" s="26">
        <f>BE40/BE13</f>
        <v/>
      </c>
      <c r="BF41" s="26">
        <f>BF40/BF13</f>
        <v/>
      </c>
      <c r="BG41" s="26">
        <f>BG40/BG13</f>
        <v/>
      </c>
      <c r="BH41" s="26">
        <f>BH40/BH13</f>
        <v/>
      </c>
      <c r="BI41" s="26">
        <f>BI40/BI13</f>
        <v/>
      </c>
      <c r="BJ41" s="26">
        <f>BJ40/BJ13</f>
        <v/>
      </c>
      <c r="BK41" s="26">
        <f>BK40/BK13</f>
        <v/>
      </c>
      <c r="BL41" s="26">
        <f>BL40/BL13</f>
        <v/>
      </c>
      <c r="BM41" s="26">
        <f>BM40/BM13</f>
        <v/>
      </c>
      <c r="BN41" s="26">
        <f>BN40/BN13</f>
        <v/>
      </c>
      <c r="BO41" s="26">
        <f>BO40/BO13</f>
        <v/>
      </c>
      <c r="BP41" s="26">
        <f>BP40/BP13</f>
        <v/>
      </c>
      <c r="BQ41" s="26">
        <f>BQ40/BQ13</f>
        <v/>
      </c>
      <c r="BR41" s="26">
        <f>BR40/BR13</f>
        <v/>
      </c>
      <c r="BS41" s="26">
        <f>BS40/BS13</f>
        <v/>
      </c>
      <c r="BT41" s="26">
        <f>BT40/BT13</f>
        <v/>
      </c>
      <c r="BU41" s="26">
        <f>BU40/BU13</f>
        <v/>
      </c>
      <c r="BV41" s="26">
        <f>BV40/BV13</f>
        <v/>
      </c>
      <c r="BW41" s="26">
        <f>BW40/BW13</f>
        <v/>
      </c>
      <c r="BX41" s="26">
        <f>BX40/BX13</f>
        <v/>
      </c>
      <c r="BY41" s="26">
        <f>BY40/BY13</f>
        <v/>
      </c>
      <c r="BZ41" s="26">
        <f>BZ40/BZ13</f>
        <v/>
      </c>
      <c r="CA41" s="26">
        <f>CA40/CA13</f>
        <v/>
      </c>
      <c r="CB41" s="26">
        <f>CB40/CB13</f>
        <v/>
      </c>
      <c r="CC41" s="26">
        <f>CC40/CC13</f>
        <v/>
      </c>
      <c r="CD41" s="26">
        <f>CD40/CD13</f>
        <v/>
      </c>
      <c r="CE41" s="26">
        <f>CE40/CE13</f>
        <v/>
      </c>
      <c r="CF41" s="26">
        <f>CF40/CF13</f>
        <v/>
      </c>
      <c r="CG41" s="26">
        <f>CG40/CG13</f>
        <v/>
      </c>
      <c r="CH41" s="26">
        <f>CH40/CH13</f>
        <v/>
      </c>
      <c r="CI41" s="26">
        <f>CI40/CI13</f>
        <v/>
      </c>
      <c r="CJ41" s="26">
        <f>CJ40/CJ13</f>
        <v/>
      </c>
      <c r="CK41" s="26">
        <f>CK40/CK13</f>
        <v/>
      </c>
      <c r="CL41" s="26">
        <f>CL40/CL13</f>
        <v/>
      </c>
      <c r="CM41" s="26">
        <f>CM40/CM13</f>
        <v/>
      </c>
      <c r="CN41" s="26">
        <f>CN40/CN13</f>
        <v/>
      </c>
      <c r="CO41" s="26">
        <f>CO40/CO13</f>
        <v/>
      </c>
      <c r="CP41" s="26">
        <f>CP40/CP13</f>
        <v/>
      </c>
      <c r="CQ41" s="26">
        <f>CQ40/CQ13</f>
        <v/>
      </c>
      <c r="CR41" s="26">
        <f>CR40/CR13</f>
        <v/>
      </c>
      <c r="CS41" s="26">
        <f>CS40/CS13</f>
        <v/>
      </c>
      <c r="CT41" s="26">
        <f>CT40/CT13</f>
        <v/>
      </c>
      <c r="CU41" s="26">
        <f>CU40/CU13</f>
        <v/>
      </c>
      <c r="CV41" s="26">
        <f>CV40/CV13</f>
        <v/>
      </c>
      <c r="CW41" s="26">
        <f>CW40/CW13</f>
        <v/>
      </c>
      <c r="CX41" s="26">
        <f>CX40/CX13</f>
        <v/>
      </c>
      <c r="CY41" s="26">
        <f>CY40/CY13</f>
        <v/>
      </c>
      <c r="CZ41" s="26">
        <f>CZ40/CZ13</f>
        <v/>
      </c>
      <c r="DA41" s="26">
        <f>DA40/DA13</f>
        <v/>
      </c>
      <c r="DB41" s="26">
        <f>DB40/DB13</f>
        <v/>
      </c>
      <c r="DC41" s="26">
        <f>DC40/DC13</f>
        <v/>
      </c>
      <c r="DD41" s="26">
        <f>DD40/DD13</f>
        <v/>
      </c>
      <c r="DE41" s="26">
        <f>DE40/DE13</f>
        <v/>
      </c>
      <c r="DF41" s="26">
        <f>DF40/DF13</f>
        <v/>
      </c>
      <c r="DG41" s="26">
        <f>DG40/DG13</f>
        <v/>
      </c>
      <c r="DH41" s="26">
        <f>DH40/DH13</f>
        <v/>
      </c>
      <c r="DI41" s="26">
        <f>DI40/DI13</f>
        <v/>
      </c>
      <c r="DJ41" s="26">
        <f>DJ40/DJ13</f>
        <v/>
      </c>
      <c r="DK41" s="26">
        <f>DK40/DK13</f>
        <v/>
      </c>
      <c r="DL41" s="26">
        <f>DL40/DL13</f>
        <v/>
      </c>
      <c r="DM41" s="26">
        <f>DM40/DM13</f>
        <v/>
      </c>
      <c r="DN41" s="26">
        <f>DN40/DN13</f>
        <v/>
      </c>
      <c r="DO41" s="26">
        <f>DO40/DO13</f>
        <v/>
      </c>
      <c r="DP41" s="26">
        <f>DP40/DP13</f>
        <v/>
      </c>
      <c r="DQ41" s="26">
        <f>DQ40/DQ13</f>
        <v/>
      </c>
      <c r="DR41" s="26">
        <f>DR40/DR13</f>
        <v/>
      </c>
      <c r="DS41" s="26">
        <f>DS40/DS13</f>
        <v/>
      </c>
      <c r="DT41" s="26">
        <f>DT40/DT13</f>
        <v/>
      </c>
      <c r="DU41" s="26">
        <f>DU40/DU13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U31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</cols>
  <sheetData>
    <row r="1" ht="25" customHeight="1">
      <c r="A1" s="1" t="inlineStr">
        <is>
          <t>CASH FLOW STATEMENT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10">
      <c r="A10" s="11" t="inlineStr">
        <is>
          <t>CASH FLOW STATEMENT</t>
        </is>
      </c>
      <c r="E10" s="47" t="inlineStr">
        <is>
          <t>M0</t>
        </is>
      </c>
    </row>
    <row r="12">
      <c r="A12" s="11" t="inlineStr">
        <is>
          <t>Operating Activities</t>
        </is>
      </c>
    </row>
    <row r="13">
      <c r="A13" t="inlineStr">
        <is>
          <t>Net income</t>
        </is>
      </c>
      <c r="F13" s="44">
        <f>PL!F40</f>
        <v/>
      </c>
      <c r="G13" s="44">
        <f>PL!G40</f>
        <v/>
      </c>
      <c r="H13" s="44">
        <f>PL!H40</f>
        <v/>
      </c>
      <c r="I13" s="44">
        <f>PL!I40</f>
        <v/>
      </c>
      <c r="J13" s="44">
        <f>PL!J40</f>
        <v/>
      </c>
      <c r="K13" s="44">
        <f>PL!K40</f>
        <v/>
      </c>
      <c r="L13" s="44">
        <f>PL!L40</f>
        <v/>
      </c>
      <c r="M13" s="44">
        <f>PL!M40</f>
        <v/>
      </c>
      <c r="N13" s="44">
        <f>PL!N40</f>
        <v/>
      </c>
      <c r="O13" s="44">
        <f>PL!O40</f>
        <v/>
      </c>
      <c r="P13" s="44">
        <f>PL!P40</f>
        <v/>
      </c>
      <c r="Q13" s="44">
        <f>PL!Q40</f>
        <v/>
      </c>
      <c r="R13" s="44">
        <f>PL!R40</f>
        <v/>
      </c>
      <c r="S13" s="44">
        <f>PL!S40</f>
        <v/>
      </c>
      <c r="T13" s="44">
        <f>PL!T40</f>
        <v/>
      </c>
      <c r="U13" s="44">
        <f>PL!U40</f>
        <v/>
      </c>
      <c r="V13" s="44">
        <f>PL!V40</f>
        <v/>
      </c>
      <c r="W13" s="44">
        <f>PL!W40</f>
        <v/>
      </c>
      <c r="X13" s="44">
        <f>PL!X40</f>
        <v/>
      </c>
      <c r="Y13" s="44">
        <f>PL!Y40</f>
        <v/>
      </c>
      <c r="Z13" s="44">
        <f>PL!Z40</f>
        <v/>
      </c>
      <c r="AA13" s="44">
        <f>PL!AA40</f>
        <v/>
      </c>
      <c r="AB13" s="44">
        <f>PL!AB40</f>
        <v/>
      </c>
      <c r="AC13" s="44">
        <f>PL!AC40</f>
        <v/>
      </c>
      <c r="AD13" s="44">
        <f>PL!AD40</f>
        <v/>
      </c>
      <c r="AE13" s="44">
        <f>PL!AE40</f>
        <v/>
      </c>
      <c r="AF13" s="44">
        <f>PL!AF40</f>
        <v/>
      </c>
      <c r="AG13" s="44">
        <f>PL!AG40</f>
        <v/>
      </c>
      <c r="AH13" s="44">
        <f>PL!AH40</f>
        <v/>
      </c>
      <c r="AI13" s="44">
        <f>PL!AI40</f>
        <v/>
      </c>
      <c r="AJ13" s="44">
        <f>PL!AJ40</f>
        <v/>
      </c>
      <c r="AK13" s="44">
        <f>PL!AK40</f>
        <v/>
      </c>
      <c r="AL13" s="44">
        <f>PL!AL40</f>
        <v/>
      </c>
      <c r="AM13" s="44">
        <f>PL!AM40</f>
        <v/>
      </c>
      <c r="AN13" s="44">
        <f>PL!AN40</f>
        <v/>
      </c>
      <c r="AO13" s="44">
        <f>PL!AO40</f>
        <v/>
      </c>
      <c r="AP13" s="44">
        <f>PL!AP40</f>
        <v/>
      </c>
      <c r="AQ13" s="44">
        <f>PL!AQ40</f>
        <v/>
      </c>
      <c r="AR13" s="44">
        <f>PL!AR40</f>
        <v/>
      </c>
      <c r="AS13" s="44">
        <f>PL!AS40</f>
        <v/>
      </c>
      <c r="AT13" s="44">
        <f>PL!AT40</f>
        <v/>
      </c>
      <c r="AU13" s="44">
        <f>PL!AU40</f>
        <v/>
      </c>
      <c r="AV13" s="44">
        <f>PL!AV40</f>
        <v/>
      </c>
      <c r="AW13" s="44">
        <f>PL!AW40</f>
        <v/>
      </c>
      <c r="AX13" s="44">
        <f>PL!AX40</f>
        <v/>
      </c>
      <c r="AY13" s="44">
        <f>PL!AY40</f>
        <v/>
      </c>
      <c r="AZ13" s="44">
        <f>PL!AZ40</f>
        <v/>
      </c>
      <c r="BA13" s="44">
        <f>PL!BA40</f>
        <v/>
      </c>
      <c r="BB13" s="44">
        <f>PL!BB40</f>
        <v/>
      </c>
      <c r="BC13" s="44">
        <f>PL!BC40</f>
        <v/>
      </c>
      <c r="BD13" s="44">
        <f>PL!BD40</f>
        <v/>
      </c>
      <c r="BE13" s="44">
        <f>PL!BE40</f>
        <v/>
      </c>
      <c r="BF13" s="44">
        <f>PL!BF40</f>
        <v/>
      </c>
      <c r="BG13" s="44">
        <f>PL!BG40</f>
        <v/>
      </c>
      <c r="BH13" s="44">
        <f>PL!BH40</f>
        <v/>
      </c>
      <c r="BI13" s="44">
        <f>PL!BI40</f>
        <v/>
      </c>
      <c r="BJ13" s="44">
        <f>PL!BJ40</f>
        <v/>
      </c>
      <c r="BK13" s="44">
        <f>PL!BK40</f>
        <v/>
      </c>
      <c r="BL13" s="44">
        <f>PL!BL40</f>
        <v/>
      </c>
      <c r="BM13" s="44">
        <f>PL!BM40</f>
        <v/>
      </c>
      <c r="BN13" s="44">
        <f>PL!BN40</f>
        <v/>
      </c>
      <c r="BO13" s="44">
        <f>PL!BO40</f>
        <v/>
      </c>
      <c r="BP13" s="44">
        <f>PL!BP40</f>
        <v/>
      </c>
      <c r="BQ13" s="44">
        <f>PL!BQ40</f>
        <v/>
      </c>
      <c r="BR13" s="44">
        <f>PL!BR40</f>
        <v/>
      </c>
      <c r="BS13" s="44">
        <f>PL!BS40</f>
        <v/>
      </c>
      <c r="BT13" s="44">
        <f>PL!BT40</f>
        <v/>
      </c>
      <c r="BU13" s="44">
        <f>PL!BU40</f>
        <v/>
      </c>
      <c r="BV13" s="44">
        <f>PL!BV40</f>
        <v/>
      </c>
      <c r="BW13" s="44">
        <f>PL!BW40</f>
        <v/>
      </c>
      <c r="BX13" s="44">
        <f>PL!BX40</f>
        <v/>
      </c>
      <c r="BY13" s="44">
        <f>PL!BY40</f>
        <v/>
      </c>
      <c r="BZ13" s="44">
        <f>PL!BZ40</f>
        <v/>
      </c>
      <c r="CA13" s="44">
        <f>PL!CA40</f>
        <v/>
      </c>
      <c r="CB13" s="44">
        <f>PL!CB40</f>
        <v/>
      </c>
      <c r="CC13" s="44">
        <f>PL!CC40</f>
        <v/>
      </c>
      <c r="CD13" s="44">
        <f>PL!CD40</f>
        <v/>
      </c>
      <c r="CE13" s="44">
        <f>PL!CE40</f>
        <v/>
      </c>
      <c r="CF13" s="44">
        <f>PL!CF40</f>
        <v/>
      </c>
      <c r="CG13" s="44">
        <f>PL!CG40</f>
        <v/>
      </c>
      <c r="CH13" s="44">
        <f>PL!CH40</f>
        <v/>
      </c>
      <c r="CI13" s="44">
        <f>PL!CI40</f>
        <v/>
      </c>
      <c r="CJ13" s="44">
        <f>PL!CJ40</f>
        <v/>
      </c>
      <c r="CK13" s="44">
        <f>PL!CK40</f>
        <v/>
      </c>
      <c r="CL13" s="44">
        <f>PL!CL40</f>
        <v/>
      </c>
      <c r="CM13" s="44">
        <f>PL!CM40</f>
        <v/>
      </c>
      <c r="CN13" s="44">
        <f>PL!CN40</f>
        <v/>
      </c>
      <c r="CO13" s="44">
        <f>PL!CO40</f>
        <v/>
      </c>
      <c r="CP13" s="44">
        <f>PL!CP40</f>
        <v/>
      </c>
      <c r="CQ13" s="44">
        <f>PL!CQ40</f>
        <v/>
      </c>
      <c r="CR13" s="44">
        <f>PL!CR40</f>
        <v/>
      </c>
      <c r="CS13" s="44">
        <f>PL!CS40</f>
        <v/>
      </c>
      <c r="CT13" s="44">
        <f>PL!CT40</f>
        <v/>
      </c>
      <c r="CU13" s="44">
        <f>PL!CU40</f>
        <v/>
      </c>
      <c r="CV13" s="44">
        <f>PL!CV40</f>
        <v/>
      </c>
      <c r="CW13" s="44">
        <f>PL!CW40</f>
        <v/>
      </c>
      <c r="CX13" s="44">
        <f>PL!CX40</f>
        <v/>
      </c>
      <c r="CY13" s="44">
        <f>PL!CY40</f>
        <v/>
      </c>
      <c r="CZ13" s="44">
        <f>PL!CZ40</f>
        <v/>
      </c>
      <c r="DA13" s="44">
        <f>PL!DA40</f>
        <v/>
      </c>
      <c r="DB13" s="44">
        <f>PL!DB40</f>
        <v/>
      </c>
      <c r="DC13" s="44">
        <f>PL!DC40</f>
        <v/>
      </c>
      <c r="DD13" s="44">
        <f>PL!DD40</f>
        <v/>
      </c>
      <c r="DE13" s="44">
        <f>PL!DE40</f>
        <v/>
      </c>
      <c r="DF13" s="44">
        <f>PL!DF40</f>
        <v/>
      </c>
      <c r="DG13" s="44">
        <f>PL!DG40</f>
        <v/>
      </c>
      <c r="DH13" s="44">
        <f>PL!DH40</f>
        <v/>
      </c>
      <c r="DI13" s="44">
        <f>PL!DI40</f>
        <v/>
      </c>
      <c r="DJ13" s="44">
        <f>PL!DJ40</f>
        <v/>
      </c>
      <c r="DK13" s="44">
        <f>PL!DK40</f>
        <v/>
      </c>
      <c r="DL13" s="44">
        <f>PL!DL40</f>
        <v/>
      </c>
      <c r="DM13" s="44">
        <f>PL!DM40</f>
        <v/>
      </c>
      <c r="DN13" s="44">
        <f>PL!DN40</f>
        <v/>
      </c>
      <c r="DO13" s="44">
        <f>PL!DO40</f>
        <v/>
      </c>
      <c r="DP13" s="44">
        <f>PL!DP40</f>
        <v/>
      </c>
      <c r="DQ13" s="44">
        <f>PL!DQ40</f>
        <v/>
      </c>
      <c r="DR13" s="44">
        <f>PL!DR40</f>
        <v/>
      </c>
      <c r="DS13" s="44">
        <f>PL!DS40</f>
        <v/>
      </c>
      <c r="DT13" s="44">
        <f>PL!DT40</f>
        <v/>
      </c>
      <c r="DU13" s="44">
        <f>PL!DU40</f>
        <v/>
      </c>
    </row>
    <row r="14">
      <c r="A14" t="inlineStr">
        <is>
          <t>Add: Depreciation</t>
        </is>
      </c>
      <c r="F14" s="44">
        <f>PL!F29</f>
        <v/>
      </c>
      <c r="G14" s="44">
        <f>PL!G29</f>
        <v/>
      </c>
      <c r="H14" s="44">
        <f>PL!H29</f>
        <v/>
      </c>
      <c r="I14" s="44">
        <f>PL!I29</f>
        <v/>
      </c>
      <c r="J14" s="44">
        <f>PL!J29</f>
        <v/>
      </c>
      <c r="K14" s="44">
        <f>PL!K29</f>
        <v/>
      </c>
      <c r="L14" s="44">
        <f>PL!L29</f>
        <v/>
      </c>
      <c r="M14" s="44">
        <f>PL!M29</f>
        <v/>
      </c>
      <c r="N14" s="44">
        <f>PL!N29</f>
        <v/>
      </c>
      <c r="O14" s="44">
        <f>PL!O29</f>
        <v/>
      </c>
      <c r="P14" s="44">
        <f>PL!P29</f>
        <v/>
      </c>
      <c r="Q14" s="44">
        <f>PL!Q29</f>
        <v/>
      </c>
      <c r="R14" s="44">
        <f>PL!R29</f>
        <v/>
      </c>
      <c r="S14" s="44">
        <f>PL!S29</f>
        <v/>
      </c>
      <c r="T14" s="44">
        <f>PL!T29</f>
        <v/>
      </c>
      <c r="U14" s="44">
        <f>PL!U29</f>
        <v/>
      </c>
      <c r="V14" s="44">
        <f>PL!V29</f>
        <v/>
      </c>
      <c r="W14" s="44">
        <f>PL!W29</f>
        <v/>
      </c>
      <c r="X14" s="44">
        <f>PL!X29</f>
        <v/>
      </c>
      <c r="Y14" s="44">
        <f>PL!Y29</f>
        <v/>
      </c>
      <c r="Z14" s="44">
        <f>PL!Z29</f>
        <v/>
      </c>
      <c r="AA14" s="44">
        <f>PL!AA29</f>
        <v/>
      </c>
      <c r="AB14" s="44">
        <f>PL!AB29</f>
        <v/>
      </c>
      <c r="AC14" s="44">
        <f>PL!AC29</f>
        <v/>
      </c>
      <c r="AD14" s="44">
        <f>PL!AD29</f>
        <v/>
      </c>
      <c r="AE14" s="44">
        <f>PL!AE29</f>
        <v/>
      </c>
      <c r="AF14" s="44">
        <f>PL!AF29</f>
        <v/>
      </c>
      <c r="AG14" s="44">
        <f>PL!AG29</f>
        <v/>
      </c>
      <c r="AH14" s="44">
        <f>PL!AH29</f>
        <v/>
      </c>
      <c r="AI14" s="44">
        <f>PL!AI29</f>
        <v/>
      </c>
      <c r="AJ14" s="44">
        <f>PL!AJ29</f>
        <v/>
      </c>
      <c r="AK14" s="44">
        <f>PL!AK29</f>
        <v/>
      </c>
      <c r="AL14" s="44">
        <f>PL!AL29</f>
        <v/>
      </c>
      <c r="AM14" s="44">
        <f>PL!AM29</f>
        <v/>
      </c>
      <c r="AN14" s="44">
        <f>PL!AN29</f>
        <v/>
      </c>
      <c r="AO14" s="44">
        <f>PL!AO29</f>
        <v/>
      </c>
      <c r="AP14" s="44">
        <f>PL!AP29</f>
        <v/>
      </c>
      <c r="AQ14" s="44">
        <f>PL!AQ29</f>
        <v/>
      </c>
      <c r="AR14" s="44">
        <f>PL!AR29</f>
        <v/>
      </c>
      <c r="AS14" s="44">
        <f>PL!AS29</f>
        <v/>
      </c>
      <c r="AT14" s="44">
        <f>PL!AT29</f>
        <v/>
      </c>
      <c r="AU14" s="44">
        <f>PL!AU29</f>
        <v/>
      </c>
      <c r="AV14" s="44">
        <f>PL!AV29</f>
        <v/>
      </c>
      <c r="AW14" s="44">
        <f>PL!AW29</f>
        <v/>
      </c>
      <c r="AX14" s="44">
        <f>PL!AX29</f>
        <v/>
      </c>
      <c r="AY14" s="44">
        <f>PL!AY29</f>
        <v/>
      </c>
      <c r="AZ14" s="44">
        <f>PL!AZ29</f>
        <v/>
      </c>
      <c r="BA14" s="44">
        <f>PL!BA29</f>
        <v/>
      </c>
      <c r="BB14" s="44">
        <f>PL!BB29</f>
        <v/>
      </c>
      <c r="BC14" s="44">
        <f>PL!BC29</f>
        <v/>
      </c>
      <c r="BD14" s="44">
        <f>PL!BD29</f>
        <v/>
      </c>
      <c r="BE14" s="44">
        <f>PL!BE29</f>
        <v/>
      </c>
      <c r="BF14" s="44">
        <f>PL!BF29</f>
        <v/>
      </c>
      <c r="BG14" s="44">
        <f>PL!BG29</f>
        <v/>
      </c>
      <c r="BH14" s="44">
        <f>PL!BH29</f>
        <v/>
      </c>
      <c r="BI14" s="44">
        <f>PL!BI29</f>
        <v/>
      </c>
      <c r="BJ14" s="44">
        <f>PL!BJ29</f>
        <v/>
      </c>
      <c r="BK14" s="44">
        <f>PL!BK29</f>
        <v/>
      </c>
      <c r="BL14" s="44">
        <f>PL!BL29</f>
        <v/>
      </c>
      <c r="BM14" s="44">
        <f>PL!BM29</f>
        <v/>
      </c>
      <c r="BN14" s="44">
        <f>PL!BN29</f>
        <v/>
      </c>
      <c r="BO14" s="44">
        <f>PL!BO29</f>
        <v/>
      </c>
      <c r="BP14" s="44">
        <f>PL!BP29</f>
        <v/>
      </c>
      <c r="BQ14" s="44">
        <f>PL!BQ29</f>
        <v/>
      </c>
      <c r="BR14" s="44">
        <f>PL!BR29</f>
        <v/>
      </c>
      <c r="BS14" s="44">
        <f>PL!BS29</f>
        <v/>
      </c>
      <c r="BT14" s="44">
        <f>PL!BT29</f>
        <v/>
      </c>
      <c r="BU14" s="44">
        <f>PL!BU29</f>
        <v/>
      </c>
      <c r="BV14" s="44">
        <f>PL!BV29</f>
        <v/>
      </c>
      <c r="BW14" s="44">
        <f>PL!BW29</f>
        <v/>
      </c>
      <c r="BX14" s="44">
        <f>PL!BX29</f>
        <v/>
      </c>
      <c r="BY14" s="44">
        <f>PL!BY29</f>
        <v/>
      </c>
      <c r="BZ14" s="44">
        <f>PL!BZ29</f>
        <v/>
      </c>
      <c r="CA14" s="44">
        <f>PL!CA29</f>
        <v/>
      </c>
      <c r="CB14" s="44">
        <f>PL!CB29</f>
        <v/>
      </c>
      <c r="CC14" s="44">
        <f>PL!CC29</f>
        <v/>
      </c>
      <c r="CD14" s="44">
        <f>PL!CD29</f>
        <v/>
      </c>
      <c r="CE14" s="44">
        <f>PL!CE29</f>
        <v/>
      </c>
      <c r="CF14" s="44">
        <f>PL!CF29</f>
        <v/>
      </c>
      <c r="CG14" s="44">
        <f>PL!CG29</f>
        <v/>
      </c>
      <c r="CH14" s="44">
        <f>PL!CH29</f>
        <v/>
      </c>
      <c r="CI14" s="44">
        <f>PL!CI29</f>
        <v/>
      </c>
      <c r="CJ14" s="44">
        <f>PL!CJ29</f>
        <v/>
      </c>
      <c r="CK14" s="44">
        <f>PL!CK29</f>
        <v/>
      </c>
      <c r="CL14" s="44">
        <f>PL!CL29</f>
        <v/>
      </c>
      <c r="CM14" s="44">
        <f>PL!CM29</f>
        <v/>
      </c>
      <c r="CN14" s="44">
        <f>PL!CN29</f>
        <v/>
      </c>
      <c r="CO14" s="44">
        <f>PL!CO29</f>
        <v/>
      </c>
      <c r="CP14" s="44">
        <f>PL!CP29</f>
        <v/>
      </c>
      <c r="CQ14" s="44">
        <f>PL!CQ29</f>
        <v/>
      </c>
      <c r="CR14" s="44">
        <f>PL!CR29</f>
        <v/>
      </c>
      <c r="CS14" s="44">
        <f>PL!CS29</f>
        <v/>
      </c>
      <c r="CT14" s="44">
        <f>PL!CT29</f>
        <v/>
      </c>
      <c r="CU14" s="44">
        <f>PL!CU29</f>
        <v/>
      </c>
      <c r="CV14" s="44">
        <f>PL!CV29</f>
        <v/>
      </c>
      <c r="CW14" s="44">
        <f>PL!CW29</f>
        <v/>
      </c>
      <c r="CX14" s="44">
        <f>PL!CX29</f>
        <v/>
      </c>
      <c r="CY14" s="44">
        <f>PL!CY29</f>
        <v/>
      </c>
      <c r="CZ14" s="44">
        <f>PL!CZ29</f>
        <v/>
      </c>
      <c r="DA14" s="44">
        <f>PL!DA29</f>
        <v/>
      </c>
      <c r="DB14" s="44">
        <f>PL!DB29</f>
        <v/>
      </c>
      <c r="DC14" s="44">
        <f>PL!DC29</f>
        <v/>
      </c>
      <c r="DD14" s="44">
        <f>PL!DD29</f>
        <v/>
      </c>
      <c r="DE14" s="44">
        <f>PL!DE29</f>
        <v/>
      </c>
      <c r="DF14" s="44">
        <f>PL!DF29</f>
        <v/>
      </c>
      <c r="DG14" s="44">
        <f>PL!DG29</f>
        <v/>
      </c>
      <c r="DH14" s="44">
        <f>PL!DH29</f>
        <v/>
      </c>
      <c r="DI14" s="44">
        <f>PL!DI29</f>
        <v/>
      </c>
      <c r="DJ14" s="44">
        <f>PL!DJ29</f>
        <v/>
      </c>
      <c r="DK14" s="44">
        <f>PL!DK29</f>
        <v/>
      </c>
      <c r="DL14" s="44">
        <f>PL!DL29</f>
        <v/>
      </c>
      <c r="DM14" s="44">
        <f>PL!DM29</f>
        <v/>
      </c>
      <c r="DN14" s="44">
        <f>PL!DN29</f>
        <v/>
      </c>
      <c r="DO14" s="44">
        <f>PL!DO29</f>
        <v/>
      </c>
      <c r="DP14" s="44">
        <f>PL!DP29</f>
        <v/>
      </c>
      <c r="DQ14" s="44">
        <f>PL!DQ29</f>
        <v/>
      </c>
      <c r="DR14" s="44">
        <f>PL!DR29</f>
        <v/>
      </c>
      <c r="DS14" s="44">
        <f>PL!DS29</f>
        <v/>
      </c>
      <c r="DT14" s="44">
        <f>PL!DT29</f>
        <v/>
      </c>
      <c r="DU14" s="44">
        <f>PL!DU29</f>
        <v/>
      </c>
    </row>
    <row r="15">
      <c r="A15" t="inlineStr">
        <is>
          <t>Less: Increase in working capital</t>
        </is>
      </c>
      <c r="F15" s="44">
        <f>-PL!F13*0.05</f>
        <v/>
      </c>
      <c r="G15" s="44">
        <f>-PL!G13*0.05</f>
        <v/>
      </c>
      <c r="H15" s="44">
        <f>-PL!H13*0.05</f>
        <v/>
      </c>
      <c r="I15" s="44">
        <f>-PL!I13*0.05</f>
        <v/>
      </c>
      <c r="J15" s="44">
        <f>-PL!J13*0.05</f>
        <v/>
      </c>
      <c r="K15" s="44">
        <f>-PL!K13*0.05</f>
        <v/>
      </c>
      <c r="L15" s="44">
        <f>-PL!L13*0.05</f>
        <v/>
      </c>
      <c r="M15" s="44">
        <f>-PL!M13*0.05</f>
        <v/>
      </c>
      <c r="N15" s="44">
        <f>-PL!N13*0.05</f>
        <v/>
      </c>
      <c r="O15" s="44">
        <f>-PL!O13*0.05</f>
        <v/>
      </c>
      <c r="P15" s="44">
        <f>-PL!P13*0.05</f>
        <v/>
      </c>
      <c r="Q15" s="44">
        <f>-PL!Q13*0.05</f>
        <v/>
      </c>
      <c r="R15" s="44">
        <f>-PL!R13*0.05</f>
        <v/>
      </c>
      <c r="S15" s="44">
        <f>-PL!S13*0.05</f>
        <v/>
      </c>
      <c r="T15" s="44">
        <f>-PL!T13*0.05</f>
        <v/>
      </c>
      <c r="U15" s="44">
        <f>-PL!U13*0.05</f>
        <v/>
      </c>
      <c r="V15" s="44">
        <f>-PL!V13*0.05</f>
        <v/>
      </c>
      <c r="W15" s="44">
        <f>-PL!W13*0.05</f>
        <v/>
      </c>
      <c r="X15" s="44">
        <f>-PL!X13*0.05</f>
        <v/>
      </c>
      <c r="Y15" s="44">
        <f>-PL!Y13*0.05</f>
        <v/>
      </c>
      <c r="Z15" s="44">
        <f>-PL!Z13*0.05</f>
        <v/>
      </c>
      <c r="AA15" s="44">
        <f>-PL!AA13*0.05</f>
        <v/>
      </c>
      <c r="AB15" s="44">
        <f>-PL!AB13*0.05</f>
        <v/>
      </c>
      <c r="AC15" s="44">
        <f>-PL!AC13*0.05</f>
        <v/>
      </c>
      <c r="AD15" s="44">
        <f>-PL!AD13*0.05</f>
        <v/>
      </c>
      <c r="AE15" s="44">
        <f>-PL!AE13*0.05</f>
        <v/>
      </c>
      <c r="AF15" s="44">
        <f>-PL!AF13*0.05</f>
        <v/>
      </c>
      <c r="AG15" s="44">
        <f>-PL!AG13*0.05</f>
        <v/>
      </c>
      <c r="AH15" s="44">
        <f>-PL!AH13*0.05</f>
        <v/>
      </c>
      <c r="AI15" s="44">
        <f>-PL!AI13*0.05</f>
        <v/>
      </c>
      <c r="AJ15" s="44">
        <f>-PL!AJ13*0.05</f>
        <v/>
      </c>
      <c r="AK15" s="44">
        <f>-PL!AK13*0.05</f>
        <v/>
      </c>
      <c r="AL15" s="44">
        <f>-PL!AL13*0.05</f>
        <v/>
      </c>
      <c r="AM15" s="44">
        <f>-PL!AM13*0.05</f>
        <v/>
      </c>
      <c r="AN15" s="44">
        <f>-PL!AN13*0.05</f>
        <v/>
      </c>
      <c r="AO15" s="44">
        <f>-PL!AO13*0.05</f>
        <v/>
      </c>
      <c r="AP15" s="44">
        <f>-PL!AP13*0.05</f>
        <v/>
      </c>
      <c r="AQ15" s="44">
        <f>-PL!AQ13*0.05</f>
        <v/>
      </c>
      <c r="AR15" s="44">
        <f>-PL!AR13*0.05</f>
        <v/>
      </c>
      <c r="AS15" s="44">
        <f>-PL!AS13*0.05</f>
        <v/>
      </c>
      <c r="AT15" s="44">
        <f>-PL!AT13*0.05</f>
        <v/>
      </c>
      <c r="AU15" s="44">
        <f>-PL!AU13*0.05</f>
        <v/>
      </c>
      <c r="AV15" s="44">
        <f>-PL!AV13*0.05</f>
        <v/>
      </c>
      <c r="AW15" s="44">
        <f>-PL!AW13*0.05</f>
        <v/>
      </c>
      <c r="AX15" s="44">
        <f>-PL!AX13*0.05</f>
        <v/>
      </c>
      <c r="AY15" s="44">
        <f>-PL!AY13*0.05</f>
        <v/>
      </c>
      <c r="AZ15" s="44">
        <f>-PL!AZ13*0.05</f>
        <v/>
      </c>
      <c r="BA15" s="44">
        <f>-PL!BA13*0.05</f>
        <v/>
      </c>
      <c r="BB15" s="44">
        <f>-PL!BB13*0.05</f>
        <v/>
      </c>
      <c r="BC15" s="44">
        <f>-PL!BC13*0.05</f>
        <v/>
      </c>
      <c r="BD15" s="44">
        <f>-PL!BD13*0.05</f>
        <v/>
      </c>
      <c r="BE15" s="44">
        <f>-PL!BE13*0.05</f>
        <v/>
      </c>
      <c r="BF15" s="44">
        <f>-PL!BF13*0.05</f>
        <v/>
      </c>
      <c r="BG15" s="44">
        <f>-PL!BG13*0.05</f>
        <v/>
      </c>
      <c r="BH15" s="44">
        <f>-PL!BH13*0.05</f>
        <v/>
      </c>
      <c r="BI15" s="44">
        <f>-PL!BI13*0.05</f>
        <v/>
      </c>
      <c r="BJ15" s="44">
        <f>-PL!BJ13*0.05</f>
        <v/>
      </c>
      <c r="BK15" s="44">
        <f>-PL!BK13*0.05</f>
        <v/>
      </c>
      <c r="BL15" s="44">
        <f>-PL!BL13*0.05</f>
        <v/>
      </c>
      <c r="BM15" s="44">
        <f>-PL!BM13*0.05</f>
        <v/>
      </c>
      <c r="BN15" s="44">
        <f>-PL!BN13*0.05</f>
        <v/>
      </c>
      <c r="BO15" s="44">
        <f>-PL!BO13*0.05</f>
        <v/>
      </c>
      <c r="BP15" s="44">
        <f>-PL!BP13*0.05</f>
        <v/>
      </c>
      <c r="BQ15" s="44">
        <f>-PL!BQ13*0.05</f>
        <v/>
      </c>
      <c r="BR15" s="44">
        <f>-PL!BR13*0.05</f>
        <v/>
      </c>
      <c r="BS15" s="44">
        <f>-PL!BS13*0.05</f>
        <v/>
      </c>
      <c r="BT15" s="44">
        <f>-PL!BT13*0.05</f>
        <v/>
      </c>
      <c r="BU15" s="44">
        <f>-PL!BU13*0.05</f>
        <v/>
      </c>
      <c r="BV15" s="44">
        <f>-PL!BV13*0.05</f>
        <v/>
      </c>
      <c r="BW15" s="44">
        <f>-PL!BW13*0.05</f>
        <v/>
      </c>
      <c r="BX15" s="44">
        <f>-PL!BX13*0.05</f>
        <v/>
      </c>
      <c r="BY15" s="44">
        <f>-PL!BY13*0.05</f>
        <v/>
      </c>
      <c r="BZ15" s="44">
        <f>-PL!BZ13*0.05</f>
        <v/>
      </c>
      <c r="CA15" s="44">
        <f>-PL!CA13*0.05</f>
        <v/>
      </c>
      <c r="CB15" s="44">
        <f>-PL!CB13*0.05</f>
        <v/>
      </c>
      <c r="CC15" s="44">
        <f>-PL!CC13*0.05</f>
        <v/>
      </c>
      <c r="CD15" s="44">
        <f>-PL!CD13*0.05</f>
        <v/>
      </c>
      <c r="CE15" s="44">
        <f>-PL!CE13*0.05</f>
        <v/>
      </c>
      <c r="CF15" s="44">
        <f>-PL!CF13*0.05</f>
        <v/>
      </c>
      <c r="CG15" s="44">
        <f>-PL!CG13*0.05</f>
        <v/>
      </c>
      <c r="CH15" s="44">
        <f>-PL!CH13*0.05</f>
        <v/>
      </c>
      <c r="CI15" s="44">
        <f>-PL!CI13*0.05</f>
        <v/>
      </c>
      <c r="CJ15" s="44">
        <f>-PL!CJ13*0.05</f>
        <v/>
      </c>
      <c r="CK15" s="44">
        <f>-PL!CK13*0.05</f>
        <v/>
      </c>
      <c r="CL15" s="44">
        <f>-PL!CL13*0.05</f>
        <v/>
      </c>
      <c r="CM15" s="44">
        <f>-PL!CM13*0.05</f>
        <v/>
      </c>
      <c r="CN15" s="44">
        <f>-PL!CN13*0.05</f>
        <v/>
      </c>
      <c r="CO15" s="44">
        <f>-PL!CO13*0.05</f>
        <v/>
      </c>
      <c r="CP15" s="44">
        <f>-PL!CP13*0.05</f>
        <v/>
      </c>
      <c r="CQ15" s="44">
        <f>-PL!CQ13*0.05</f>
        <v/>
      </c>
      <c r="CR15" s="44">
        <f>-PL!CR13*0.05</f>
        <v/>
      </c>
      <c r="CS15" s="44">
        <f>-PL!CS13*0.05</f>
        <v/>
      </c>
      <c r="CT15" s="44">
        <f>-PL!CT13*0.05</f>
        <v/>
      </c>
      <c r="CU15" s="44">
        <f>-PL!CU13*0.05</f>
        <v/>
      </c>
      <c r="CV15" s="44">
        <f>-PL!CV13*0.05</f>
        <v/>
      </c>
      <c r="CW15" s="44">
        <f>-PL!CW13*0.05</f>
        <v/>
      </c>
      <c r="CX15" s="44">
        <f>-PL!CX13*0.05</f>
        <v/>
      </c>
      <c r="CY15" s="44">
        <f>-PL!CY13*0.05</f>
        <v/>
      </c>
      <c r="CZ15" s="44">
        <f>-PL!CZ13*0.05</f>
        <v/>
      </c>
      <c r="DA15" s="44">
        <f>-PL!DA13*0.05</f>
        <v/>
      </c>
      <c r="DB15" s="44">
        <f>-PL!DB13*0.05</f>
        <v/>
      </c>
      <c r="DC15" s="44">
        <f>-PL!DC13*0.05</f>
        <v/>
      </c>
      <c r="DD15" s="44">
        <f>-PL!DD13*0.05</f>
        <v/>
      </c>
      <c r="DE15" s="44">
        <f>-PL!DE13*0.05</f>
        <v/>
      </c>
      <c r="DF15" s="44">
        <f>-PL!DF13*0.05</f>
        <v/>
      </c>
      <c r="DG15" s="44">
        <f>-PL!DG13*0.05</f>
        <v/>
      </c>
      <c r="DH15" s="44">
        <f>-PL!DH13*0.05</f>
        <v/>
      </c>
      <c r="DI15" s="44">
        <f>-PL!DI13*0.05</f>
        <v/>
      </c>
      <c r="DJ15" s="44">
        <f>-PL!DJ13*0.05</f>
        <v/>
      </c>
      <c r="DK15" s="44">
        <f>-PL!DK13*0.05</f>
        <v/>
      </c>
      <c r="DL15" s="44">
        <f>-PL!DL13*0.05</f>
        <v/>
      </c>
      <c r="DM15" s="44">
        <f>-PL!DM13*0.05</f>
        <v/>
      </c>
      <c r="DN15" s="44">
        <f>-PL!DN13*0.05</f>
        <v/>
      </c>
      <c r="DO15" s="44">
        <f>-PL!DO13*0.05</f>
        <v/>
      </c>
      <c r="DP15" s="44">
        <f>-PL!DP13*0.05</f>
        <v/>
      </c>
      <c r="DQ15" s="44">
        <f>-PL!DQ13*0.05</f>
        <v/>
      </c>
      <c r="DR15" s="44">
        <f>-PL!DR13*0.05</f>
        <v/>
      </c>
      <c r="DS15" s="44">
        <f>-PL!DS13*0.05</f>
        <v/>
      </c>
      <c r="DT15" s="44">
        <f>-PL!DT13*0.05</f>
        <v/>
      </c>
      <c r="DU15" s="44">
        <f>-PL!DU13*0.05</f>
        <v/>
      </c>
    </row>
    <row r="16">
      <c r="A16" s="8" t="inlineStr">
        <is>
          <t>Cash from operations</t>
        </is>
      </c>
      <c r="F16" s="48">
        <f>F13+F14+F15</f>
        <v/>
      </c>
      <c r="G16" s="48">
        <f>G13+G14+G15</f>
        <v/>
      </c>
      <c r="H16" s="48">
        <f>H13+H14+H15</f>
        <v/>
      </c>
      <c r="I16" s="48">
        <f>I13+I14+I15</f>
        <v/>
      </c>
      <c r="J16" s="48">
        <f>J13+J14+J15</f>
        <v/>
      </c>
      <c r="K16" s="48">
        <f>K13+K14+K15</f>
        <v/>
      </c>
      <c r="L16" s="48">
        <f>L13+L14+L15</f>
        <v/>
      </c>
      <c r="M16" s="48">
        <f>M13+M14+M15</f>
        <v/>
      </c>
      <c r="N16" s="48">
        <f>N13+N14+N15</f>
        <v/>
      </c>
      <c r="O16" s="48">
        <f>O13+O14+O15</f>
        <v/>
      </c>
      <c r="P16" s="48">
        <f>P13+P14+P15</f>
        <v/>
      </c>
      <c r="Q16" s="48">
        <f>Q13+Q14+Q15</f>
        <v/>
      </c>
      <c r="R16" s="48">
        <f>R13+R14+R15</f>
        <v/>
      </c>
      <c r="S16" s="48">
        <f>S13+S14+S15</f>
        <v/>
      </c>
      <c r="T16" s="48">
        <f>T13+T14+T15</f>
        <v/>
      </c>
      <c r="U16" s="48">
        <f>U13+U14+U15</f>
        <v/>
      </c>
      <c r="V16" s="48">
        <f>V13+V14+V15</f>
        <v/>
      </c>
      <c r="W16" s="48">
        <f>W13+W14+W15</f>
        <v/>
      </c>
      <c r="X16" s="48">
        <f>X13+X14+X15</f>
        <v/>
      </c>
      <c r="Y16" s="48">
        <f>Y13+Y14+Y15</f>
        <v/>
      </c>
      <c r="Z16" s="48">
        <f>Z13+Z14+Z15</f>
        <v/>
      </c>
      <c r="AA16" s="48">
        <f>AA13+AA14+AA15</f>
        <v/>
      </c>
      <c r="AB16" s="48">
        <f>AB13+AB14+AB15</f>
        <v/>
      </c>
      <c r="AC16" s="48">
        <f>AC13+AC14+AC15</f>
        <v/>
      </c>
      <c r="AD16" s="48">
        <f>AD13+AD14+AD15</f>
        <v/>
      </c>
      <c r="AE16" s="48">
        <f>AE13+AE14+AE15</f>
        <v/>
      </c>
      <c r="AF16" s="48">
        <f>AF13+AF14+AF15</f>
        <v/>
      </c>
      <c r="AG16" s="48">
        <f>AG13+AG14+AG15</f>
        <v/>
      </c>
      <c r="AH16" s="48">
        <f>AH13+AH14+AH15</f>
        <v/>
      </c>
      <c r="AI16" s="48">
        <f>AI13+AI14+AI15</f>
        <v/>
      </c>
      <c r="AJ16" s="48">
        <f>AJ13+AJ14+AJ15</f>
        <v/>
      </c>
      <c r="AK16" s="48">
        <f>AK13+AK14+AK15</f>
        <v/>
      </c>
      <c r="AL16" s="48">
        <f>AL13+AL14+AL15</f>
        <v/>
      </c>
      <c r="AM16" s="48">
        <f>AM13+AM14+AM15</f>
        <v/>
      </c>
      <c r="AN16" s="48">
        <f>AN13+AN14+AN15</f>
        <v/>
      </c>
      <c r="AO16" s="48">
        <f>AO13+AO14+AO15</f>
        <v/>
      </c>
      <c r="AP16" s="48">
        <f>AP13+AP14+AP15</f>
        <v/>
      </c>
      <c r="AQ16" s="48">
        <f>AQ13+AQ14+AQ15</f>
        <v/>
      </c>
      <c r="AR16" s="48">
        <f>AR13+AR14+AR15</f>
        <v/>
      </c>
      <c r="AS16" s="48">
        <f>AS13+AS14+AS15</f>
        <v/>
      </c>
      <c r="AT16" s="48">
        <f>AT13+AT14+AT15</f>
        <v/>
      </c>
      <c r="AU16" s="48">
        <f>AU13+AU14+AU15</f>
        <v/>
      </c>
      <c r="AV16" s="48">
        <f>AV13+AV14+AV15</f>
        <v/>
      </c>
      <c r="AW16" s="48">
        <f>AW13+AW14+AW15</f>
        <v/>
      </c>
      <c r="AX16" s="48">
        <f>AX13+AX14+AX15</f>
        <v/>
      </c>
      <c r="AY16" s="48">
        <f>AY13+AY14+AY15</f>
        <v/>
      </c>
      <c r="AZ16" s="48">
        <f>AZ13+AZ14+AZ15</f>
        <v/>
      </c>
      <c r="BA16" s="48">
        <f>BA13+BA14+BA15</f>
        <v/>
      </c>
      <c r="BB16" s="48">
        <f>BB13+BB14+BB15</f>
        <v/>
      </c>
      <c r="BC16" s="48">
        <f>BC13+BC14+BC15</f>
        <v/>
      </c>
      <c r="BD16" s="48">
        <f>BD13+BD14+BD15</f>
        <v/>
      </c>
      <c r="BE16" s="48">
        <f>BE13+BE14+BE15</f>
        <v/>
      </c>
      <c r="BF16" s="48">
        <f>BF13+BF14+BF15</f>
        <v/>
      </c>
      <c r="BG16" s="48">
        <f>BG13+BG14+BG15</f>
        <v/>
      </c>
      <c r="BH16" s="48">
        <f>BH13+BH14+BH15</f>
        <v/>
      </c>
      <c r="BI16" s="48">
        <f>BI13+BI14+BI15</f>
        <v/>
      </c>
      <c r="BJ16" s="48">
        <f>BJ13+BJ14+BJ15</f>
        <v/>
      </c>
      <c r="BK16" s="48">
        <f>BK13+BK14+BK15</f>
        <v/>
      </c>
      <c r="BL16" s="48">
        <f>BL13+BL14+BL15</f>
        <v/>
      </c>
      <c r="BM16" s="48">
        <f>BM13+BM14+BM15</f>
        <v/>
      </c>
      <c r="BN16" s="48">
        <f>BN13+BN14+BN15</f>
        <v/>
      </c>
      <c r="BO16" s="48">
        <f>BO13+BO14+BO15</f>
        <v/>
      </c>
      <c r="BP16" s="48">
        <f>BP13+BP14+BP15</f>
        <v/>
      </c>
      <c r="BQ16" s="48">
        <f>BQ13+BQ14+BQ15</f>
        <v/>
      </c>
      <c r="BR16" s="48">
        <f>BR13+BR14+BR15</f>
        <v/>
      </c>
      <c r="BS16" s="48">
        <f>BS13+BS14+BS15</f>
        <v/>
      </c>
      <c r="BT16" s="48">
        <f>BT13+BT14+BT15</f>
        <v/>
      </c>
      <c r="BU16" s="48">
        <f>BU13+BU14+BU15</f>
        <v/>
      </c>
      <c r="BV16" s="48">
        <f>BV13+BV14+BV15</f>
        <v/>
      </c>
      <c r="BW16" s="48">
        <f>BW13+BW14+BW15</f>
        <v/>
      </c>
      <c r="BX16" s="48">
        <f>BX13+BX14+BX15</f>
        <v/>
      </c>
      <c r="BY16" s="48">
        <f>BY13+BY14+BY15</f>
        <v/>
      </c>
      <c r="BZ16" s="48">
        <f>BZ13+BZ14+BZ15</f>
        <v/>
      </c>
      <c r="CA16" s="48">
        <f>CA13+CA14+CA15</f>
        <v/>
      </c>
      <c r="CB16" s="48">
        <f>CB13+CB14+CB15</f>
        <v/>
      </c>
      <c r="CC16" s="48">
        <f>CC13+CC14+CC15</f>
        <v/>
      </c>
      <c r="CD16" s="48">
        <f>CD13+CD14+CD15</f>
        <v/>
      </c>
      <c r="CE16" s="48">
        <f>CE13+CE14+CE15</f>
        <v/>
      </c>
      <c r="CF16" s="48">
        <f>CF13+CF14+CF15</f>
        <v/>
      </c>
      <c r="CG16" s="48">
        <f>CG13+CG14+CG15</f>
        <v/>
      </c>
      <c r="CH16" s="48">
        <f>CH13+CH14+CH15</f>
        <v/>
      </c>
      <c r="CI16" s="48">
        <f>CI13+CI14+CI15</f>
        <v/>
      </c>
      <c r="CJ16" s="48">
        <f>CJ13+CJ14+CJ15</f>
        <v/>
      </c>
      <c r="CK16" s="48">
        <f>CK13+CK14+CK15</f>
        <v/>
      </c>
      <c r="CL16" s="48">
        <f>CL13+CL14+CL15</f>
        <v/>
      </c>
      <c r="CM16" s="48">
        <f>CM13+CM14+CM15</f>
        <v/>
      </c>
      <c r="CN16" s="48">
        <f>CN13+CN14+CN15</f>
        <v/>
      </c>
      <c r="CO16" s="48">
        <f>CO13+CO14+CO15</f>
        <v/>
      </c>
      <c r="CP16" s="48">
        <f>CP13+CP14+CP15</f>
        <v/>
      </c>
      <c r="CQ16" s="48">
        <f>CQ13+CQ14+CQ15</f>
        <v/>
      </c>
      <c r="CR16" s="48">
        <f>CR13+CR14+CR15</f>
        <v/>
      </c>
      <c r="CS16" s="48">
        <f>CS13+CS14+CS15</f>
        <v/>
      </c>
      <c r="CT16" s="48">
        <f>CT13+CT14+CT15</f>
        <v/>
      </c>
      <c r="CU16" s="48">
        <f>CU13+CU14+CU15</f>
        <v/>
      </c>
      <c r="CV16" s="48">
        <f>CV13+CV14+CV15</f>
        <v/>
      </c>
      <c r="CW16" s="48">
        <f>CW13+CW14+CW15</f>
        <v/>
      </c>
      <c r="CX16" s="48">
        <f>CX13+CX14+CX15</f>
        <v/>
      </c>
      <c r="CY16" s="48">
        <f>CY13+CY14+CY15</f>
        <v/>
      </c>
      <c r="CZ16" s="48">
        <f>CZ13+CZ14+CZ15</f>
        <v/>
      </c>
      <c r="DA16" s="48">
        <f>DA13+DA14+DA15</f>
        <v/>
      </c>
      <c r="DB16" s="48">
        <f>DB13+DB14+DB15</f>
        <v/>
      </c>
      <c r="DC16" s="48">
        <f>DC13+DC14+DC15</f>
        <v/>
      </c>
      <c r="DD16" s="48">
        <f>DD13+DD14+DD15</f>
        <v/>
      </c>
      <c r="DE16" s="48">
        <f>DE13+DE14+DE15</f>
        <v/>
      </c>
      <c r="DF16" s="48">
        <f>DF13+DF14+DF15</f>
        <v/>
      </c>
      <c r="DG16" s="48">
        <f>DG13+DG14+DG15</f>
        <v/>
      </c>
      <c r="DH16" s="48">
        <f>DH13+DH14+DH15</f>
        <v/>
      </c>
      <c r="DI16" s="48">
        <f>DI13+DI14+DI15</f>
        <v/>
      </c>
      <c r="DJ16" s="48">
        <f>DJ13+DJ14+DJ15</f>
        <v/>
      </c>
      <c r="DK16" s="48">
        <f>DK13+DK14+DK15</f>
        <v/>
      </c>
      <c r="DL16" s="48">
        <f>DL13+DL14+DL15</f>
        <v/>
      </c>
      <c r="DM16" s="48">
        <f>DM13+DM14+DM15</f>
        <v/>
      </c>
      <c r="DN16" s="48">
        <f>DN13+DN14+DN15</f>
        <v/>
      </c>
      <c r="DO16" s="48">
        <f>DO13+DO14+DO15</f>
        <v/>
      </c>
      <c r="DP16" s="48">
        <f>DP13+DP14+DP15</f>
        <v/>
      </c>
      <c r="DQ16" s="48">
        <f>DQ13+DQ14+DQ15</f>
        <v/>
      </c>
      <c r="DR16" s="48">
        <f>DR13+DR14+DR15</f>
        <v/>
      </c>
      <c r="DS16" s="48">
        <f>DS13+DS14+DS15</f>
        <v/>
      </c>
      <c r="DT16" s="48">
        <f>DT13+DT14+DT15</f>
        <v/>
      </c>
      <c r="DU16" s="48">
        <f>DU13+DU14+DU15</f>
        <v/>
      </c>
    </row>
    <row r="18">
      <c r="A18" s="11" t="inlineStr">
        <is>
          <t>Investing Activities</t>
        </is>
      </c>
    </row>
    <row r="19">
      <c r="A19" t="inlineStr">
        <is>
          <t>Capital expenditures</t>
        </is>
      </c>
      <c r="F19" s="44">
        <f>-Capex_Schedule!F18</f>
        <v/>
      </c>
      <c r="G19" s="44">
        <f>-Capex_Schedule!G18</f>
        <v/>
      </c>
      <c r="H19" s="44">
        <f>-Capex_Schedule!H18</f>
        <v/>
      </c>
      <c r="I19" s="44">
        <f>-Capex_Schedule!I18</f>
        <v/>
      </c>
      <c r="J19" s="44">
        <f>-Capex_Schedule!J18</f>
        <v/>
      </c>
      <c r="K19" s="44">
        <f>-Capex_Schedule!K18</f>
        <v/>
      </c>
      <c r="L19" s="44">
        <f>-Capex_Schedule!L18</f>
        <v/>
      </c>
      <c r="M19" s="44">
        <f>-Capex_Schedule!M18</f>
        <v/>
      </c>
      <c r="N19" s="44">
        <f>-Capex_Schedule!N18</f>
        <v/>
      </c>
      <c r="O19" s="44">
        <f>-Capex_Schedule!O18</f>
        <v/>
      </c>
      <c r="P19" s="44">
        <f>-Capex_Schedule!P18</f>
        <v/>
      </c>
      <c r="Q19" s="44">
        <f>-Capex_Schedule!Q18</f>
        <v/>
      </c>
      <c r="R19" s="44">
        <f>-Capex_Schedule!R18</f>
        <v/>
      </c>
      <c r="S19" s="44">
        <f>-Capex_Schedule!S18</f>
        <v/>
      </c>
      <c r="T19" s="44">
        <f>-Capex_Schedule!T18</f>
        <v/>
      </c>
      <c r="U19" s="44">
        <f>-Capex_Schedule!U18</f>
        <v/>
      </c>
      <c r="V19" s="44">
        <f>-Capex_Schedule!V18</f>
        <v/>
      </c>
      <c r="W19" s="44">
        <f>-Capex_Schedule!W18</f>
        <v/>
      </c>
      <c r="X19" s="44">
        <f>-Capex_Schedule!X18</f>
        <v/>
      </c>
      <c r="Y19" s="44">
        <f>-Capex_Schedule!Y18</f>
        <v/>
      </c>
      <c r="Z19" s="44">
        <f>-Capex_Schedule!Z18</f>
        <v/>
      </c>
      <c r="AA19" s="44">
        <f>-Capex_Schedule!AA18</f>
        <v/>
      </c>
      <c r="AB19" s="44">
        <f>-Capex_Schedule!AB18</f>
        <v/>
      </c>
      <c r="AC19" s="44">
        <f>-Capex_Schedule!AC18</f>
        <v/>
      </c>
      <c r="AD19" s="44">
        <f>-Capex_Schedule!AD18</f>
        <v/>
      </c>
      <c r="AE19" s="44">
        <f>-Capex_Schedule!AE18</f>
        <v/>
      </c>
      <c r="AF19" s="44">
        <f>-Capex_Schedule!AF18</f>
        <v/>
      </c>
      <c r="AG19" s="44">
        <f>-Capex_Schedule!AG18</f>
        <v/>
      </c>
      <c r="AH19" s="44">
        <f>-Capex_Schedule!AH18</f>
        <v/>
      </c>
      <c r="AI19" s="44">
        <f>-Capex_Schedule!AI18</f>
        <v/>
      </c>
      <c r="AJ19" s="44">
        <f>-Capex_Schedule!AJ18</f>
        <v/>
      </c>
      <c r="AK19" s="44">
        <f>-Capex_Schedule!AK18</f>
        <v/>
      </c>
      <c r="AL19" s="44">
        <f>-Capex_Schedule!AL18</f>
        <v/>
      </c>
      <c r="AM19" s="44">
        <f>-Capex_Schedule!AM18</f>
        <v/>
      </c>
      <c r="AN19" s="44">
        <f>-Capex_Schedule!AN18</f>
        <v/>
      </c>
      <c r="AO19" s="44">
        <f>-Capex_Schedule!AO18</f>
        <v/>
      </c>
      <c r="AP19" s="44">
        <f>-Capex_Schedule!AP18</f>
        <v/>
      </c>
      <c r="AQ19" s="44">
        <f>-Capex_Schedule!AQ18</f>
        <v/>
      </c>
      <c r="AR19" s="44">
        <f>-Capex_Schedule!AR18</f>
        <v/>
      </c>
      <c r="AS19" s="44">
        <f>-Capex_Schedule!AS18</f>
        <v/>
      </c>
      <c r="AT19" s="44">
        <f>-Capex_Schedule!AT18</f>
        <v/>
      </c>
      <c r="AU19" s="44">
        <f>-Capex_Schedule!AU18</f>
        <v/>
      </c>
      <c r="AV19" s="44">
        <f>-Capex_Schedule!AV18</f>
        <v/>
      </c>
      <c r="AW19" s="44">
        <f>-Capex_Schedule!AW18</f>
        <v/>
      </c>
      <c r="AX19" s="44">
        <f>-Capex_Schedule!AX18</f>
        <v/>
      </c>
      <c r="AY19" s="44">
        <f>-Capex_Schedule!AY18</f>
        <v/>
      </c>
      <c r="AZ19" s="44">
        <f>-Capex_Schedule!AZ18</f>
        <v/>
      </c>
      <c r="BA19" s="44">
        <f>-Capex_Schedule!BA18</f>
        <v/>
      </c>
      <c r="BB19" s="44">
        <f>-Capex_Schedule!BB18</f>
        <v/>
      </c>
      <c r="BC19" s="44">
        <f>-Capex_Schedule!BC18</f>
        <v/>
      </c>
      <c r="BD19" s="44">
        <f>-Capex_Schedule!BD18</f>
        <v/>
      </c>
      <c r="BE19" s="44">
        <f>-Capex_Schedule!BE18</f>
        <v/>
      </c>
      <c r="BF19" s="44">
        <f>-Capex_Schedule!BF18</f>
        <v/>
      </c>
      <c r="BG19" s="44">
        <f>-Capex_Schedule!BG18</f>
        <v/>
      </c>
      <c r="BH19" s="44">
        <f>-Capex_Schedule!BH18</f>
        <v/>
      </c>
      <c r="BI19" s="44">
        <f>-Capex_Schedule!BI18</f>
        <v/>
      </c>
      <c r="BJ19" s="44">
        <f>-Capex_Schedule!BJ18</f>
        <v/>
      </c>
      <c r="BK19" s="44">
        <f>-Capex_Schedule!BK18</f>
        <v/>
      </c>
      <c r="BL19" s="44">
        <f>-Capex_Schedule!BL18</f>
        <v/>
      </c>
      <c r="BM19" s="44">
        <f>-Capex_Schedule!BM18</f>
        <v/>
      </c>
      <c r="BN19" s="44">
        <f>-Capex_Schedule!BN18</f>
        <v/>
      </c>
      <c r="BO19" s="44">
        <f>-Capex_Schedule!BO18</f>
        <v/>
      </c>
      <c r="BP19" s="44">
        <f>-Capex_Schedule!BP18</f>
        <v/>
      </c>
      <c r="BQ19" s="44">
        <f>-Capex_Schedule!BQ18</f>
        <v/>
      </c>
      <c r="BR19" s="44">
        <f>-Capex_Schedule!BR18</f>
        <v/>
      </c>
      <c r="BS19" s="44">
        <f>-Capex_Schedule!BS18</f>
        <v/>
      </c>
      <c r="BT19" s="44">
        <f>-Capex_Schedule!BT18</f>
        <v/>
      </c>
      <c r="BU19" s="44">
        <f>-Capex_Schedule!BU18</f>
        <v/>
      </c>
      <c r="BV19" s="44">
        <f>-Capex_Schedule!BV18</f>
        <v/>
      </c>
      <c r="BW19" s="44">
        <f>-Capex_Schedule!BW18</f>
        <v/>
      </c>
      <c r="BX19" s="44">
        <f>-Capex_Schedule!BX18</f>
        <v/>
      </c>
      <c r="BY19" s="44">
        <f>-Capex_Schedule!BY18</f>
        <v/>
      </c>
      <c r="BZ19" s="44">
        <f>-Capex_Schedule!BZ18</f>
        <v/>
      </c>
      <c r="CA19" s="44">
        <f>-Capex_Schedule!CA18</f>
        <v/>
      </c>
      <c r="CB19" s="44">
        <f>-Capex_Schedule!CB18</f>
        <v/>
      </c>
      <c r="CC19" s="44">
        <f>-Capex_Schedule!CC18</f>
        <v/>
      </c>
      <c r="CD19" s="44">
        <f>-Capex_Schedule!CD18</f>
        <v/>
      </c>
      <c r="CE19" s="44">
        <f>-Capex_Schedule!CE18</f>
        <v/>
      </c>
      <c r="CF19" s="44">
        <f>-Capex_Schedule!CF18</f>
        <v/>
      </c>
      <c r="CG19" s="44">
        <f>-Capex_Schedule!CG18</f>
        <v/>
      </c>
      <c r="CH19" s="44">
        <f>-Capex_Schedule!CH18</f>
        <v/>
      </c>
      <c r="CI19" s="44">
        <f>-Capex_Schedule!CI18</f>
        <v/>
      </c>
      <c r="CJ19" s="44">
        <f>-Capex_Schedule!CJ18</f>
        <v/>
      </c>
      <c r="CK19" s="44">
        <f>-Capex_Schedule!CK18</f>
        <v/>
      </c>
      <c r="CL19" s="44">
        <f>-Capex_Schedule!CL18</f>
        <v/>
      </c>
      <c r="CM19" s="44">
        <f>-Capex_Schedule!CM18</f>
        <v/>
      </c>
      <c r="CN19" s="44">
        <f>-Capex_Schedule!CN18</f>
        <v/>
      </c>
      <c r="CO19" s="44">
        <f>-Capex_Schedule!CO18</f>
        <v/>
      </c>
      <c r="CP19" s="44">
        <f>-Capex_Schedule!CP18</f>
        <v/>
      </c>
      <c r="CQ19" s="44">
        <f>-Capex_Schedule!CQ18</f>
        <v/>
      </c>
      <c r="CR19" s="44">
        <f>-Capex_Schedule!CR18</f>
        <v/>
      </c>
      <c r="CS19" s="44">
        <f>-Capex_Schedule!CS18</f>
        <v/>
      </c>
      <c r="CT19" s="44">
        <f>-Capex_Schedule!CT18</f>
        <v/>
      </c>
      <c r="CU19" s="44">
        <f>-Capex_Schedule!CU18</f>
        <v/>
      </c>
      <c r="CV19" s="44">
        <f>-Capex_Schedule!CV18</f>
        <v/>
      </c>
      <c r="CW19" s="44">
        <f>-Capex_Schedule!CW18</f>
        <v/>
      </c>
      <c r="CX19" s="44">
        <f>-Capex_Schedule!CX18</f>
        <v/>
      </c>
      <c r="CY19" s="44">
        <f>-Capex_Schedule!CY18</f>
        <v/>
      </c>
      <c r="CZ19" s="44">
        <f>-Capex_Schedule!CZ18</f>
        <v/>
      </c>
      <c r="DA19" s="44">
        <f>-Capex_Schedule!DA18</f>
        <v/>
      </c>
      <c r="DB19" s="44">
        <f>-Capex_Schedule!DB18</f>
        <v/>
      </c>
      <c r="DC19" s="44">
        <f>-Capex_Schedule!DC18</f>
        <v/>
      </c>
      <c r="DD19" s="44">
        <f>-Capex_Schedule!DD18</f>
        <v/>
      </c>
      <c r="DE19" s="44">
        <f>-Capex_Schedule!DE18</f>
        <v/>
      </c>
      <c r="DF19" s="44">
        <f>-Capex_Schedule!DF18</f>
        <v/>
      </c>
      <c r="DG19" s="44">
        <f>-Capex_Schedule!DG18</f>
        <v/>
      </c>
      <c r="DH19" s="44">
        <f>-Capex_Schedule!DH18</f>
        <v/>
      </c>
      <c r="DI19" s="44">
        <f>-Capex_Schedule!DI18</f>
        <v/>
      </c>
      <c r="DJ19" s="44">
        <f>-Capex_Schedule!DJ18</f>
        <v/>
      </c>
      <c r="DK19" s="44">
        <f>-Capex_Schedule!DK18</f>
        <v/>
      </c>
      <c r="DL19" s="44">
        <f>-Capex_Schedule!DL18</f>
        <v/>
      </c>
      <c r="DM19" s="44">
        <f>-Capex_Schedule!DM18</f>
        <v/>
      </c>
      <c r="DN19" s="44">
        <f>-Capex_Schedule!DN18</f>
        <v/>
      </c>
      <c r="DO19" s="44">
        <f>-Capex_Schedule!DO18</f>
        <v/>
      </c>
      <c r="DP19" s="44">
        <f>-Capex_Schedule!DP18</f>
        <v/>
      </c>
      <c r="DQ19" s="44">
        <f>-Capex_Schedule!DQ18</f>
        <v/>
      </c>
      <c r="DR19" s="44">
        <f>-Capex_Schedule!DR18</f>
        <v/>
      </c>
      <c r="DS19" s="44">
        <f>-Capex_Schedule!DS18</f>
        <v/>
      </c>
      <c r="DT19" s="44">
        <f>-Capex_Schedule!DT18</f>
        <v/>
      </c>
      <c r="DU19" s="44">
        <f>-Capex_Schedule!DU18</f>
        <v/>
      </c>
    </row>
    <row r="20">
      <c r="A20" s="8" t="inlineStr">
        <is>
          <t>Cash from investing</t>
        </is>
      </c>
      <c r="F20" s="45">
        <f>F19</f>
        <v/>
      </c>
      <c r="G20" s="45">
        <f>G19</f>
        <v/>
      </c>
      <c r="H20" s="45">
        <f>H19</f>
        <v/>
      </c>
      <c r="I20" s="45">
        <f>I19</f>
        <v/>
      </c>
      <c r="J20" s="45">
        <f>J19</f>
        <v/>
      </c>
      <c r="K20" s="45">
        <f>K19</f>
        <v/>
      </c>
      <c r="L20" s="45">
        <f>L19</f>
        <v/>
      </c>
      <c r="M20" s="45">
        <f>M19</f>
        <v/>
      </c>
      <c r="N20" s="45">
        <f>N19</f>
        <v/>
      </c>
      <c r="O20" s="45">
        <f>O19</f>
        <v/>
      </c>
      <c r="P20" s="45">
        <f>P19</f>
        <v/>
      </c>
      <c r="Q20" s="45">
        <f>Q19</f>
        <v/>
      </c>
      <c r="R20" s="45">
        <f>R19</f>
        <v/>
      </c>
      <c r="S20" s="45">
        <f>S19</f>
        <v/>
      </c>
      <c r="T20" s="45">
        <f>T19</f>
        <v/>
      </c>
      <c r="U20" s="45">
        <f>U19</f>
        <v/>
      </c>
      <c r="V20" s="45">
        <f>V19</f>
        <v/>
      </c>
      <c r="W20" s="45">
        <f>W19</f>
        <v/>
      </c>
      <c r="X20" s="45">
        <f>X19</f>
        <v/>
      </c>
      <c r="Y20" s="45">
        <f>Y19</f>
        <v/>
      </c>
      <c r="Z20" s="45">
        <f>Z19</f>
        <v/>
      </c>
      <c r="AA20" s="45">
        <f>AA19</f>
        <v/>
      </c>
      <c r="AB20" s="45">
        <f>AB19</f>
        <v/>
      </c>
      <c r="AC20" s="45">
        <f>AC19</f>
        <v/>
      </c>
      <c r="AD20" s="45">
        <f>AD19</f>
        <v/>
      </c>
      <c r="AE20" s="45">
        <f>AE19</f>
        <v/>
      </c>
      <c r="AF20" s="45">
        <f>AF19</f>
        <v/>
      </c>
      <c r="AG20" s="45">
        <f>AG19</f>
        <v/>
      </c>
      <c r="AH20" s="45">
        <f>AH19</f>
        <v/>
      </c>
      <c r="AI20" s="45">
        <f>AI19</f>
        <v/>
      </c>
      <c r="AJ20" s="45">
        <f>AJ19</f>
        <v/>
      </c>
      <c r="AK20" s="45">
        <f>AK19</f>
        <v/>
      </c>
      <c r="AL20" s="45">
        <f>AL19</f>
        <v/>
      </c>
      <c r="AM20" s="45">
        <f>AM19</f>
        <v/>
      </c>
      <c r="AN20" s="45">
        <f>AN19</f>
        <v/>
      </c>
      <c r="AO20" s="45">
        <f>AO19</f>
        <v/>
      </c>
      <c r="AP20" s="45">
        <f>AP19</f>
        <v/>
      </c>
      <c r="AQ20" s="45">
        <f>AQ19</f>
        <v/>
      </c>
      <c r="AR20" s="45">
        <f>AR19</f>
        <v/>
      </c>
      <c r="AS20" s="45">
        <f>AS19</f>
        <v/>
      </c>
      <c r="AT20" s="45">
        <f>AT19</f>
        <v/>
      </c>
      <c r="AU20" s="45">
        <f>AU19</f>
        <v/>
      </c>
      <c r="AV20" s="45">
        <f>AV19</f>
        <v/>
      </c>
      <c r="AW20" s="45">
        <f>AW19</f>
        <v/>
      </c>
      <c r="AX20" s="45">
        <f>AX19</f>
        <v/>
      </c>
      <c r="AY20" s="45">
        <f>AY19</f>
        <v/>
      </c>
      <c r="AZ20" s="45">
        <f>AZ19</f>
        <v/>
      </c>
      <c r="BA20" s="45">
        <f>BA19</f>
        <v/>
      </c>
      <c r="BB20" s="45">
        <f>BB19</f>
        <v/>
      </c>
      <c r="BC20" s="45">
        <f>BC19</f>
        <v/>
      </c>
      <c r="BD20" s="45">
        <f>BD19</f>
        <v/>
      </c>
      <c r="BE20" s="45">
        <f>BE19</f>
        <v/>
      </c>
      <c r="BF20" s="45">
        <f>BF19</f>
        <v/>
      </c>
      <c r="BG20" s="45">
        <f>BG19</f>
        <v/>
      </c>
      <c r="BH20" s="45">
        <f>BH19</f>
        <v/>
      </c>
      <c r="BI20" s="45">
        <f>BI19</f>
        <v/>
      </c>
      <c r="BJ20" s="45">
        <f>BJ19</f>
        <v/>
      </c>
      <c r="BK20" s="45">
        <f>BK19</f>
        <v/>
      </c>
      <c r="BL20" s="45">
        <f>BL19</f>
        <v/>
      </c>
      <c r="BM20" s="45">
        <f>BM19</f>
        <v/>
      </c>
      <c r="BN20" s="45">
        <f>BN19</f>
        <v/>
      </c>
      <c r="BO20" s="45">
        <f>BO19</f>
        <v/>
      </c>
      <c r="BP20" s="45">
        <f>BP19</f>
        <v/>
      </c>
      <c r="BQ20" s="45">
        <f>BQ19</f>
        <v/>
      </c>
      <c r="BR20" s="45">
        <f>BR19</f>
        <v/>
      </c>
      <c r="BS20" s="45">
        <f>BS19</f>
        <v/>
      </c>
      <c r="BT20" s="45">
        <f>BT19</f>
        <v/>
      </c>
      <c r="BU20" s="45">
        <f>BU19</f>
        <v/>
      </c>
      <c r="BV20" s="45">
        <f>BV19</f>
        <v/>
      </c>
      <c r="BW20" s="45">
        <f>BW19</f>
        <v/>
      </c>
      <c r="BX20" s="45">
        <f>BX19</f>
        <v/>
      </c>
      <c r="BY20" s="45">
        <f>BY19</f>
        <v/>
      </c>
      <c r="BZ20" s="45">
        <f>BZ19</f>
        <v/>
      </c>
      <c r="CA20" s="45">
        <f>CA19</f>
        <v/>
      </c>
      <c r="CB20" s="45">
        <f>CB19</f>
        <v/>
      </c>
      <c r="CC20" s="45">
        <f>CC19</f>
        <v/>
      </c>
      <c r="CD20" s="45">
        <f>CD19</f>
        <v/>
      </c>
      <c r="CE20" s="45">
        <f>CE19</f>
        <v/>
      </c>
      <c r="CF20" s="45">
        <f>CF19</f>
        <v/>
      </c>
      <c r="CG20" s="45">
        <f>CG19</f>
        <v/>
      </c>
      <c r="CH20" s="45">
        <f>CH19</f>
        <v/>
      </c>
      <c r="CI20" s="45">
        <f>CI19</f>
        <v/>
      </c>
      <c r="CJ20" s="45">
        <f>CJ19</f>
        <v/>
      </c>
      <c r="CK20" s="45">
        <f>CK19</f>
        <v/>
      </c>
      <c r="CL20" s="45">
        <f>CL19</f>
        <v/>
      </c>
      <c r="CM20" s="45">
        <f>CM19</f>
        <v/>
      </c>
      <c r="CN20" s="45">
        <f>CN19</f>
        <v/>
      </c>
      <c r="CO20" s="45">
        <f>CO19</f>
        <v/>
      </c>
      <c r="CP20" s="45">
        <f>CP19</f>
        <v/>
      </c>
      <c r="CQ20" s="45">
        <f>CQ19</f>
        <v/>
      </c>
      <c r="CR20" s="45">
        <f>CR19</f>
        <v/>
      </c>
      <c r="CS20" s="45">
        <f>CS19</f>
        <v/>
      </c>
      <c r="CT20" s="45">
        <f>CT19</f>
        <v/>
      </c>
      <c r="CU20" s="45">
        <f>CU19</f>
        <v/>
      </c>
      <c r="CV20" s="45">
        <f>CV19</f>
        <v/>
      </c>
      <c r="CW20" s="45">
        <f>CW19</f>
        <v/>
      </c>
      <c r="CX20" s="45">
        <f>CX19</f>
        <v/>
      </c>
      <c r="CY20" s="45">
        <f>CY19</f>
        <v/>
      </c>
      <c r="CZ20" s="45">
        <f>CZ19</f>
        <v/>
      </c>
      <c r="DA20" s="45">
        <f>DA19</f>
        <v/>
      </c>
      <c r="DB20" s="45">
        <f>DB19</f>
        <v/>
      </c>
      <c r="DC20" s="45">
        <f>DC19</f>
        <v/>
      </c>
      <c r="DD20" s="45">
        <f>DD19</f>
        <v/>
      </c>
      <c r="DE20" s="45">
        <f>DE19</f>
        <v/>
      </c>
      <c r="DF20" s="45">
        <f>DF19</f>
        <v/>
      </c>
      <c r="DG20" s="45">
        <f>DG19</f>
        <v/>
      </c>
      <c r="DH20" s="45">
        <f>DH19</f>
        <v/>
      </c>
      <c r="DI20" s="45">
        <f>DI19</f>
        <v/>
      </c>
      <c r="DJ20" s="45">
        <f>DJ19</f>
        <v/>
      </c>
      <c r="DK20" s="45">
        <f>DK19</f>
        <v/>
      </c>
      <c r="DL20" s="45">
        <f>DL19</f>
        <v/>
      </c>
      <c r="DM20" s="45">
        <f>DM19</f>
        <v/>
      </c>
      <c r="DN20" s="45">
        <f>DN19</f>
        <v/>
      </c>
      <c r="DO20" s="45">
        <f>DO19</f>
        <v/>
      </c>
      <c r="DP20" s="45">
        <f>DP19</f>
        <v/>
      </c>
      <c r="DQ20" s="45">
        <f>DQ19</f>
        <v/>
      </c>
      <c r="DR20" s="45">
        <f>DR19</f>
        <v/>
      </c>
      <c r="DS20" s="45">
        <f>DS19</f>
        <v/>
      </c>
      <c r="DT20" s="45">
        <f>DT19</f>
        <v/>
      </c>
      <c r="DU20" s="45">
        <f>DU19</f>
        <v/>
      </c>
    </row>
    <row r="22">
      <c r="A22" s="11" t="inlineStr">
        <is>
          <t>Financing Activities</t>
        </is>
      </c>
    </row>
    <row r="23">
      <c r="A23" t="inlineStr">
        <is>
          <t>Debt drawdown</t>
        </is>
      </c>
      <c r="F23" s="44">
        <f>Debt_Schedule!F19</f>
        <v/>
      </c>
      <c r="G23" s="44">
        <f>Debt_Schedule!G19</f>
        <v/>
      </c>
      <c r="H23" s="44">
        <f>Debt_Schedule!H19</f>
        <v/>
      </c>
      <c r="I23" s="44">
        <f>Debt_Schedule!I19</f>
        <v/>
      </c>
      <c r="J23" s="44">
        <f>Debt_Schedule!J19</f>
        <v/>
      </c>
      <c r="K23" s="44">
        <f>Debt_Schedule!K19</f>
        <v/>
      </c>
      <c r="L23" s="44">
        <f>Debt_Schedule!L19</f>
        <v/>
      </c>
      <c r="M23" s="44">
        <f>Debt_Schedule!M19</f>
        <v/>
      </c>
      <c r="N23" s="44">
        <f>Debt_Schedule!N19</f>
        <v/>
      </c>
      <c r="O23" s="44">
        <f>Debt_Schedule!O19</f>
        <v/>
      </c>
      <c r="P23" s="44">
        <f>Debt_Schedule!P19</f>
        <v/>
      </c>
      <c r="Q23" s="44">
        <f>Debt_Schedule!Q19</f>
        <v/>
      </c>
      <c r="R23" s="44">
        <f>Debt_Schedule!R19</f>
        <v/>
      </c>
      <c r="S23" s="44">
        <f>Debt_Schedule!S19</f>
        <v/>
      </c>
      <c r="T23" s="44">
        <f>Debt_Schedule!T19</f>
        <v/>
      </c>
      <c r="U23" s="44">
        <f>Debt_Schedule!U19</f>
        <v/>
      </c>
      <c r="V23" s="44">
        <f>Debt_Schedule!V19</f>
        <v/>
      </c>
      <c r="W23" s="44">
        <f>Debt_Schedule!W19</f>
        <v/>
      </c>
      <c r="X23" s="44">
        <f>Debt_Schedule!X19</f>
        <v/>
      </c>
      <c r="Y23" s="44">
        <f>Debt_Schedule!Y19</f>
        <v/>
      </c>
      <c r="Z23" s="44">
        <f>Debt_Schedule!Z19</f>
        <v/>
      </c>
      <c r="AA23" s="44">
        <f>Debt_Schedule!AA19</f>
        <v/>
      </c>
      <c r="AB23" s="44">
        <f>Debt_Schedule!AB19</f>
        <v/>
      </c>
      <c r="AC23" s="44">
        <f>Debt_Schedule!AC19</f>
        <v/>
      </c>
      <c r="AD23" s="44">
        <f>Debt_Schedule!AD19</f>
        <v/>
      </c>
      <c r="AE23" s="44">
        <f>Debt_Schedule!AE19</f>
        <v/>
      </c>
      <c r="AF23" s="44">
        <f>Debt_Schedule!AF19</f>
        <v/>
      </c>
      <c r="AG23" s="44">
        <f>Debt_Schedule!AG19</f>
        <v/>
      </c>
      <c r="AH23" s="44">
        <f>Debt_Schedule!AH19</f>
        <v/>
      </c>
      <c r="AI23" s="44">
        <f>Debt_Schedule!AI19</f>
        <v/>
      </c>
      <c r="AJ23" s="44">
        <f>Debt_Schedule!AJ19</f>
        <v/>
      </c>
      <c r="AK23" s="44">
        <f>Debt_Schedule!AK19</f>
        <v/>
      </c>
      <c r="AL23" s="44">
        <f>Debt_Schedule!AL19</f>
        <v/>
      </c>
      <c r="AM23" s="44">
        <f>Debt_Schedule!AM19</f>
        <v/>
      </c>
      <c r="AN23" s="44">
        <f>Debt_Schedule!AN19</f>
        <v/>
      </c>
      <c r="AO23" s="44">
        <f>Debt_Schedule!AO19</f>
        <v/>
      </c>
      <c r="AP23" s="44">
        <f>Debt_Schedule!AP19</f>
        <v/>
      </c>
      <c r="AQ23" s="44">
        <f>Debt_Schedule!AQ19</f>
        <v/>
      </c>
      <c r="AR23" s="44">
        <f>Debt_Schedule!AR19</f>
        <v/>
      </c>
      <c r="AS23" s="44">
        <f>Debt_Schedule!AS19</f>
        <v/>
      </c>
      <c r="AT23" s="44">
        <f>Debt_Schedule!AT19</f>
        <v/>
      </c>
      <c r="AU23" s="44">
        <f>Debt_Schedule!AU19</f>
        <v/>
      </c>
      <c r="AV23" s="44">
        <f>Debt_Schedule!AV19</f>
        <v/>
      </c>
      <c r="AW23" s="44">
        <f>Debt_Schedule!AW19</f>
        <v/>
      </c>
      <c r="AX23" s="44">
        <f>Debt_Schedule!AX19</f>
        <v/>
      </c>
      <c r="AY23" s="44">
        <f>Debt_Schedule!AY19</f>
        <v/>
      </c>
      <c r="AZ23" s="44">
        <f>Debt_Schedule!AZ19</f>
        <v/>
      </c>
      <c r="BA23" s="44">
        <f>Debt_Schedule!BA19</f>
        <v/>
      </c>
      <c r="BB23" s="44">
        <f>Debt_Schedule!BB19</f>
        <v/>
      </c>
      <c r="BC23" s="44">
        <f>Debt_Schedule!BC19</f>
        <v/>
      </c>
      <c r="BD23" s="44">
        <f>Debt_Schedule!BD19</f>
        <v/>
      </c>
      <c r="BE23" s="44">
        <f>Debt_Schedule!BE19</f>
        <v/>
      </c>
      <c r="BF23" s="44">
        <f>Debt_Schedule!BF19</f>
        <v/>
      </c>
      <c r="BG23" s="44">
        <f>Debt_Schedule!BG19</f>
        <v/>
      </c>
      <c r="BH23" s="44">
        <f>Debt_Schedule!BH19</f>
        <v/>
      </c>
      <c r="BI23" s="44">
        <f>Debt_Schedule!BI19</f>
        <v/>
      </c>
      <c r="BJ23" s="44">
        <f>Debt_Schedule!BJ19</f>
        <v/>
      </c>
      <c r="BK23" s="44">
        <f>Debt_Schedule!BK19</f>
        <v/>
      </c>
      <c r="BL23" s="44">
        <f>Debt_Schedule!BL19</f>
        <v/>
      </c>
      <c r="BM23" s="44">
        <f>Debt_Schedule!BM19</f>
        <v/>
      </c>
      <c r="BN23" s="44">
        <f>Debt_Schedule!BN19</f>
        <v/>
      </c>
      <c r="BO23" s="44">
        <f>Debt_Schedule!BO19</f>
        <v/>
      </c>
      <c r="BP23" s="44">
        <f>Debt_Schedule!BP19</f>
        <v/>
      </c>
      <c r="BQ23" s="44">
        <f>Debt_Schedule!BQ19</f>
        <v/>
      </c>
      <c r="BR23" s="44">
        <f>Debt_Schedule!BR19</f>
        <v/>
      </c>
      <c r="BS23" s="44">
        <f>Debt_Schedule!BS19</f>
        <v/>
      </c>
      <c r="BT23" s="44">
        <f>Debt_Schedule!BT19</f>
        <v/>
      </c>
      <c r="BU23" s="44">
        <f>Debt_Schedule!BU19</f>
        <v/>
      </c>
      <c r="BV23" s="44">
        <f>Debt_Schedule!BV19</f>
        <v/>
      </c>
      <c r="BW23" s="44">
        <f>Debt_Schedule!BW19</f>
        <v/>
      </c>
      <c r="BX23" s="44">
        <f>Debt_Schedule!BX19</f>
        <v/>
      </c>
      <c r="BY23" s="44">
        <f>Debt_Schedule!BY19</f>
        <v/>
      </c>
      <c r="BZ23" s="44">
        <f>Debt_Schedule!BZ19</f>
        <v/>
      </c>
      <c r="CA23" s="44">
        <f>Debt_Schedule!CA19</f>
        <v/>
      </c>
      <c r="CB23" s="44">
        <f>Debt_Schedule!CB19</f>
        <v/>
      </c>
      <c r="CC23" s="44">
        <f>Debt_Schedule!CC19</f>
        <v/>
      </c>
      <c r="CD23" s="44">
        <f>Debt_Schedule!CD19</f>
        <v/>
      </c>
      <c r="CE23" s="44">
        <f>Debt_Schedule!CE19</f>
        <v/>
      </c>
      <c r="CF23" s="44">
        <f>Debt_Schedule!CF19</f>
        <v/>
      </c>
      <c r="CG23" s="44">
        <f>Debt_Schedule!CG19</f>
        <v/>
      </c>
      <c r="CH23" s="44">
        <f>Debt_Schedule!CH19</f>
        <v/>
      </c>
      <c r="CI23" s="44">
        <f>Debt_Schedule!CI19</f>
        <v/>
      </c>
      <c r="CJ23" s="44">
        <f>Debt_Schedule!CJ19</f>
        <v/>
      </c>
      <c r="CK23" s="44">
        <f>Debt_Schedule!CK19</f>
        <v/>
      </c>
      <c r="CL23" s="44">
        <f>Debt_Schedule!CL19</f>
        <v/>
      </c>
      <c r="CM23" s="44">
        <f>Debt_Schedule!CM19</f>
        <v/>
      </c>
      <c r="CN23" s="44">
        <f>Debt_Schedule!CN19</f>
        <v/>
      </c>
      <c r="CO23" s="44">
        <f>Debt_Schedule!CO19</f>
        <v/>
      </c>
      <c r="CP23" s="44">
        <f>Debt_Schedule!CP19</f>
        <v/>
      </c>
      <c r="CQ23" s="44">
        <f>Debt_Schedule!CQ19</f>
        <v/>
      </c>
      <c r="CR23" s="44">
        <f>Debt_Schedule!CR19</f>
        <v/>
      </c>
      <c r="CS23" s="44">
        <f>Debt_Schedule!CS19</f>
        <v/>
      </c>
      <c r="CT23" s="44">
        <f>Debt_Schedule!CT19</f>
        <v/>
      </c>
      <c r="CU23" s="44">
        <f>Debt_Schedule!CU19</f>
        <v/>
      </c>
      <c r="CV23" s="44">
        <f>Debt_Schedule!CV19</f>
        <v/>
      </c>
      <c r="CW23" s="44">
        <f>Debt_Schedule!CW19</f>
        <v/>
      </c>
      <c r="CX23" s="44">
        <f>Debt_Schedule!CX19</f>
        <v/>
      </c>
      <c r="CY23" s="44">
        <f>Debt_Schedule!CY19</f>
        <v/>
      </c>
      <c r="CZ23" s="44">
        <f>Debt_Schedule!CZ19</f>
        <v/>
      </c>
      <c r="DA23" s="44">
        <f>Debt_Schedule!DA19</f>
        <v/>
      </c>
      <c r="DB23" s="44">
        <f>Debt_Schedule!DB19</f>
        <v/>
      </c>
      <c r="DC23" s="44">
        <f>Debt_Schedule!DC19</f>
        <v/>
      </c>
      <c r="DD23" s="44">
        <f>Debt_Schedule!DD19</f>
        <v/>
      </c>
      <c r="DE23" s="44">
        <f>Debt_Schedule!DE19</f>
        <v/>
      </c>
      <c r="DF23" s="44">
        <f>Debt_Schedule!DF19</f>
        <v/>
      </c>
      <c r="DG23" s="44">
        <f>Debt_Schedule!DG19</f>
        <v/>
      </c>
      <c r="DH23" s="44">
        <f>Debt_Schedule!DH19</f>
        <v/>
      </c>
      <c r="DI23" s="44">
        <f>Debt_Schedule!DI19</f>
        <v/>
      </c>
      <c r="DJ23" s="44">
        <f>Debt_Schedule!DJ19</f>
        <v/>
      </c>
      <c r="DK23" s="44">
        <f>Debt_Schedule!DK19</f>
        <v/>
      </c>
      <c r="DL23" s="44">
        <f>Debt_Schedule!DL19</f>
        <v/>
      </c>
      <c r="DM23" s="44">
        <f>Debt_Schedule!DM19</f>
        <v/>
      </c>
      <c r="DN23" s="44">
        <f>Debt_Schedule!DN19</f>
        <v/>
      </c>
      <c r="DO23" s="44">
        <f>Debt_Schedule!DO19</f>
        <v/>
      </c>
      <c r="DP23" s="44">
        <f>Debt_Schedule!DP19</f>
        <v/>
      </c>
      <c r="DQ23" s="44">
        <f>Debt_Schedule!DQ19</f>
        <v/>
      </c>
      <c r="DR23" s="44">
        <f>Debt_Schedule!DR19</f>
        <v/>
      </c>
      <c r="DS23" s="44">
        <f>Debt_Schedule!DS19</f>
        <v/>
      </c>
      <c r="DT23" s="44">
        <f>Debt_Schedule!DT19</f>
        <v/>
      </c>
      <c r="DU23" s="44">
        <f>Debt_Schedule!DU19</f>
        <v/>
      </c>
    </row>
    <row r="24">
      <c r="A24" t="inlineStr">
        <is>
          <t>Debt repayment</t>
        </is>
      </c>
      <c r="F24" s="44">
        <f>-Debt_Schedule!F21</f>
        <v/>
      </c>
      <c r="G24" s="44">
        <f>-Debt_Schedule!G21</f>
        <v/>
      </c>
      <c r="H24" s="44">
        <f>-Debt_Schedule!H21</f>
        <v/>
      </c>
      <c r="I24" s="44">
        <f>-Debt_Schedule!I21</f>
        <v/>
      </c>
      <c r="J24" s="44">
        <f>-Debt_Schedule!J21</f>
        <v/>
      </c>
      <c r="K24" s="44">
        <f>-Debt_Schedule!K21</f>
        <v/>
      </c>
      <c r="L24" s="44">
        <f>-Debt_Schedule!L21</f>
        <v/>
      </c>
      <c r="M24" s="44">
        <f>-Debt_Schedule!M21</f>
        <v/>
      </c>
      <c r="N24" s="44">
        <f>-Debt_Schedule!N21</f>
        <v/>
      </c>
      <c r="O24" s="44">
        <f>-Debt_Schedule!O21</f>
        <v/>
      </c>
      <c r="P24" s="44">
        <f>-Debt_Schedule!P21</f>
        <v/>
      </c>
      <c r="Q24" s="44">
        <f>-Debt_Schedule!Q21</f>
        <v/>
      </c>
      <c r="R24" s="44">
        <f>-Debt_Schedule!R21</f>
        <v/>
      </c>
      <c r="S24" s="44">
        <f>-Debt_Schedule!S21</f>
        <v/>
      </c>
      <c r="T24" s="44">
        <f>-Debt_Schedule!T21</f>
        <v/>
      </c>
      <c r="U24" s="44">
        <f>-Debt_Schedule!U21</f>
        <v/>
      </c>
      <c r="V24" s="44">
        <f>-Debt_Schedule!V21</f>
        <v/>
      </c>
      <c r="W24" s="44">
        <f>-Debt_Schedule!W21</f>
        <v/>
      </c>
      <c r="X24" s="44">
        <f>-Debt_Schedule!X21</f>
        <v/>
      </c>
      <c r="Y24" s="44">
        <f>-Debt_Schedule!Y21</f>
        <v/>
      </c>
      <c r="Z24" s="44">
        <f>-Debt_Schedule!Z21</f>
        <v/>
      </c>
      <c r="AA24" s="44">
        <f>-Debt_Schedule!AA21</f>
        <v/>
      </c>
      <c r="AB24" s="44">
        <f>-Debt_Schedule!AB21</f>
        <v/>
      </c>
      <c r="AC24" s="44">
        <f>-Debt_Schedule!AC21</f>
        <v/>
      </c>
      <c r="AD24" s="44">
        <f>-Debt_Schedule!AD21</f>
        <v/>
      </c>
      <c r="AE24" s="44">
        <f>-Debt_Schedule!AE21</f>
        <v/>
      </c>
      <c r="AF24" s="44">
        <f>-Debt_Schedule!AF21</f>
        <v/>
      </c>
      <c r="AG24" s="44">
        <f>-Debt_Schedule!AG21</f>
        <v/>
      </c>
      <c r="AH24" s="44">
        <f>-Debt_Schedule!AH21</f>
        <v/>
      </c>
      <c r="AI24" s="44">
        <f>-Debt_Schedule!AI21</f>
        <v/>
      </c>
      <c r="AJ24" s="44">
        <f>-Debt_Schedule!AJ21</f>
        <v/>
      </c>
      <c r="AK24" s="44">
        <f>-Debt_Schedule!AK21</f>
        <v/>
      </c>
      <c r="AL24" s="44">
        <f>-Debt_Schedule!AL21</f>
        <v/>
      </c>
      <c r="AM24" s="44">
        <f>-Debt_Schedule!AM21</f>
        <v/>
      </c>
      <c r="AN24" s="44">
        <f>-Debt_Schedule!AN21</f>
        <v/>
      </c>
      <c r="AO24" s="44">
        <f>-Debt_Schedule!AO21</f>
        <v/>
      </c>
      <c r="AP24" s="44">
        <f>-Debt_Schedule!AP21</f>
        <v/>
      </c>
      <c r="AQ24" s="44">
        <f>-Debt_Schedule!AQ21</f>
        <v/>
      </c>
      <c r="AR24" s="44">
        <f>-Debt_Schedule!AR21</f>
        <v/>
      </c>
      <c r="AS24" s="44">
        <f>-Debt_Schedule!AS21</f>
        <v/>
      </c>
      <c r="AT24" s="44">
        <f>-Debt_Schedule!AT21</f>
        <v/>
      </c>
      <c r="AU24" s="44">
        <f>-Debt_Schedule!AU21</f>
        <v/>
      </c>
      <c r="AV24" s="44">
        <f>-Debt_Schedule!AV21</f>
        <v/>
      </c>
      <c r="AW24" s="44">
        <f>-Debt_Schedule!AW21</f>
        <v/>
      </c>
      <c r="AX24" s="44">
        <f>-Debt_Schedule!AX21</f>
        <v/>
      </c>
      <c r="AY24" s="44">
        <f>-Debt_Schedule!AY21</f>
        <v/>
      </c>
      <c r="AZ24" s="44">
        <f>-Debt_Schedule!AZ21</f>
        <v/>
      </c>
      <c r="BA24" s="44">
        <f>-Debt_Schedule!BA21</f>
        <v/>
      </c>
      <c r="BB24" s="44">
        <f>-Debt_Schedule!BB21</f>
        <v/>
      </c>
      <c r="BC24" s="44">
        <f>-Debt_Schedule!BC21</f>
        <v/>
      </c>
      <c r="BD24" s="44">
        <f>-Debt_Schedule!BD21</f>
        <v/>
      </c>
      <c r="BE24" s="44">
        <f>-Debt_Schedule!BE21</f>
        <v/>
      </c>
      <c r="BF24" s="44">
        <f>-Debt_Schedule!BF21</f>
        <v/>
      </c>
      <c r="BG24" s="44">
        <f>-Debt_Schedule!BG21</f>
        <v/>
      </c>
      <c r="BH24" s="44">
        <f>-Debt_Schedule!BH21</f>
        <v/>
      </c>
      <c r="BI24" s="44">
        <f>-Debt_Schedule!BI21</f>
        <v/>
      </c>
      <c r="BJ24" s="44">
        <f>-Debt_Schedule!BJ21</f>
        <v/>
      </c>
      <c r="BK24" s="44">
        <f>-Debt_Schedule!BK21</f>
        <v/>
      </c>
      <c r="BL24" s="44">
        <f>-Debt_Schedule!BL21</f>
        <v/>
      </c>
      <c r="BM24" s="44">
        <f>-Debt_Schedule!BM21</f>
        <v/>
      </c>
      <c r="BN24" s="44">
        <f>-Debt_Schedule!BN21</f>
        <v/>
      </c>
      <c r="BO24" s="44">
        <f>-Debt_Schedule!BO21</f>
        <v/>
      </c>
      <c r="BP24" s="44">
        <f>-Debt_Schedule!BP21</f>
        <v/>
      </c>
      <c r="BQ24" s="44">
        <f>-Debt_Schedule!BQ21</f>
        <v/>
      </c>
      <c r="BR24" s="44">
        <f>-Debt_Schedule!BR21</f>
        <v/>
      </c>
      <c r="BS24" s="44">
        <f>-Debt_Schedule!BS21</f>
        <v/>
      </c>
      <c r="BT24" s="44">
        <f>-Debt_Schedule!BT21</f>
        <v/>
      </c>
      <c r="BU24" s="44">
        <f>-Debt_Schedule!BU21</f>
        <v/>
      </c>
      <c r="BV24" s="44">
        <f>-Debt_Schedule!BV21</f>
        <v/>
      </c>
      <c r="BW24" s="44">
        <f>-Debt_Schedule!BW21</f>
        <v/>
      </c>
      <c r="BX24" s="44">
        <f>-Debt_Schedule!BX21</f>
        <v/>
      </c>
      <c r="BY24" s="44">
        <f>-Debt_Schedule!BY21</f>
        <v/>
      </c>
      <c r="BZ24" s="44">
        <f>-Debt_Schedule!BZ21</f>
        <v/>
      </c>
      <c r="CA24" s="44">
        <f>-Debt_Schedule!CA21</f>
        <v/>
      </c>
      <c r="CB24" s="44">
        <f>-Debt_Schedule!CB21</f>
        <v/>
      </c>
      <c r="CC24" s="44">
        <f>-Debt_Schedule!CC21</f>
        <v/>
      </c>
      <c r="CD24" s="44">
        <f>-Debt_Schedule!CD21</f>
        <v/>
      </c>
      <c r="CE24" s="44">
        <f>-Debt_Schedule!CE21</f>
        <v/>
      </c>
      <c r="CF24" s="44">
        <f>-Debt_Schedule!CF21</f>
        <v/>
      </c>
      <c r="CG24" s="44">
        <f>-Debt_Schedule!CG21</f>
        <v/>
      </c>
      <c r="CH24" s="44">
        <f>-Debt_Schedule!CH21</f>
        <v/>
      </c>
      <c r="CI24" s="44">
        <f>-Debt_Schedule!CI21</f>
        <v/>
      </c>
      <c r="CJ24" s="44">
        <f>-Debt_Schedule!CJ21</f>
        <v/>
      </c>
      <c r="CK24" s="44">
        <f>-Debt_Schedule!CK21</f>
        <v/>
      </c>
      <c r="CL24" s="44">
        <f>-Debt_Schedule!CL21</f>
        <v/>
      </c>
      <c r="CM24" s="44">
        <f>-Debt_Schedule!CM21</f>
        <v/>
      </c>
      <c r="CN24" s="44">
        <f>-Debt_Schedule!CN21</f>
        <v/>
      </c>
      <c r="CO24" s="44">
        <f>-Debt_Schedule!CO21</f>
        <v/>
      </c>
      <c r="CP24" s="44">
        <f>-Debt_Schedule!CP21</f>
        <v/>
      </c>
      <c r="CQ24" s="44">
        <f>-Debt_Schedule!CQ21</f>
        <v/>
      </c>
      <c r="CR24" s="44">
        <f>-Debt_Schedule!CR21</f>
        <v/>
      </c>
      <c r="CS24" s="44">
        <f>-Debt_Schedule!CS21</f>
        <v/>
      </c>
      <c r="CT24" s="44">
        <f>-Debt_Schedule!CT21</f>
        <v/>
      </c>
      <c r="CU24" s="44">
        <f>-Debt_Schedule!CU21</f>
        <v/>
      </c>
      <c r="CV24" s="44">
        <f>-Debt_Schedule!CV21</f>
        <v/>
      </c>
      <c r="CW24" s="44">
        <f>-Debt_Schedule!CW21</f>
        <v/>
      </c>
      <c r="CX24" s="44">
        <f>-Debt_Schedule!CX21</f>
        <v/>
      </c>
      <c r="CY24" s="44">
        <f>-Debt_Schedule!CY21</f>
        <v/>
      </c>
      <c r="CZ24" s="44">
        <f>-Debt_Schedule!CZ21</f>
        <v/>
      </c>
      <c r="DA24" s="44">
        <f>-Debt_Schedule!DA21</f>
        <v/>
      </c>
      <c r="DB24" s="44">
        <f>-Debt_Schedule!DB21</f>
        <v/>
      </c>
      <c r="DC24" s="44">
        <f>-Debt_Schedule!DC21</f>
        <v/>
      </c>
      <c r="DD24" s="44">
        <f>-Debt_Schedule!DD21</f>
        <v/>
      </c>
      <c r="DE24" s="44">
        <f>-Debt_Schedule!DE21</f>
        <v/>
      </c>
      <c r="DF24" s="44">
        <f>-Debt_Schedule!DF21</f>
        <v/>
      </c>
      <c r="DG24" s="44">
        <f>-Debt_Schedule!DG21</f>
        <v/>
      </c>
      <c r="DH24" s="44">
        <f>-Debt_Schedule!DH21</f>
        <v/>
      </c>
      <c r="DI24" s="44">
        <f>-Debt_Schedule!DI21</f>
        <v/>
      </c>
      <c r="DJ24" s="44">
        <f>-Debt_Schedule!DJ21</f>
        <v/>
      </c>
      <c r="DK24" s="44">
        <f>-Debt_Schedule!DK21</f>
        <v/>
      </c>
      <c r="DL24" s="44">
        <f>-Debt_Schedule!DL21</f>
        <v/>
      </c>
      <c r="DM24" s="44">
        <f>-Debt_Schedule!DM21</f>
        <v/>
      </c>
      <c r="DN24" s="44">
        <f>-Debt_Schedule!DN21</f>
        <v/>
      </c>
      <c r="DO24" s="44">
        <f>-Debt_Schedule!DO21</f>
        <v/>
      </c>
      <c r="DP24" s="44">
        <f>-Debt_Schedule!DP21</f>
        <v/>
      </c>
      <c r="DQ24" s="44">
        <f>-Debt_Schedule!DQ21</f>
        <v/>
      </c>
      <c r="DR24" s="44">
        <f>-Debt_Schedule!DR21</f>
        <v/>
      </c>
      <c r="DS24" s="44">
        <f>-Debt_Schedule!DS21</f>
        <v/>
      </c>
      <c r="DT24" s="44">
        <f>-Debt_Schedule!DT21</f>
        <v/>
      </c>
      <c r="DU24" s="44">
        <f>-Debt_Schedule!DU21</f>
        <v/>
      </c>
    </row>
    <row r="25">
      <c r="A25" t="inlineStr">
        <is>
          <t>Equity injection</t>
        </is>
      </c>
      <c r="F25" s="44">
        <f>Equity!F16</f>
        <v/>
      </c>
      <c r="G25" s="44">
        <f>Equity!G16</f>
        <v/>
      </c>
      <c r="H25" s="44">
        <f>Equity!H16</f>
        <v/>
      </c>
      <c r="I25" s="44">
        <f>Equity!I16</f>
        <v/>
      </c>
      <c r="J25" s="44">
        <f>Equity!J16</f>
        <v/>
      </c>
      <c r="K25" s="44">
        <f>Equity!K16</f>
        <v/>
      </c>
      <c r="L25" s="44">
        <f>Equity!L16</f>
        <v/>
      </c>
      <c r="M25" s="44">
        <f>Equity!M16</f>
        <v/>
      </c>
      <c r="N25" s="44">
        <f>Equity!N16</f>
        <v/>
      </c>
      <c r="O25" s="44">
        <f>Equity!O16</f>
        <v/>
      </c>
      <c r="P25" s="44">
        <f>Equity!P16</f>
        <v/>
      </c>
      <c r="Q25" s="44">
        <f>Equity!Q16</f>
        <v/>
      </c>
      <c r="R25" s="44">
        <f>Equity!R16</f>
        <v/>
      </c>
      <c r="S25" s="44">
        <f>Equity!S16</f>
        <v/>
      </c>
      <c r="T25" s="44">
        <f>Equity!T16</f>
        <v/>
      </c>
      <c r="U25" s="44">
        <f>Equity!U16</f>
        <v/>
      </c>
      <c r="V25" s="44">
        <f>Equity!V16</f>
        <v/>
      </c>
      <c r="W25" s="44">
        <f>Equity!W16</f>
        <v/>
      </c>
      <c r="X25" s="44">
        <f>Equity!X16</f>
        <v/>
      </c>
      <c r="Y25" s="44">
        <f>Equity!Y16</f>
        <v/>
      </c>
      <c r="Z25" s="44">
        <f>Equity!Z16</f>
        <v/>
      </c>
      <c r="AA25" s="44">
        <f>Equity!AA16</f>
        <v/>
      </c>
      <c r="AB25" s="44">
        <f>Equity!AB16</f>
        <v/>
      </c>
      <c r="AC25" s="44">
        <f>Equity!AC16</f>
        <v/>
      </c>
      <c r="AD25" s="44">
        <f>Equity!AD16</f>
        <v/>
      </c>
      <c r="AE25" s="44">
        <f>Equity!AE16</f>
        <v/>
      </c>
      <c r="AF25" s="44">
        <f>Equity!AF16</f>
        <v/>
      </c>
      <c r="AG25" s="44">
        <f>Equity!AG16</f>
        <v/>
      </c>
      <c r="AH25" s="44">
        <f>Equity!AH16</f>
        <v/>
      </c>
      <c r="AI25" s="44">
        <f>Equity!AI16</f>
        <v/>
      </c>
      <c r="AJ25" s="44">
        <f>Equity!AJ16</f>
        <v/>
      </c>
      <c r="AK25" s="44">
        <f>Equity!AK16</f>
        <v/>
      </c>
      <c r="AL25" s="44">
        <f>Equity!AL16</f>
        <v/>
      </c>
      <c r="AM25" s="44">
        <f>Equity!AM16</f>
        <v/>
      </c>
      <c r="AN25" s="44">
        <f>Equity!AN16</f>
        <v/>
      </c>
      <c r="AO25" s="44">
        <f>Equity!AO16</f>
        <v/>
      </c>
      <c r="AP25" s="44">
        <f>Equity!AP16</f>
        <v/>
      </c>
      <c r="AQ25" s="44">
        <f>Equity!AQ16</f>
        <v/>
      </c>
      <c r="AR25" s="44">
        <f>Equity!AR16</f>
        <v/>
      </c>
      <c r="AS25" s="44">
        <f>Equity!AS16</f>
        <v/>
      </c>
      <c r="AT25" s="44">
        <f>Equity!AT16</f>
        <v/>
      </c>
      <c r="AU25" s="44">
        <f>Equity!AU16</f>
        <v/>
      </c>
      <c r="AV25" s="44">
        <f>Equity!AV16</f>
        <v/>
      </c>
      <c r="AW25" s="44">
        <f>Equity!AW16</f>
        <v/>
      </c>
      <c r="AX25" s="44">
        <f>Equity!AX16</f>
        <v/>
      </c>
      <c r="AY25" s="44">
        <f>Equity!AY16</f>
        <v/>
      </c>
      <c r="AZ25" s="44">
        <f>Equity!AZ16</f>
        <v/>
      </c>
      <c r="BA25" s="44">
        <f>Equity!BA16</f>
        <v/>
      </c>
      <c r="BB25" s="44">
        <f>Equity!BB16</f>
        <v/>
      </c>
      <c r="BC25" s="44">
        <f>Equity!BC16</f>
        <v/>
      </c>
      <c r="BD25" s="44">
        <f>Equity!BD16</f>
        <v/>
      </c>
      <c r="BE25" s="44">
        <f>Equity!BE16</f>
        <v/>
      </c>
      <c r="BF25" s="44">
        <f>Equity!BF16</f>
        <v/>
      </c>
      <c r="BG25" s="44">
        <f>Equity!BG16</f>
        <v/>
      </c>
      <c r="BH25" s="44">
        <f>Equity!BH16</f>
        <v/>
      </c>
      <c r="BI25" s="44">
        <f>Equity!BI16</f>
        <v/>
      </c>
      <c r="BJ25" s="44">
        <f>Equity!BJ16</f>
        <v/>
      </c>
      <c r="BK25" s="44">
        <f>Equity!BK16</f>
        <v/>
      </c>
      <c r="BL25" s="44">
        <f>Equity!BL16</f>
        <v/>
      </c>
      <c r="BM25" s="44">
        <f>Equity!BM16</f>
        <v/>
      </c>
      <c r="BN25" s="44">
        <f>Equity!BN16</f>
        <v/>
      </c>
      <c r="BO25" s="44">
        <f>Equity!BO16</f>
        <v/>
      </c>
      <c r="BP25" s="44">
        <f>Equity!BP16</f>
        <v/>
      </c>
      <c r="BQ25" s="44">
        <f>Equity!BQ16</f>
        <v/>
      </c>
      <c r="BR25" s="44">
        <f>Equity!BR16</f>
        <v/>
      </c>
      <c r="BS25" s="44">
        <f>Equity!BS16</f>
        <v/>
      </c>
      <c r="BT25" s="44">
        <f>Equity!BT16</f>
        <v/>
      </c>
      <c r="BU25" s="44">
        <f>Equity!BU16</f>
        <v/>
      </c>
      <c r="BV25" s="44">
        <f>Equity!BV16</f>
        <v/>
      </c>
      <c r="BW25" s="44">
        <f>Equity!BW16</f>
        <v/>
      </c>
      <c r="BX25" s="44">
        <f>Equity!BX16</f>
        <v/>
      </c>
      <c r="BY25" s="44">
        <f>Equity!BY16</f>
        <v/>
      </c>
      <c r="BZ25" s="44">
        <f>Equity!BZ16</f>
        <v/>
      </c>
      <c r="CA25" s="44">
        <f>Equity!CA16</f>
        <v/>
      </c>
      <c r="CB25" s="44">
        <f>Equity!CB16</f>
        <v/>
      </c>
      <c r="CC25" s="44">
        <f>Equity!CC16</f>
        <v/>
      </c>
      <c r="CD25" s="44">
        <f>Equity!CD16</f>
        <v/>
      </c>
      <c r="CE25" s="44">
        <f>Equity!CE16</f>
        <v/>
      </c>
      <c r="CF25" s="44">
        <f>Equity!CF16</f>
        <v/>
      </c>
      <c r="CG25" s="44">
        <f>Equity!CG16</f>
        <v/>
      </c>
      <c r="CH25" s="44">
        <f>Equity!CH16</f>
        <v/>
      </c>
      <c r="CI25" s="44">
        <f>Equity!CI16</f>
        <v/>
      </c>
      <c r="CJ25" s="44">
        <f>Equity!CJ16</f>
        <v/>
      </c>
      <c r="CK25" s="44">
        <f>Equity!CK16</f>
        <v/>
      </c>
      <c r="CL25" s="44">
        <f>Equity!CL16</f>
        <v/>
      </c>
      <c r="CM25" s="44">
        <f>Equity!CM16</f>
        <v/>
      </c>
      <c r="CN25" s="44">
        <f>Equity!CN16</f>
        <v/>
      </c>
      <c r="CO25" s="44">
        <f>Equity!CO16</f>
        <v/>
      </c>
      <c r="CP25" s="44">
        <f>Equity!CP16</f>
        <v/>
      </c>
      <c r="CQ25" s="44">
        <f>Equity!CQ16</f>
        <v/>
      </c>
      <c r="CR25" s="44">
        <f>Equity!CR16</f>
        <v/>
      </c>
      <c r="CS25" s="44">
        <f>Equity!CS16</f>
        <v/>
      </c>
      <c r="CT25" s="44">
        <f>Equity!CT16</f>
        <v/>
      </c>
      <c r="CU25" s="44">
        <f>Equity!CU16</f>
        <v/>
      </c>
      <c r="CV25" s="44">
        <f>Equity!CV16</f>
        <v/>
      </c>
      <c r="CW25" s="44">
        <f>Equity!CW16</f>
        <v/>
      </c>
      <c r="CX25" s="44">
        <f>Equity!CX16</f>
        <v/>
      </c>
      <c r="CY25" s="44">
        <f>Equity!CY16</f>
        <v/>
      </c>
      <c r="CZ25" s="44">
        <f>Equity!CZ16</f>
        <v/>
      </c>
      <c r="DA25" s="44">
        <f>Equity!DA16</f>
        <v/>
      </c>
      <c r="DB25" s="44">
        <f>Equity!DB16</f>
        <v/>
      </c>
      <c r="DC25" s="44">
        <f>Equity!DC16</f>
        <v/>
      </c>
      <c r="DD25" s="44">
        <f>Equity!DD16</f>
        <v/>
      </c>
      <c r="DE25" s="44">
        <f>Equity!DE16</f>
        <v/>
      </c>
      <c r="DF25" s="44">
        <f>Equity!DF16</f>
        <v/>
      </c>
      <c r="DG25" s="44">
        <f>Equity!DG16</f>
        <v/>
      </c>
      <c r="DH25" s="44">
        <f>Equity!DH16</f>
        <v/>
      </c>
      <c r="DI25" s="44">
        <f>Equity!DI16</f>
        <v/>
      </c>
      <c r="DJ25" s="44">
        <f>Equity!DJ16</f>
        <v/>
      </c>
      <c r="DK25" s="44">
        <f>Equity!DK16</f>
        <v/>
      </c>
      <c r="DL25" s="44">
        <f>Equity!DL16</f>
        <v/>
      </c>
      <c r="DM25" s="44">
        <f>Equity!DM16</f>
        <v/>
      </c>
      <c r="DN25" s="44">
        <f>Equity!DN16</f>
        <v/>
      </c>
      <c r="DO25" s="44">
        <f>Equity!DO16</f>
        <v/>
      </c>
      <c r="DP25" s="44">
        <f>Equity!DP16</f>
        <v/>
      </c>
      <c r="DQ25" s="44">
        <f>Equity!DQ16</f>
        <v/>
      </c>
      <c r="DR25" s="44">
        <f>Equity!DR16</f>
        <v/>
      </c>
      <c r="DS25" s="44">
        <f>Equity!DS16</f>
        <v/>
      </c>
      <c r="DT25" s="44">
        <f>Equity!DT16</f>
        <v/>
      </c>
      <c r="DU25" s="44">
        <f>Equity!DU16</f>
        <v/>
      </c>
    </row>
    <row r="26">
      <c r="A26" t="inlineStr">
        <is>
          <t>Dividends paid</t>
        </is>
      </c>
      <c r="F26" s="44">
        <f>-Equity!F18</f>
        <v/>
      </c>
      <c r="G26" s="44">
        <f>-Equity!G18</f>
        <v/>
      </c>
      <c r="H26" s="44">
        <f>-Equity!H18</f>
        <v/>
      </c>
      <c r="I26" s="44">
        <f>-Equity!I18</f>
        <v/>
      </c>
      <c r="J26" s="44">
        <f>-Equity!J18</f>
        <v/>
      </c>
      <c r="K26" s="44">
        <f>-Equity!K18</f>
        <v/>
      </c>
      <c r="L26" s="44">
        <f>-Equity!L18</f>
        <v/>
      </c>
      <c r="M26" s="44">
        <f>-Equity!M18</f>
        <v/>
      </c>
      <c r="N26" s="44">
        <f>-Equity!N18</f>
        <v/>
      </c>
      <c r="O26" s="44">
        <f>-Equity!O18</f>
        <v/>
      </c>
      <c r="P26" s="44">
        <f>-Equity!P18</f>
        <v/>
      </c>
      <c r="Q26" s="44">
        <f>-Equity!Q18</f>
        <v/>
      </c>
      <c r="R26" s="44">
        <f>-Equity!R18</f>
        <v/>
      </c>
      <c r="S26" s="44">
        <f>-Equity!S18</f>
        <v/>
      </c>
      <c r="T26" s="44">
        <f>-Equity!T18</f>
        <v/>
      </c>
      <c r="U26" s="44">
        <f>-Equity!U18</f>
        <v/>
      </c>
      <c r="V26" s="44">
        <f>-Equity!V18</f>
        <v/>
      </c>
      <c r="W26" s="44">
        <f>-Equity!W18</f>
        <v/>
      </c>
      <c r="X26" s="44">
        <f>-Equity!X18</f>
        <v/>
      </c>
      <c r="Y26" s="44">
        <f>-Equity!Y18</f>
        <v/>
      </c>
      <c r="Z26" s="44">
        <f>-Equity!Z18</f>
        <v/>
      </c>
      <c r="AA26" s="44">
        <f>-Equity!AA18</f>
        <v/>
      </c>
      <c r="AB26" s="44">
        <f>-Equity!AB18</f>
        <v/>
      </c>
      <c r="AC26" s="44">
        <f>-Equity!AC18</f>
        <v/>
      </c>
      <c r="AD26" s="44">
        <f>-Equity!AD18</f>
        <v/>
      </c>
      <c r="AE26" s="44">
        <f>-Equity!AE18</f>
        <v/>
      </c>
      <c r="AF26" s="44">
        <f>-Equity!AF18</f>
        <v/>
      </c>
      <c r="AG26" s="44">
        <f>-Equity!AG18</f>
        <v/>
      </c>
      <c r="AH26" s="44">
        <f>-Equity!AH18</f>
        <v/>
      </c>
      <c r="AI26" s="44">
        <f>-Equity!AI18</f>
        <v/>
      </c>
      <c r="AJ26" s="44">
        <f>-Equity!AJ18</f>
        <v/>
      </c>
      <c r="AK26" s="44">
        <f>-Equity!AK18</f>
        <v/>
      </c>
      <c r="AL26" s="44">
        <f>-Equity!AL18</f>
        <v/>
      </c>
      <c r="AM26" s="44">
        <f>-Equity!AM18</f>
        <v/>
      </c>
      <c r="AN26" s="44">
        <f>-Equity!AN18</f>
        <v/>
      </c>
      <c r="AO26" s="44">
        <f>-Equity!AO18</f>
        <v/>
      </c>
      <c r="AP26" s="44">
        <f>-Equity!AP18</f>
        <v/>
      </c>
      <c r="AQ26" s="44">
        <f>-Equity!AQ18</f>
        <v/>
      </c>
      <c r="AR26" s="44">
        <f>-Equity!AR18</f>
        <v/>
      </c>
      <c r="AS26" s="44">
        <f>-Equity!AS18</f>
        <v/>
      </c>
      <c r="AT26" s="44">
        <f>-Equity!AT18</f>
        <v/>
      </c>
      <c r="AU26" s="44">
        <f>-Equity!AU18</f>
        <v/>
      </c>
      <c r="AV26" s="44">
        <f>-Equity!AV18</f>
        <v/>
      </c>
      <c r="AW26" s="44">
        <f>-Equity!AW18</f>
        <v/>
      </c>
      <c r="AX26" s="44">
        <f>-Equity!AX18</f>
        <v/>
      </c>
      <c r="AY26" s="44">
        <f>-Equity!AY18</f>
        <v/>
      </c>
      <c r="AZ26" s="44">
        <f>-Equity!AZ18</f>
        <v/>
      </c>
      <c r="BA26" s="44">
        <f>-Equity!BA18</f>
        <v/>
      </c>
      <c r="BB26" s="44">
        <f>-Equity!BB18</f>
        <v/>
      </c>
      <c r="BC26" s="44">
        <f>-Equity!BC18</f>
        <v/>
      </c>
      <c r="BD26" s="44">
        <f>-Equity!BD18</f>
        <v/>
      </c>
      <c r="BE26" s="44">
        <f>-Equity!BE18</f>
        <v/>
      </c>
      <c r="BF26" s="44">
        <f>-Equity!BF18</f>
        <v/>
      </c>
      <c r="BG26" s="44">
        <f>-Equity!BG18</f>
        <v/>
      </c>
      <c r="BH26" s="44">
        <f>-Equity!BH18</f>
        <v/>
      </c>
      <c r="BI26" s="44">
        <f>-Equity!BI18</f>
        <v/>
      </c>
      <c r="BJ26" s="44">
        <f>-Equity!BJ18</f>
        <v/>
      </c>
      <c r="BK26" s="44">
        <f>-Equity!BK18</f>
        <v/>
      </c>
      <c r="BL26" s="44">
        <f>-Equity!BL18</f>
        <v/>
      </c>
      <c r="BM26" s="44">
        <f>-Equity!BM18</f>
        <v/>
      </c>
      <c r="BN26" s="44">
        <f>-Equity!BN18</f>
        <v/>
      </c>
      <c r="BO26" s="44">
        <f>-Equity!BO18</f>
        <v/>
      </c>
      <c r="BP26" s="44">
        <f>-Equity!BP18</f>
        <v/>
      </c>
      <c r="BQ26" s="44">
        <f>-Equity!BQ18</f>
        <v/>
      </c>
      <c r="BR26" s="44">
        <f>-Equity!BR18</f>
        <v/>
      </c>
      <c r="BS26" s="44">
        <f>-Equity!BS18</f>
        <v/>
      </c>
      <c r="BT26" s="44">
        <f>-Equity!BT18</f>
        <v/>
      </c>
      <c r="BU26" s="44">
        <f>-Equity!BU18</f>
        <v/>
      </c>
      <c r="BV26" s="44">
        <f>-Equity!BV18</f>
        <v/>
      </c>
      <c r="BW26" s="44">
        <f>-Equity!BW18</f>
        <v/>
      </c>
      <c r="BX26" s="44">
        <f>-Equity!BX18</f>
        <v/>
      </c>
      <c r="BY26" s="44">
        <f>-Equity!BY18</f>
        <v/>
      </c>
      <c r="BZ26" s="44">
        <f>-Equity!BZ18</f>
        <v/>
      </c>
      <c r="CA26" s="44">
        <f>-Equity!CA18</f>
        <v/>
      </c>
      <c r="CB26" s="44">
        <f>-Equity!CB18</f>
        <v/>
      </c>
      <c r="CC26" s="44">
        <f>-Equity!CC18</f>
        <v/>
      </c>
      <c r="CD26" s="44">
        <f>-Equity!CD18</f>
        <v/>
      </c>
      <c r="CE26" s="44">
        <f>-Equity!CE18</f>
        <v/>
      </c>
      <c r="CF26" s="44">
        <f>-Equity!CF18</f>
        <v/>
      </c>
      <c r="CG26" s="44">
        <f>-Equity!CG18</f>
        <v/>
      </c>
      <c r="CH26" s="44">
        <f>-Equity!CH18</f>
        <v/>
      </c>
      <c r="CI26" s="44">
        <f>-Equity!CI18</f>
        <v/>
      </c>
      <c r="CJ26" s="44">
        <f>-Equity!CJ18</f>
        <v/>
      </c>
      <c r="CK26" s="44">
        <f>-Equity!CK18</f>
        <v/>
      </c>
      <c r="CL26" s="44">
        <f>-Equity!CL18</f>
        <v/>
      </c>
      <c r="CM26" s="44">
        <f>-Equity!CM18</f>
        <v/>
      </c>
      <c r="CN26" s="44">
        <f>-Equity!CN18</f>
        <v/>
      </c>
      <c r="CO26" s="44">
        <f>-Equity!CO18</f>
        <v/>
      </c>
      <c r="CP26" s="44">
        <f>-Equity!CP18</f>
        <v/>
      </c>
      <c r="CQ26" s="44">
        <f>-Equity!CQ18</f>
        <v/>
      </c>
      <c r="CR26" s="44">
        <f>-Equity!CR18</f>
        <v/>
      </c>
      <c r="CS26" s="44">
        <f>-Equity!CS18</f>
        <v/>
      </c>
      <c r="CT26" s="44">
        <f>-Equity!CT18</f>
        <v/>
      </c>
      <c r="CU26" s="44">
        <f>-Equity!CU18</f>
        <v/>
      </c>
      <c r="CV26" s="44">
        <f>-Equity!CV18</f>
        <v/>
      </c>
      <c r="CW26" s="44">
        <f>-Equity!CW18</f>
        <v/>
      </c>
      <c r="CX26" s="44">
        <f>-Equity!CX18</f>
        <v/>
      </c>
      <c r="CY26" s="44">
        <f>-Equity!CY18</f>
        <v/>
      </c>
      <c r="CZ26" s="44">
        <f>-Equity!CZ18</f>
        <v/>
      </c>
      <c r="DA26" s="44">
        <f>-Equity!DA18</f>
        <v/>
      </c>
      <c r="DB26" s="44">
        <f>-Equity!DB18</f>
        <v/>
      </c>
      <c r="DC26" s="44">
        <f>-Equity!DC18</f>
        <v/>
      </c>
      <c r="DD26" s="44">
        <f>-Equity!DD18</f>
        <v/>
      </c>
      <c r="DE26" s="44">
        <f>-Equity!DE18</f>
        <v/>
      </c>
      <c r="DF26" s="44">
        <f>-Equity!DF18</f>
        <v/>
      </c>
      <c r="DG26" s="44">
        <f>-Equity!DG18</f>
        <v/>
      </c>
      <c r="DH26" s="44">
        <f>-Equity!DH18</f>
        <v/>
      </c>
      <c r="DI26" s="44">
        <f>-Equity!DI18</f>
        <v/>
      </c>
      <c r="DJ26" s="44">
        <f>-Equity!DJ18</f>
        <v/>
      </c>
      <c r="DK26" s="44">
        <f>-Equity!DK18</f>
        <v/>
      </c>
      <c r="DL26" s="44">
        <f>-Equity!DL18</f>
        <v/>
      </c>
      <c r="DM26" s="44">
        <f>-Equity!DM18</f>
        <v/>
      </c>
      <c r="DN26" s="44">
        <f>-Equity!DN18</f>
        <v/>
      </c>
      <c r="DO26" s="44">
        <f>-Equity!DO18</f>
        <v/>
      </c>
      <c r="DP26" s="44">
        <f>-Equity!DP18</f>
        <v/>
      </c>
      <c r="DQ26" s="44">
        <f>-Equity!DQ18</f>
        <v/>
      </c>
      <c r="DR26" s="44">
        <f>-Equity!DR18</f>
        <v/>
      </c>
      <c r="DS26" s="44">
        <f>-Equity!DS18</f>
        <v/>
      </c>
      <c r="DT26" s="44">
        <f>-Equity!DT18</f>
        <v/>
      </c>
      <c r="DU26" s="44">
        <f>-Equity!DU18</f>
        <v/>
      </c>
    </row>
    <row r="27">
      <c r="A27" s="8" t="inlineStr">
        <is>
          <t>Cash from financing</t>
        </is>
      </c>
      <c r="F27" s="45">
        <f>F23+F24+F25+F26</f>
        <v/>
      </c>
      <c r="G27" s="45">
        <f>G23+G24+G25+G26</f>
        <v/>
      </c>
      <c r="H27" s="45">
        <f>H23+H24+H25+H26</f>
        <v/>
      </c>
      <c r="I27" s="45">
        <f>I23+I24+I25+I26</f>
        <v/>
      </c>
      <c r="J27" s="45">
        <f>J23+J24+J25+J26</f>
        <v/>
      </c>
      <c r="K27" s="45">
        <f>K23+K24+K25+K26</f>
        <v/>
      </c>
      <c r="L27" s="45">
        <f>L23+L24+L25+L26</f>
        <v/>
      </c>
      <c r="M27" s="45">
        <f>M23+M24+M25+M26</f>
        <v/>
      </c>
      <c r="N27" s="45">
        <f>N23+N24+N25+N26</f>
        <v/>
      </c>
      <c r="O27" s="45">
        <f>O23+O24+O25+O26</f>
        <v/>
      </c>
      <c r="P27" s="45">
        <f>P23+P24+P25+P26</f>
        <v/>
      </c>
      <c r="Q27" s="45">
        <f>Q23+Q24+Q25+Q26</f>
        <v/>
      </c>
      <c r="R27" s="45">
        <f>R23+R24+R25+R26</f>
        <v/>
      </c>
      <c r="S27" s="45">
        <f>S23+S24+S25+S26</f>
        <v/>
      </c>
      <c r="T27" s="45">
        <f>T23+T24+T25+T26</f>
        <v/>
      </c>
      <c r="U27" s="45">
        <f>U23+U24+U25+U26</f>
        <v/>
      </c>
      <c r="V27" s="45">
        <f>V23+V24+V25+V26</f>
        <v/>
      </c>
      <c r="W27" s="45">
        <f>W23+W24+W25+W26</f>
        <v/>
      </c>
      <c r="X27" s="45">
        <f>X23+X24+X25+X26</f>
        <v/>
      </c>
      <c r="Y27" s="45">
        <f>Y23+Y24+Y25+Y26</f>
        <v/>
      </c>
      <c r="Z27" s="45">
        <f>Z23+Z24+Z25+Z26</f>
        <v/>
      </c>
      <c r="AA27" s="45">
        <f>AA23+AA24+AA25+AA26</f>
        <v/>
      </c>
      <c r="AB27" s="45">
        <f>AB23+AB24+AB25+AB26</f>
        <v/>
      </c>
      <c r="AC27" s="45">
        <f>AC23+AC24+AC25+AC26</f>
        <v/>
      </c>
      <c r="AD27" s="45">
        <f>AD23+AD24+AD25+AD26</f>
        <v/>
      </c>
      <c r="AE27" s="45">
        <f>AE23+AE24+AE25+AE26</f>
        <v/>
      </c>
      <c r="AF27" s="45">
        <f>AF23+AF24+AF25+AF26</f>
        <v/>
      </c>
      <c r="AG27" s="45">
        <f>AG23+AG24+AG25+AG26</f>
        <v/>
      </c>
      <c r="AH27" s="45">
        <f>AH23+AH24+AH25+AH26</f>
        <v/>
      </c>
      <c r="AI27" s="45">
        <f>AI23+AI24+AI25+AI26</f>
        <v/>
      </c>
      <c r="AJ27" s="45">
        <f>AJ23+AJ24+AJ25+AJ26</f>
        <v/>
      </c>
      <c r="AK27" s="45">
        <f>AK23+AK24+AK25+AK26</f>
        <v/>
      </c>
      <c r="AL27" s="45">
        <f>AL23+AL24+AL25+AL26</f>
        <v/>
      </c>
      <c r="AM27" s="45">
        <f>AM23+AM24+AM25+AM26</f>
        <v/>
      </c>
      <c r="AN27" s="45">
        <f>AN23+AN24+AN25+AN26</f>
        <v/>
      </c>
      <c r="AO27" s="45">
        <f>AO23+AO24+AO25+AO26</f>
        <v/>
      </c>
      <c r="AP27" s="45">
        <f>AP23+AP24+AP25+AP26</f>
        <v/>
      </c>
      <c r="AQ27" s="45">
        <f>AQ23+AQ24+AQ25+AQ26</f>
        <v/>
      </c>
      <c r="AR27" s="45">
        <f>AR23+AR24+AR25+AR26</f>
        <v/>
      </c>
      <c r="AS27" s="45">
        <f>AS23+AS24+AS25+AS26</f>
        <v/>
      </c>
      <c r="AT27" s="45">
        <f>AT23+AT24+AT25+AT26</f>
        <v/>
      </c>
      <c r="AU27" s="45">
        <f>AU23+AU24+AU25+AU26</f>
        <v/>
      </c>
      <c r="AV27" s="45">
        <f>AV23+AV24+AV25+AV26</f>
        <v/>
      </c>
      <c r="AW27" s="45">
        <f>AW23+AW24+AW25+AW26</f>
        <v/>
      </c>
      <c r="AX27" s="45">
        <f>AX23+AX24+AX25+AX26</f>
        <v/>
      </c>
      <c r="AY27" s="45">
        <f>AY23+AY24+AY25+AY26</f>
        <v/>
      </c>
      <c r="AZ27" s="45">
        <f>AZ23+AZ24+AZ25+AZ26</f>
        <v/>
      </c>
      <c r="BA27" s="45">
        <f>BA23+BA24+BA25+BA26</f>
        <v/>
      </c>
      <c r="BB27" s="45">
        <f>BB23+BB24+BB25+BB26</f>
        <v/>
      </c>
      <c r="BC27" s="45">
        <f>BC23+BC24+BC25+BC26</f>
        <v/>
      </c>
      <c r="BD27" s="45">
        <f>BD23+BD24+BD25+BD26</f>
        <v/>
      </c>
      <c r="BE27" s="45">
        <f>BE23+BE24+BE25+BE26</f>
        <v/>
      </c>
      <c r="BF27" s="45">
        <f>BF23+BF24+BF25+BF26</f>
        <v/>
      </c>
      <c r="BG27" s="45">
        <f>BG23+BG24+BG25+BG26</f>
        <v/>
      </c>
      <c r="BH27" s="45">
        <f>BH23+BH24+BH25+BH26</f>
        <v/>
      </c>
      <c r="BI27" s="45">
        <f>BI23+BI24+BI25+BI26</f>
        <v/>
      </c>
      <c r="BJ27" s="45">
        <f>BJ23+BJ24+BJ25+BJ26</f>
        <v/>
      </c>
      <c r="BK27" s="45">
        <f>BK23+BK24+BK25+BK26</f>
        <v/>
      </c>
      <c r="BL27" s="45">
        <f>BL23+BL24+BL25+BL26</f>
        <v/>
      </c>
      <c r="BM27" s="45">
        <f>BM23+BM24+BM25+BM26</f>
        <v/>
      </c>
      <c r="BN27" s="45">
        <f>BN23+BN24+BN25+BN26</f>
        <v/>
      </c>
      <c r="BO27" s="45">
        <f>BO23+BO24+BO25+BO26</f>
        <v/>
      </c>
      <c r="BP27" s="45">
        <f>BP23+BP24+BP25+BP26</f>
        <v/>
      </c>
      <c r="BQ27" s="45">
        <f>BQ23+BQ24+BQ25+BQ26</f>
        <v/>
      </c>
      <c r="BR27" s="45">
        <f>BR23+BR24+BR25+BR26</f>
        <v/>
      </c>
      <c r="BS27" s="45">
        <f>BS23+BS24+BS25+BS26</f>
        <v/>
      </c>
      <c r="BT27" s="45">
        <f>BT23+BT24+BT25+BT26</f>
        <v/>
      </c>
      <c r="BU27" s="45">
        <f>BU23+BU24+BU25+BU26</f>
        <v/>
      </c>
      <c r="BV27" s="45">
        <f>BV23+BV24+BV25+BV26</f>
        <v/>
      </c>
      <c r="BW27" s="45">
        <f>BW23+BW24+BW25+BW26</f>
        <v/>
      </c>
      <c r="BX27" s="45">
        <f>BX23+BX24+BX25+BX26</f>
        <v/>
      </c>
      <c r="BY27" s="45">
        <f>BY23+BY24+BY25+BY26</f>
        <v/>
      </c>
      <c r="BZ27" s="45">
        <f>BZ23+BZ24+BZ25+BZ26</f>
        <v/>
      </c>
      <c r="CA27" s="45">
        <f>CA23+CA24+CA25+CA26</f>
        <v/>
      </c>
      <c r="CB27" s="45">
        <f>CB23+CB24+CB25+CB26</f>
        <v/>
      </c>
      <c r="CC27" s="45">
        <f>CC23+CC24+CC25+CC26</f>
        <v/>
      </c>
      <c r="CD27" s="45">
        <f>CD23+CD24+CD25+CD26</f>
        <v/>
      </c>
      <c r="CE27" s="45">
        <f>CE23+CE24+CE25+CE26</f>
        <v/>
      </c>
      <c r="CF27" s="45">
        <f>CF23+CF24+CF25+CF26</f>
        <v/>
      </c>
      <c r="CG27" s="45">
        <f>CG23+CG24+CG25+CG26</f>
        <v/>
      </c>
      <c r="CH27" s="45">
        <f>CH23+CH24+CH25+CH26</f>
        <v/>
      </c>
      <c r="CI27" s="45">
        <f>CI23+CI24+CI25+CI26</f>
        <v/>
      </c>
      <c r="CJ27" s="45">
        <f>CJ23+CJ24+CJ25+CJ26</f>
        <v/>
      </c>
      <c r="CK27" s="45">
        <f>CK23+CK24+CK25+CK26</f>
        <v/>
      </c>
      <c r="CL27" s="45">
        <f>CL23+CL24+CL25+CL26</f>
        <v/>
      </c>
      <c r="CM27" s="45">
        <f>CM23+CM24+CM25+CM26</f>
        <v/>
      </c>
      <c r="CN27" s="45">
        <f>CN23+CN24+CN25+CN26</f>
        <v/>
      </c>
      <c r="CO27" s="45">
        <f>CO23+CO24+CO25+CO26</f>
        <v/>
      </c>
      <c r="CP27" s="45">
        <f>CP23+CP24+CP25+CP26</f>
        <v/>
      </c>
      <c r="CQ27" s="45">
        <f>CQ23+CQ24+CQ25+CQ26</f>
        <v/>
      </c>
      <c r="CR27" s="45">
        <f>CR23+CR24+CR25+CR26</f>
        <v/>
      </c>
      <c r="CS27" s="45">
        <f>CS23+CS24+CS25+CS26</f>
        <v/>
      </c>
      <c r="CT27" s="45">
        <f>CT23+CT24+CT25+CT26</f>
        <v/>
      </c>
      <c r="CU27" s="45">
        <f>CU23+CU24+CU25+CU26</f>
        <v/>
      </c>
      <c r="CV27" s="45">
        <f>CV23+CV24+CV25+CV26</f>
        <v/>
      </c>
      <c r="CW27" s="45">
        <f>CW23+CW24+CW25+CW26</f>
        <v/>
      </c>
      <c r="CX27" s="45">
        <f>CX23+CX24+CX25+CX26</f>
        <v/>
      </c>
      <c r="CY27" s="45">
        <f>CY23+CY24+CY25+CY26</f>
        <v/>
      </c>
      <c r="CZ27" s="45">
        <f>CZ23+CZ24+CZ25+CZ26</f>
        <v/>
      </c>
      <c r="DA27" s="45">
        <f>DA23+DA24+DA25+DA26</f>
        <v/>
      </c>
      <c r="DB27" s="45">
        <f>DB23+DB24+DB25+DB26</f>
        <v/>
      </c>
      <c r="DC27" s="45">
        <f>DC23+DC24+DC25+DC26</f>
        <v/>
      </c>
      <c r="DD27" s="45">
        <f>DD23+DD24+DD25+DD26</f>
        <v/>
      </c>
      <c r="DE27" s="45">
        <f>DE23+DE24+DE25+DE26</f>
        <v/>
      </c>
      <c r="DF27" s="45">
        <f>DF23+DF24+DF25+DF26</f>
        <v/>
      </c>
      <c r="DG27" s="45">
        <f>DG23+DG24+DG25+DG26</f>
        <v/>
      </c>
      <c r="DH27" s="45">
        <f>DH23+DH24+DH25+DH26</f>
        <v/>
      </c>
      <c r="DI27" s="45">
        <f>DI23+DI24+DI25+DI26</f>
        <v/>
      </c>
      <c r="DJ27" s="45">
        <f>DJ23+DJ24+DJ25+DJ26</f>
        <v/>
      </c>
      <c r="DK27" s="45">
        <f>DK23+DK24+DK25+DK26</f>
        <v/>
      </c>
      <c r="DL27" s="45">
        <f>DL23+DL24+DL25+DL26</f>
        <v/>
      </c>
      <c r="DM27" s="45">
        <f>DM23+DM24+DM25+DM26</f>
        <v/>
      </c>
      <c r="DN27" s="45">
        <f>DN23+DN24+DN25+DN26</f>
        <v/>
      </c>
      <c r="DO27" s="45">
        <f>DO23+DO24+DO25+DO26</f>
        <v/>
      </c>
      <c r="DP27" s="45">
        <f>DP23+DP24+DP25+DP26</f>
        <v/>
      </c>
      <c r="DQ27" s="45">
        <f>DQ23+DQ24+DQ25+DQ26</f>
        <v/>
      </c>
      <c r="DR27" s="45">
        <f>DR23+DR24+DR25+DR26</f>
        <v/>
      </c>
      <c r="DS27" s="45">
        <f>DS23+DS24+DS25+DS26</f>
        <v/>
      </c>
      <c r="DT27" s="45">
        <f>DT23+DT24+DT25+DT26</f>
        <v/>
      </c>
      <c r="DU27" s="45">
        <f>DU23+DU24+DU25+DU26</f>
        <v/>
      </c>
    </row>
    <row r="29">
      <c r="A29" s="8" t="inlineStr">
        <is>
          <t>Net change in cash</t>
        </is>
      </c>
      <c r="F29" s="48">
        <f>F16+F20+F27</f>
        <v/>
      </c>
      <c r="G29" s="48">
        <f>G16+G20+G27</f>
        <v/>
      </c>
      <c r="H29" s="48">
        <f>H16+H20+H27</f>
        <v/>
      </c>
      <c r="I29" s="48">
        <f>I16+I20+I27</f>
        <v/>
      </c>
      <c r="J29" s="48">
        <f>J16+J20+J27</f>
        <v/>
      </c>
      <c r="K29" s="48">
        <f>K16+K20+K27</f>
        <v/>
      </c>
      <c r="L29" s="48">
        <f>L16+L20+L27</f>
        <v/>
      </c>
      <c r="M29" s="48">
        <f>M16+M20+M27</f>
        <v/>
      </c>
      <c r="N29" s="48">
        <f>N16+N20+N27</f>
        <v/>
      </c>
      <c r="O29" s="48">
        <f>O16+O20+O27</f>
        <v/>
      </c>
      <c r="P29" s="48">
        <f>P16+P20+P27</f>
        <v/>
      </c>
      <c r="Q29" s="48">
        <f>Q16+Q20+Q27</f>
        <v/>
      </c>
      <c r="R29" s="48">
        <f>R16+R20+R27</f>
        <v/>
      </c>
      <c r="S29" s="48">
        <f>S16+S20+S27</f>
        <v/>
      </c>
      <c r="T29" s="48">
        <f>T16+T20+T27</f>
        <v/>
      </c>
      <c r="U29" s="48">
        <f>U16+U20+U27</f>
        <v/>
      </c>
      <c r="V29" s="48">
        <f>V16+V20+V27</f>
        <v/>
      </c>
      <c r="W29" s="48">
        <f>W16+W20+W27</f>
        <v/>
      </c>
      <c r="X29" s="48">
        <f>X16+X20+X27</f>
        <v/>
      </c>
      <c r="Y29" s="48">
        <f>Y16+Y20+Y27</f>
        <v/>
      </c>
      <c r="Z29" s="48">
        <f>Z16+Z20+Z27</f>
        <v/>
      </c>
      <c r="AA29" s="48">
        <f>AA16+AA20+AA27</f>
        <v/>
      </c>
      <c r="AB29" s="48">
        <f>AB16+AB20+AB27</f>
        <v/>
      </c>
      <c r="AC29" s="48">
        <f>AC16+AC20+AC27</f>
        <v/>
      </c>
      <c r="AD29" s="48">
        <f>AD16+AD20+AD27</f>
        <v/>
      </c>
      <c r="AE29" s="48">
        <f>AE16+AE20+AE27</f>
        <v/>
      </c>
      <c r="AF29" s="48">
        <f>AF16+AF20+AF27</f>
        <v/>
      </c>
      <c r="AG29" s="48">
        <f>AG16+AG20+AG27</f>
        <v/>
      </c>
      <c r="AH29" s="48">
        <f>AH16+AH20+AH27</f>
        <v/>
      </c>
      <c r="AI29" s="48">
        <f>AI16+AI20+AI27</f>
        <v/>
      </c>
      <c r="AJ29" s="48">
        <f>AJ16+AJ20+AJ27</f>
        <v/>
      </c>
      <c r="AK29" s="48">
        <f>AK16+AK20+AK27</f>
        <v/>
      </c>
      <c r="AL29" s="48">
        <f>AL16+AL20+AL27</f>
        <v/>
      </c>
      <c r="AM29" s="48">
        <f>AM16+AM20+AM27</f>
        <v/>
      </c>
      <c r="AN29" s="48">
        <f>AN16+AN20+AN27</f>
        <v/>
      </c>
      <c r="AO29" s="48">
        <f>AO16+AO20+AO27</f>
        <v/>
      </c>
      <c r="AP29" s="48">
        <f>AP16+AP20+AP27</f>
        <v/>
      </c>
      <c r="AQ29" s="48">
        <f>AQ16+AQ20+AQ27</f>
        <v/>
      </c>
      <c r="AR29" s="48">
        <f>AR16+AR20+AR27</f>
        <v/>
      </c>
      <c r="AS29" s="48">
        <f>AS16+AS20+AS27</f>
        <v/>
      </c>
      <c r="AT29" s="48">
        <f>AT16+AT20+AT27</f>
        <v/>
      </c>
      <c r="AU29" s="48">
        <f>AU16+AU20+AU27</f>
        <v/>
      </c>
      <c r="AV29" s="48">
        <f>AV16+AV20+AV27</f>
        <v/>
      </c>
      <c r="AW29" s="48">
        <f>AW16+AW20+AW27</f>
        <v/>
      </c>
      <c r="AX29" s="48">
        <f>AX16+AX20+AX27</f>
        <v/>
      </c>
      <c r="AY29" s="48">
        <f>AY16+AY20+AY27</f>
        <v/>
      </c>
      <c r="AZ29" s="48">
        <f>AZ16+AZ20+AZ27</f>
        <v/>
      </c>
      <c r="BA29" s="48">
        <f>BA16+BA20+BA27</f>
        <v/>
      </c>
      <c r="BB29" s="48">
        <f>BB16+BB20+BB27</f>
        <v/>
      </c>
      <c r="BC29" s="48">
        <f>BC16+BC20+BC27</f>
        <v/>
      </c>
      <c r="BD29" s="48">
        <f>BD16+BD20+BD27</f>
        <v/>
      </c>
      <c r="BE29" s="48">
        <f>BE16+BE20+BE27</f>
        <v/>
      </c>
      <c r="BF29" s="48">
        <f>BF16+BF20+BF27</f>
        <v/>
      </c>
      <c r="BG29" s="48">
        <f>BG16+BG20+BG27</f>
        <v/>
      </c>
      <c r="BH29" s="48">
        <f>BH16+BH20+BH27</f>
        <v/>
      </c>
      <c r="BI29" s="48">
        <f>BI16+BI20+BI27</f>
        <v/>
      </c>
      <c r="BJ29" s="48">
        <f>BJ16+BJ20+BJ27</f>
        <v/>
      </c>
      <c r="BK29" s="48">
        <f>BK16+BK20+BK27</f>
        <v/>
      </c>
      <c r="BL29" s="48">
        <f>BL16+BL20+BL27</f>
        <v/>
      </c>
      <c r="BM29" s="48">
        <f>BM16+BM20+BM27</f>
        <v/>
      </c>
      <c r="BN29" s="48">
        <f>BN16+BN20+BN27</f>
        <v/>
      </c>
      <c r="BO29" s="48">
        <f>BO16+BO20+BO27</f>
        <v/>
      </c>
      <c r="BP29" s="48">
        <f>BP16+BP20+BP27</f>
        <v/>
      </c>
      <c r="BQ29" s="48">
        <f>BQ16+BQ20+BQ27</f>
        <v/>
      </c>
      <c r="BR29" s="48">
        <f>BR16+BR20+BR27</f>
        <v/>
      </c>
      <c r="BS29" s="48">
        <f>BS16+BS20+BS27</f>
        <v/>
      </c>
      <c r="BT29" s="48">
        <f>BT16+BT20+BT27</f>
        <v/>
      </c>
      <c r="BU29" s="48">
        <f>BU16+BU20+BU27</f>
        <v/>
      </c>
      <c r="BV29" s="48">
        <f>BV16+BV20+BV27</f>
        <v/>
      </c>
      <c r="BW29" s="48">
        <f>BW16+BW20+BW27</f>
        <v/>
      </c>
      <c r="BX29" s="48">
        <f>BX16+BX20+BX27</f>
        <v/>
      </c>
      <c r="BY29" s="48">
        <f>BY16+BY20+BY27</f>
        <v/>
      </c>
      <c r="BZ29" s="48">
        <f>BZ16+BZ20+BZ27</f>
        <v/>
      </c>
      <c r="CA29" s="48">
        <f>CA16+CA20+CA27</f>
        <v/>
      </c>
      <c r="CB29" s="48">
        <f>CB16+CB20+CB27</f>
        <v/>
      </c>
      <c r="CC29" s="48">
        <f>CC16+CC20+CC27</f>
        <v/>
      </c>
      <c r="CD29" s="48">
        <f>CD16+CD20+CD27</f>
        <v/>
      </c>
      <c r="CE29" s="48">
        <f>CE16+CE20+CE27</f>
        <v/>
      </c>
      <c r="CF29" s="48">
        <f>CF16+CF20+CF27</f>
        <v/>
      </c>
      <c r="CG29" s="48">
        <f>CG16+CG20+CG27</f>
        <v/>
      </c>
      <c r="CH29" s="48">
        <f>CH16+CH20+CH27</f>
        <v/>
      </c>
      <c r="CI29" s="48">
        <f>CI16+CI20+CI27</f>
        <v/>
      </c>
      <c r="CJ29" s="48">
        <f>CJ16+CJ20+CJ27</f>
        <v/>
      </c>
      <c r="CK29" s="48">
        <f>CK16+CK20+CK27</f>
        <v/>
      </c>
      <c r="CL29" s="48">
        <f>CL16+CL20+CL27</f>
        <v/>
      </c>
      <c r="CM29" s="48">
        <f>CM16+CM20+CM27</f>
        <v/>
      </c>
      <c r="CN29" s="48">
        <f>CN16+CN20+CN27</f>
        <v/>
      </c>
      <c r="CO29" s="48">
        <f>CO16+CO20+CO27</f>
        <v/>
      </c>
      <c r="CP29" s="48">
        <f>CP16+CP20+CP27</f>
        <v/>
      </c>
      <c r="CQ29" s="48">
        <f>CQ16+CQ20+CQ27</f>
        <v/>
      </c>
      <c r="CR29" s="48">
        <f>CR16+CR20+CR27</f>
        <v/>
      </c>
      <c r="CS29" s="48">
        <f>CS16+CS20+CS27</f>
        <v/>
      </c>
      <c r="CT29" s="48">
        <f>CT16+CT20+CT27</f>
        <v/>
      </c>
      <c r="CU29" s="48">
        <f>CU16+CU20+CU27</f>
        <v/>
      </c>
      <c r="CV29" s="48">
        <f>CV16+CV20+CV27</f>
        <v/>
      </c>
      <c r="CW29" s="48">
        <f>CW16+CW20+CW27</f>
        <v/>
      </c>
      <c r="CX29" s="48">
        <f>CX16+CX20+CX27</f>
        <v/>
      </c>
      <c r="CY29" s="48">
        <f>CY16+CY20+CY27</f>
        <v/>
      </c>
      <c r="CZ29" s="48">
        <f>CZ16+CZ20+CZ27</f>
        <v/>
      </c>
      <c r="DA29" s="48">
        <f>DA16+DA20+DA27</f>
        <v/>
      </c>
      <c r="DB29" s="48">
        <f>DB16+DB20+DB27</f>
        <v/>
      </c>
      <c r="DC29" s="48">
        <f>DC16+DC20+DC27</f>
        <v/>
      </c>
      <c r="DD29" s="48">
        <f>DD16+DD20+DD27</f>
        <v/>
      </c>
      <c r="DE29" s="48">
        <f>DE16+DE20+DE27</f>
        <v/>
      </c>
      <c r="DF29" s="48">
        <f>DF16+DF20+DF27</f>
        <v/>
      </c>
      <c r="DG29" s="48">
        <f>DG16+DG20+DG27</f>
        <v/>
      </c>
      <c r="DH29" s="48">
        <f>DH16+DH20+DH27</f>
        <v/>
      </c>
      <c r="DI29" s="48">
        <f>DI16+DI20+DI27</f>
        <v/>
      </c>
      <c r="DJ29" s="48">
        <f>DJ16+DJ20+DJ27</f>
        <v/>
      </c>
      <c r="DK29" s="48">
        <f>DK16+DK20+DK27</f>
        <v/>
      </c>
      <c r="DL29" s="48">
        <f>DL16+DL20+DL27</f>
        <v/>
      </c>
      <c r="DM29" s="48">
        <f>DM16+DM20+DM27</f>
        <v/>
      </c>
      <c r="DN29" s="48">
        <f>DN16+DN20+DN27</f>
        <v/>
      </c>
      <c r="DO29" s="48">
        <f>DO16+DO20+DO27</f>
        <v/>
      </c>
      <c r="DP29" s="48">
        <f>DP16+DP20+DP27</f>
        <v/>
      </c>
      <c r="DQ29" s="48">
        <f>DQ16+DQ20+DQ27</f>
        <v/>
      </c>
      <c r="DR29" s="48">
        <f>DR16+DR20+DR27</f>
        <v/>
      </c>
      <c r="DS29" s="48">
        <f>DS16+DS20+DS27</f>
        <v/>
      </c>
      <c r="DT29" s="48">
        <f>DT16+DT20+DT27</f>
        <v/>
      </c>
      <c r="DU29" s="48">
        <f>DU16+DU20+DU27</f>
        <v/>
      </c>
    </row>
    <row r="30">
      <c r="A30" t="inlineStr">
        <is>
          <t>Opening cash</t>
        </is>
      </c>
      <c r="F30" s="44">
        <f>E31</f>
        <v/>
      </c>
      <c r="G30" s="44">
        <f>F31</f>
        <v/>
      </c>
      <c r="H30" s="44">
        <f>G31</f>
        <v/>
      </c>
      <c r="I30" s="44">
        <f>H31</f>
        <v/>
      </c>
      <c r="J30" s="44">
        <f>I31</f>
        <v/>
      </c>
      <c r="K30" s="44">
        <f>J31</f>
        <v/>
      </c>
      <c r="L30" s="44">
        <f>K31</f>
        <v/>
      </c>
      <c r="M30" s="44">
        <f>L31</f>
        <v/>
      </c>
      <c r="N30" s="44">
        <f>M31</f>
        <v/>
      </c>
      <c r="O30" s="44">
        <f>N31</f>
        <v/>
      </c>
      <c r="P30" s="44">
        <f>O31</f>
        <v/>
      </c>
      <c r="Q30" s="44">
        <f>P31</f>
        <v/>
      </c>
      <c r="R30" s="44">
        <f>Q31</f>
        <v/>
      </c>
      <c r="S30" s="44">
        <f>R31</f>
        <v/>
      </c>
      <c r="T30" s="44">
        <f>S31</f>
        <v/>
      </c>
      <c r="U30" s="44">
        <f>T31</f>
        <v/>
      </c>
      <c r="V30" s="44">
        <f>U31</f>
        <v/>
      </c>
      <c r="W30" s="44">
        <f>V31</f>
        <v/>
      </c>
      <c r="X30" s="44">
        <f>W31</f>
        <v/>
      </c>
      <c r="Y30" s="44">
        <f>X31</f>
        <v/>
      </c>
      <c r="Z30" s="44">
        <f>Y31</f>
        <v/>
      </c>
      <c r="AA30" s="44">
        <f>Z31</f>
        <v/>
      </c>
      <c r="AB30" s="44">
        <f>AA31</f>
        <v/>
      </c>
      <c r="AC30" s="44">
        <f>AB31</f>
        <v/>
      </c>
      <c r="AD30" s="44">
        <f>AC31</f>
        <v/>
      </c>
      <c r="AE30" s="44">
        <f>AD31</f>
        <v/>
      </c>
      <c r="AF30" s="44">
        <f>AE31</f>
        <v/>
      </c>
      <c r="AG30" s="44">
        <f>AF31</f>
        <v/>
      </c>
      <c r="AH30" s="44">
        <f>AG31</f>
        <v/>
      </c>
      <c r="AI30" s="44">
        <f>AH31</f>
        <v/>
      </c>
      <c r="AJ30" s="44">
        <f>AI31</f>
        <v/>
      </c>
      <c r="AK30" s="44">
        <f>AJ31</f>
        <v/>
      </c>
      <c r="AL30" s="44">
        <f>AK31</f>
        <v/>
      </c>
      <c r="AM30" s="44">
        <f>AL31</f>
        <v/>
      </c>
      <c r="AN30" s="44">
        <f>AM31</f>
        <v/>
      </c>
      <c r="AO30" s="44">
        <f>AN31</f>
        <v/>
      </c>
      <c r="AP30" s="44">
        <f>AO31</f>
        <v/>
      </c>
      <c r="AQ30" s="44">
        <f>AP31</f>
        <v/>
      </c>
      <c r="AR30" s="44">
        <f>AQ31</f>
        <v/>
      </c>
      <c r="AS30" s="44">
        <f>AR31</f>
        <v/>
      </c>
      <c r="AT30" s="44">
        <f>AS31</f>
        <v/>
      </c>
      <c r="AU30" s="44">
        <f>AT31</f>
        <v/>
      </c>
      <c r="AV30" s="44">
        <f>AU31</f>
        <v/>
      </c>
      <c r="AW30" s="44">
        <f>AV31</f>
        <v/>
      </c>
      <c r="AX30" s="44">
        <f>AW31</f>
        <v/>
      </c>
      <c r="AY30" s="44">
        <f>AX31</f>
        <v/>
      </c>
      <c r="AZ30" s="44">
        <f>AY31</f>
        <v/>
      </c>
      <c r="BA30" s="44">
        <f>AZ31</f>
        <v/>
      </c>
      <c r="BB30" s="44">
        <f>BA31</f>
        <v/>
      </c>
      <c r="BC30" s="44">
        <f>BB31</f>
        <v/>
      </c>
      <c r="BD30" s="44">
        <f>BC31</f>
        <v/>
      </c>
      <c r="BE30" s="44">
        <f>BD31</f>
        <v/>
      </c>
      <c r="BF30" s="44">
        <f>BE31</f>
        <v/>
      </c>
      <c r="BG30" s="44">
        <f>BF31</f>
        <v/>
      </c>
      <c r="BH30" s="44">
        <f>BG31</f>
        <v/>
      </c>
      <c r="BI30" s="44">
        <f>BH31</f>
        <v/>
      </c>
      <c r="BJ30" s="44">
        <f>BI31</f>
        <v/>
      </c>
      <c r="BK30" s="44">
        <f>BJ31</f>
        <v/>
      </c>
      <c r="BL30" s="44">
        <f>BK31</f>
        <v/>
      </c>
      <c r="BM30" s="44">
        <f>BL31</f>
        <v/>
      </c>
      <c r="BN30" s="44">
        <f>BM31</f>
        <v/>
      </c>
      <c r="BO30" s="44">
        <f>BN31</f>
        <v/>
      </c>
      <c r="BP30" s="44">
        <f>BO31</f>
        <v/>
      </c>
      <c r="BQ30" s="44">
        <f>BP31</f>
        <v/>
      </c>
      <c r="BR30" s="44">
        <f>BQ31</f>
        <v/>
      </c>
      <c r="BS30" s="44">
        <f>BR31</f>
        <v/>
      </c>
      <c r="BT30" s="44">
        <f>BS31</f>
        <v/>
      </c>
      <c r="BU30" s="44">
        <f>BT31</f>
        <v/>
      </c>
      <c r="BV30" s="44">
        <f>BU31</f>
        <v/>
      </c>
      <c r="BW30" s="44">
        <f>BV31</f>
        <v/>
      </c>
      <c r="BX30" s="44">
        <f>BW31</f>
        <v/>
      </c>
      <c r="BY30" s="44">
        <f>BX31</f>
        <v/>
      </c>
      <c r="BZ30" s="44">
        <f>BY31</f>
        <v/>
      </c>
      <c r="CA30" s="44">
        <f>BZ31</f>
        <v/>
      </c>
      <c r="CB30" s="44">
        <f>CA31</f>
        <v/>
      </c>
      <c r="CC30" s="44">
        <f>CB31</f>
        <v/>
      </c>
      <c r="CD30" s="44">
        <f>CC31</f>
        <v/>
      </c>
      <c r="CE30" s="44">
        <f>CD31</f>
        <v/>
      </c>
      <c r="CF30" s="44">
        <f>CE31</f>
        <v/>
      </c>
      <c r="CG30" s="44">
        <f>CF31</f>
        <v/>
      </c>
      <c r="CH30" s="44">
        <f>CG31</f>
        <v/>
      </c>
      <c r="CI30" s="44">
        <f>CH31</f>
        <v/>
      </c>
      <c r="CJ30" s="44">
        <f>CI31</f>
        <v/>
      </c>
      <c r="CK30" s="44">
        <f>CJ31</f>
        <v/>
      </c>
      <c r="CL30" s="44">
        <f>CK31</f>
        <v/>
      </c>
      <c r="CM30" s="44">
        <f>CL31</f>
        <v/>
      </c>
      <c r="CN30" s="44">
        <f>CM31</f>
        <v/>
      </c>
      <c r="CO30" s="44">
        <f>CN31</f>
        <v/>
      </c>
      <c r="CP30" s="44">
        <f>CO31</f>
        <v/>
      </c>
      <c r="CQ30" s="44">
        <f>CP31</f>
        <v/>
      </c>
      <c r="CR30" s="44">
        <f>CQ31</f>
        <v/>
      </c>
      <c r="CS30" s="44">
        <f>CR31</f>
        <v/>
      </c>
      <c r="CT30" s="44">
        <f>CS31</f>
        <v/>
      </c>
      <c r="CU30" s="44">
        <f>CT31</f>
        <v/>
      </c>
      <c r="CV30" s="44">
        <f>CU31</f>
        <v/>
      </c>
      <c r="CW30" s="44">
        <f>CV31</f>
        <v/>
      </c>
      <c r="CX30" s="44">
        <f>CW31</f>
        <v/>
      </c>
      <c r="CY30" s="44">
        <f>CX31</f>
        <v/>
      </c>
      <c r="CZ30" s="44">
        <f>CY31</f>
        <v/>
      </c>
      <c r="DA30" s="44">
        <f>CZ31</f>
        <v/>
      </c>
      <c r="DB30" s="44">
        <f>DA31</f>
        <v/>
      </c>
      <c r="DC30" s="44">
        <f>DB31</f>
        <v/>
      </c>
      <c r="DD30" s="44">
        <f>DC31</f>
        <v/>
      </c>
      <c r="DE30" s="44">
        <f>DD31</f>
        <v/>
      </c>
      <c r="DF30" s="44">
        <f>DE31</f>
        <v/>
      </c>
      <c r="DG30" s="44">
        <f>DF31</f>
        <v/>
      </c>
      <c r="DH30" s="44">
        <f>DG31</f>
        <v/>
      </c>
      <c r="DI30" s="44">
        <f>DH31</f>
        <v/>
      </c>
      <c r="DJ30" s="44">
        <f>DI31</f>
        <v/>
      </c>
      <c r="DK30" s="44">
        <f>DJ31</f>
        <v/>
      </c>
      <c r="DL30" s="44">
        <f>DK31</f>
        <v/>
      </c>
      <c r="DM30" s="44">
        <f>DL31</f>
        <v/>
      </c>
      <c r="DN30" s="44">
        <f>DM31</f>
        <v/>
      </c>
      <c r="DO30" s="44">
        <f>DN31</f>
        <v/>
      </c>
      <c r="DP30" s="44">
        <f>DO31</f>
        <v/>
      </c>
      <c r="DQ30" s="44">
        <f>DP31</f>
        <v/>
      </c>
      <c r="DR30" s="44">
        <f>DQ31</f>
        <v/>
      </c>
      <c r="DS30" s="44">
        <f>DR31</f>
        <v/>
      </c>
      <c r="DT30" s="44">
        <f>DS31</f>
        <v/>
      </c>
      <c r="DU30" s="44">
        <f>DT31</f>
        <v/>
      </c>
    </row>
    <row r="31">
      <c r="A31" s="49" t="inlineStr">
        <is>
          <t>Closing cash</t>
        </is>
      </c>
      <c r="E31" s="44" t="n">
        <v>0</v>
      </c>
      <c r="F31" s="50">
        <f>F30+F29</f>
        <v/>
      </c>
      <c r="G31" s="50">
        <f>G30+G29</f>
        <v/>
      </c>
      <c r="H31" s="50">
        <f>H30+H29</f>
        <v/>
      </c>
      <c r="I31" s="50">
        <f>I30+I29</f>
        <v/>
      </c>
      <c r="J31" s="50">
        <f>J30+J29</f>
        <v/>
      </c>
      <c r="K31" s="50">
        <f>K30+K29</f>
        <v/>
      </c>
      <c r="L31" s="50">
        <f>L30+L29</f>
        <v/>
      </c>
      <c r="M31" s="50">
        <f>M30+M29</f>
        <v/>
      </c>
      <c r="N31" s="50">
        <f>N30+N29</f>
        <v/>
      </c>
      <c r="O31" s="50">
        <f>O30+O29</f>
        <v/>
      </c>
      <c r="P31" s="50">
        <f>P30+P29</f>
        <v/>
      </c>
      <c r="Q31" s="50">
        <f>Q30+Q29</f>
        <v/>
      </c>
      <c r="R31" s="50">
        <f>R30+R29</f>
        <v/>
      </c>
      <c r="S31" s="50">
        <f>S30+S29</f>
        <v/>
      </c>
      <c r="T31" s="50">
        <f>T30+T29</f>
        <v/>
      </c>
      <c r="U31" s="50">
        <f>U30+U29</f>
        <v/>
      </c>
      <c r="V31" s="50">
        <f>V30+V29</f>
        <v/>
      </c>
      <c r="W31" s="50">
        <f>W30+W29</f>
        <v/>
      </c>
      <c r="X31" s="50">
        <f>X30+X29</f>
        <v/>
      </c>
      <c r="Y31" s="50">
        <f>Y30+Y29</f>
        <v/>
      </c>
      <c r="Z31" s="50">
        <f>Z30+Z29</f>
        <v/>
      </c>
      <c r="AA31" s="50">
        <f>AA30+AA29</f>
        <v/>
      </c>
      <c r="AB31" s="50">
        <f>AB30+AB29</f>
        <v/>
      </c>
      <c r="AC31" s="50">
        <f>AC30+AC29</f>
        <v/>
      </c>
      <c r="AD31" s="50">
        <f>AD30+AD29</f>
        <v/>
      </c>
      <c r="AE31" s="50">
        <f>AE30+AE29</f>
        <v/>
      </c>
      <c r="AF31" s="50">
        <f>AF30+AF29</f>
        <v/>
      </c>
      <c r="AG31" s="50">
        <f>AG30+AG29</f>
        <v/>
      </c>
      <c r="AH31" s="50">
        <f>AH30+AH29</f>
        <v/>
      </c>
      <c r="AI31" s="50">
        <f>AI30+AI29</f>
        <v/>
      </c>
      <c r="AJ31" s="50">
        <f>AJ30+AJ29</f>
        <v/>
      </c>
      <c r="AK31" s="50">
        <f>AK30+AK29</f>
        <v/>
      </c>
      <c r="AL31" s="50">
        <f>AL30+AL29</f>
        <v/>
      </c>
      <c r="AM31" s="50">
        <f>AM30+AM29</f>
        <v/>
      </c>
      <c r="AN31" s="50">
        <f>AN30+AN29</f>
        <v/>
      </c>
      <c r="AO31" s="50">
        <f>AO30+AO29</f>
        <v/>
      </c>
      <c r="AP31" s="50">
        <f>AP30+AP29</f>
        <v/>
      </c>
      <c r="AQ31" s="50">
        <f>AQ30+AQ29</f>
        <v/>
      </c>
      <c r="AR31" s="50">
        <f>AR30+AR29</f>
        <v/>
      </c>
      <c r="AS31" s="50">
        <f>AS30+AS29</f>
        <v/>
      </c>
      <c r="AT31" s="50">
        <f>AT30+AT29</f>
        <v/>
      </c>
      <c r="AU31" s="50">
        <f>AU30+AU29</f>
        <v/>
      </c>
      <c r="AV31" s="50">
        <f>AV30+AV29</f>
        <v/>
      </c>
      <c r="AW31" s="50">
        <f>AW30+AW29</f>
        <v/>
      </c>
      <c r="AX31" s="50">
        <f>AX30+AX29</f>
        <v/>
      </c>
      <c r="AY31" s="50">
        <f>AY30+AY29</f>
        <v/>
      </c>
      <c r="AZ31" s="50">
        <f>AZ30+AZ29</f>
        <v/>
      </c>
      <c r="BA31" s="50">
        <f>BA30+BA29</f>
        <v/>
      </c>
      <c r="BB31" s="50">
        <f>BB30+BB29</f>
        <v/>
      </c>
      <c r="BC31" s="50">
        <f>BC30+BC29</f>
        <v/>
      </c>
      <c r="BD31" s="50">
        <f>BD30+BD29</f>
        <v/>
      </c>
      <c r="BE31" s="50">
        <f>BE30+BE29</f>
        <v/>
      </c>
      <c r="BF31" s="50">
        <f>BF30+BF29</f>
        <v/>
      </c>
      <c r="BG31" s="50">
        <f>BG30+BG29</f>
        <v/>
      </c>
      <c r="BH31" s="50">
        <f>BH30+BH29</f>
        <v/>
      </c>
      <c r="BI31" s="50">
        <f>BI30+BI29</f>
        <v/>
      </c>
      <c r="BJ31" s="50">
        <f>BJ30+BJ29</f>
        <v/>
      </c>
      <c r="BK31" s="50">
        <f>BK30+BK29</f>
        <v/>
      </c>
      <c r="BL31" s="50">
        <f>BL30+BL29</f>
        <v/>
      </c>
      <c r="BM31" s="50">
        <f>BM30+BM29</f>
        <v/>
      </c>
      <c r="BN31" s="50">
        <f>BN30+BN29</f>
        <v/>
      </c>
      <c r="BO31" s="50">
        <f>BO30+BO29</f>
        <v/>
      </c>
      <c r="BP31" s="50">
        <f>BP30+BP29</f>
        <v/>
      </c>
      <c r="BQ31" s="50">
        <f>BQ30+BQ29</f>
        <v/>
      </c>
      <c r="BR31" s="50">
        <f>BR30+BR29</f>
        <v/>
      </c>
      <c r="BS31" s="50">
        <f>BS30+BS29</f>
        <v/>
      </c>
      <c r="BT31" s="50">
        <f>BT30+BT29</f>
        <v/>
      </c>
      <c r="BU31" s="50">
        <f>BU30+BU29</f>
        <v/>
      </c>
      <c r="BV31" s="50">
        <f>BV30+BV29</f>
        <v/>
      </c>
      <c r="BW31" s="50">
        <f>BW30+BW29</f>
        <v/>
      </c>
      <c r="BX31" s="50">
        <f>BX30+BX29</f>
        <v/>
      </c>
      <c r="BY31" s="50">
        <f>BY30+BY29</f>
        <v/>
      </c>
      <c r="BZ31" s="50">
        <f>BZ30+BZ29</f>
        <v/>
      </c>
      <c r="CA31" s="50">
        <f>CA30+CA29</f>
        <v/>
      </c>
      <c r="CB31" s="50">
        <f>CB30+CB29</f>
        <v/>
      </c>
      <c r="CC31" s="50">
        <f>CC30+CC29</f>
        <v/>
      </c>
      <c r="CD31" s="50">
        <f>CD30+CD29</f>
        <v/>
      </c>
      <c r="CE31" s="50">
        <f>CE30+CE29</f>
        <v/>
      </c>
      <c r="CF31" s="50">
        <f>CF30+CF29</f>
        <v/>
      </c>
      <c r="CG31" s="50">
        <f>CG30+CG29</f>
        <v/>
      </c>
      <c r="CH31" s="50">
        <f>CH30+CH29</f>
        <v/>
      </c>
      <c r="CI31" s="50">
        <f>CI30+CI29</f>
        <v/>
      </c>
      <c r="CJ31" s="50">
        <f>CJ30+CJ29</f>
        <v/>
      </c>
      <c r="CK31" s="50">
        <f>CK30+CK29</f>
        <v/>
      </c>
      <c r="CL31" s="50">
        <f>CL30+CL29</f>
        <v/>
      </c>
      <c r="CM31" s="50">
        <f>CM30+CM29</f>
        <v/>
      </c>
      <c r="CN31" s="50">
        <f>CN30+CN29</f>
        <v/>
      </c>
      <c r="CO31" s="50">
        <f>CO30+CO29</f>
        <v/>
      </c>
      <c r="CP31" s="50">
        <f>CP30+CP29</f>
        <v/>
      </c>
      <c r="CQ31" s="50">
        <f>CQ30+CQ29</f>
        <v/>
      </c>
      <c r="CR31" s="50">
        <f>CR30+CR29</f>
        <v/>
      </c>
      <c r="CS31" s="50">
        <f>CS30+CS29</f>
        <v/>
      </c>
      <c r="CT31" s="50">
        <f>CT30+CT29</f>
        <v/>
      </c>
      <c r="CU31" s="50">
        <f>CU30+CU29</f>
        <v/>
      </c>
      <c r="CV31" s="50">
        <f>CV30+CV29</f>
        <v/>
      </c>
      <c r="CW31" s="50">
        <f>CW30+CW29</f>
        <v/>
      </c>
      <c r="CX31" s="50">
        <f>CX30+CX29</f>
        <v/>
      </c>
      <c r="CY31" s="50">
        <f>CY30+CY29</f>
        <v/>
      </c>
      <c r="CZ31" s="50">
        <f>CZ30+CZ29</f>
        <v/>
      </c>
      <c r="DA31" s="50">
        <f>DA30+DA29</f>
        <v/>
      </c>
      <c r="DB31" s="50">
        <f>DB30+DB29</f>
        <v/>
      </c>
      <c r="DC31" s="50">
        <f>DC30+DC29</f>
        <v/>
      </c>
      <c r="DD31" s="50">
        <f>DD30+DD29</f>
        <v/>
      </c>
      <c r="DE31" s="50">
        <f>DE30+DE29</f>
        <v/>
      </c>
      <c r="DF31" s="50">
        <f>DF30+DF29</f>
        <v/>
      </c>
      <c r="DG31" s="50">
        <f>DG30+DG29</f>
        <v/>
      </c>
      <c r="DH31" s="50">
        <f>DH30+DH29</f>
        <v/>
      </c>
      <c r="DI31" s="50">
        <f>DI30+DI29</f>
        <v/>
      </c>
      <c r="DJ31" s="50">
        <f>DJ30+DJ29</f>
        <v/>
      </c>
      <c r="DK31" s="50">
        <f>DK30+DK29</f>
        <v/>
      </c>
      <c r="DL31" s="50">
        <f>DL30+DL29</f>
        <v/>
      </c>
      <c r="DM31" s="50">
        <f>DM30+DM29</f>
        <v/>
      </c>
      <c r="DN31" s="50">
        <f>DN30+DN29</f>
        <v/>
      </c>
      <c r="DO31" s="50">
        <f>DO30+DO29</f>
        <v/>
      </c>
      <c r="DP31" s="50">
        <f>DP30+DP29</f>
        <v/>
      </c>
      <c r="DQ31" s="50">
        <f>DQ30+DQ29</f>
        <v/>
      </c>
      <c r="DR31" s="50">
        <f>DR30+DR29</f>
        <v/>
      </c>
      <c r="DS31" s="50">
        <f>DS30+DS29</f>
        <v/>
      </c>
      <c r="DT31" s="50">
        <f>DT30+DT29</f>
        <v/>
      </c>
      <c r="DU31" s="50">
        <f>DU30+DU29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U39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</cols>
  <sheetData>
    <row r="1" ht="25" customHeight="1">
      <c r="A1" s="1" t="inlineStr">
        <is>
          <t>BALANCE SHEET</t>
        </is>
      </c>
    </row>
    <row r="3">
      <c r="A3" t="inlineStr">
        <is>
          <t>Period</t>
        </is>
      </c>
      <c r="F3" s="28" t="n">
        <v>1</v>
      </c>
      <c r="G3" s="28" t="n">
        <v>2</v>
      </c>
      <c r="H3" s="28" t="n">
        <v>3</v>
      </c>
      <c r="I3" s="28" t="n">
        <v>4</v>
      </c>
      <c r="J3" s="28" t="n">
        <v>5</v>
      </c>
      <c r="K3" s="28" t="n">
        <v>6</v>
      </c>
      <c r="L3" s="28" t="n">
        <v>7</v>
      </c>
      <c r="M3" s="28" t="n">
        <v>8</v>
      </c>
      <c r="N3" s="28" t="n">
        <v>9</v>
      </c>
      <c r="O3" s="28" t="n">
        <v>10</v>
      </c>
      <c r="P3" s="28" t="n">
        <v>11</v>
      </c>
      <c r="Q3" s="28" t="n">
        <v>12</v>
      </c>
      <c r="R3" s="28" t="n">
        <v>13</v>
      </c>
      <c r="S3" s="28" t="n">
        <v>14</v>
      </c>
      <c r="T3" s="28" t="n">
        <v>15</v>
      </c>
      <c r="U3" s="28" t="n">
        <v>16</v>
      </c>
      <c r="V3" s="28" t="n">
        <v>17</v>
      </c>
      <c r="W3" s="28" t="n">
        <v>18</v>
      </c>
      <c r="X3" s="28" t="n">
        <v>19</v>
      </c>
      <c r="Y3" s="28" t="n">
        <v>20</v>
      </c>
      <c r="Z3" s="28" t="n">
        <v>21</v>
      </c>
      <c r="AA3" s="28" t="n">
        <v>22</v>
      </c>
      <c r="AB3" s="28" t="n">
        <v>23</v>
      </c>
      <c r="AC3" s="28" t="n">
        <v>24</v>
      </c>
      <c r="AD3" s="28" t="n">
        <v>25</v>
      </c>
      <c r="AE3" s="28" t="n">
        <v>26</v>
      </c>
      <c r="AF3" s="28" t="n">
        <v>27</v>
      </c>
      <c r="AG3" s="28" t="n">
        <v>28</v>
      </c>
      <c r="AH3" s="28" t="n">
        <v>29</v>
      </c>
      <c r="AI3" s="28" t="n">
        <v>30</v>
      </c>
      <c r="AJ3" s="28" t="n">
        <v>31</v>
      </c>
      <c r="AK3" s="28" t="n">
        <v>32</v>
      </c>
      <c r="AL3" s="28" t="n">
        <v>33</v>
      </c>
      <c r="AM3" s="28" t="n">
        <v>34</v>
      </c>
      <c r="AN3" s="28" t="n">
        <v>35</v>
      </c>
      <c r="AO3" s="28" t="n">
        <v>36</v>
      </c>
      <c r="AP3" s="28" t="n">
        <v>37</v>
      </c>
      <c r="AQ3" s="28" t="n">
        <v>38</v>
      </c>
      <c r="AR3" s="28" t="n">
        <v>39</v>
      </c>
      <c r="AS3" s="28" t="n">
        <v>40</v>
      </c>
      <c r="AT3" s="28" t="n">
        <v>41</v>
      </c>
      <c r="AU3" s="28" t="n">
        <v>42</v>
      </c>
      <c r="AV3" s="28" t="n">
        <v>43</v>
      </c>
      <c r="AW3" s="28" t="n">
        <v>44</v>
      </c>
      <c r="AX3" s="28" t="n">
        <v>45</v>
      </c>
      <c r="AY3" s="28" t="n">
        <v>46</v>
      </c>
      <c r="AZ3" s="28" t="n">
        <v>47</v>
      </c>
      <c r="BA3" s="28" t="n">
        <v>48</v>
      </c>
      <c r="BB3" s="28" t="n">
        <v>49</v>
      </c>
      <c r="BC3" s="28" t="n">
        <v>50</v>
      </c>
      <c r="BD3" s="28" t="n">
        <v>51</v>
      </c>
      <c r="BE3" s="28" t="n">
        <v>52</v>
      </c>
      <c r="BF3" s="28" t="n">
        <v>53</v>
      </c>
      <c r="BG3" s="28" t="n">
        <v>54</v>
      </c>
      <c r="BH3" s="28" t="n">
        <v>55</v>
      </c>
      <c r="BI3" s="28" t="n">
        <v>56</v>
      </c>
      <c r="BJ3" s="28" t="n">
        <v>57</v>
      </c>
      <c r="BK3" s="28" t="n">
        <v>58</v>
      </c>
      <c r="BL3" s="28" t="n">
        <v>59</v>
      </c>
      <c r="BM3" s="28" t="n">
        <v>60</v>
      </c>
      <c r="BN3" s="28" t="n">
        <v>61</v>
      </c>
      <c r="BO3" s="28" t="n">
        <v>62</v>
      </c>
      <c r="BP3" s="28" t="n">
        <v>63</v>
      </c>
      <c r="BQ3" s="28" t="n">
        <v>64</v>
      </c>
      <c r="BR3" s="28" t="n">
        <v>65</v>
      </c>
      <c r="BS3" s="28" t="n">
        <v>66</v>
      </c>
      <c r="BT3" s="28" t="n">
        <v>67</v>
      </c>
      <c r="BU3" s="28" t="n">
        <v>68</v>
      </c>
      <c r="BV3" s="28" t="n">
        <v>69</v>
      </c>
      <c r="BW3" s="28" t="n">
        <v>70</v>
      </c>
      <c r="BX3" s="28" t="n">
        <v>71</v>
      </c>
      <c r="BY3" s="28" t="n">
        <v>72</v>
      </c>
      <c r="BZ3" s="28" t="n">
        <v>73</v>
      </c>
      <c r="CA3" s="28" t="n">
        <v>74</v>
      </c>
      <c r="CB3" s="28" t="n">
        <v>75</v>
      </c>
      <c r="CC3" s="28" t="n">
        <v>76</v>
      </c>
      <c r="CD3" s="28" t="n">
        <v>77</v>
      </c>
      <c r="CE3" s="28" t="n">
        <v>78</v>
      </c>
      <c r="CF3" s="28" t="n">
        <v>79</v>
      </c>
      <c r="CG3" s="28" t="n">
        <v>80</v>
      </c>
      <c r="CH3" s="28" t="n">
        <v>81</v>
      </c>
      <c r="CI3" s="28" t="n">
        <v>82</v>
      </c>
      <c r="CJ3" s="28" t="n">
        <v>83</v>
      </c>
      <c r="CK3" s="28" t="n">
        <v>84</v>
      </c>
      <c r="CL3" s="28" t="n">
        <v>85</v>
      </c>
      <c r="CM3" s="28" t="n">
        <v>86</v>
      </c>
      <c r="CN3" s="28" t="n">
        <v>87</v>
      </c>
      <c r="CO3" s="28" t="n">
        <v>88</v>
      </c>
      <c r="CP3" s="28" t="n">
        <v>89</v>
      </c>
      <c r="CQ3" s="28" t="n">
        <v>90</v>
      </c>
      <c r="CR3" s="28" t="n">
        <v>91</v>
      </c>
      <c r="CS3" s="28" t="n">
        <v>92</v>
      </c>
      <c r="CT3" s="28" t="n">
        <v>93</v>
      </c>
      <c r="CU3" s="28" t="n">
        <v>94</v>
      </c>
      <c r="CV3" s="28" t="n">
        <v>95</v>
      </c>
      <c r="CW3" s="28" t="n">
        <v>96</v>
      </c>
      <c r="CX3" s="28" t="n">
        <v>97</v>
      </c>
      <c r="CY3" s="28" t="n">
        <v>98</v>
      </c>
      <c r="CZ3" s="28" t="n">
        <v>99</v>
      </c>
      <c r="DA3" s="28" t="n">
        <v>100</v>
      </c>
      <c r="DB3" s="28" t="n">
        <v>101</v>
      </c>
      <c r="DC3" s="28" t="n">
        <v>102</v>
      </c>
      <c r="DD3" s="28" t="n">
        <v>103</v>
      </c>
      <c r="DE3" s="28" t="n">
        <v>104</v>
      </c>
      <c r="DF3" s="28" t="n">
        <v>105</v>
      </c>
      <c r="DG3" s="28" t="n">
        <v>106</v>
      </c>
      <c r="DH3" s="28" t="n">
        <v>107</v>
      </c>
      <c r="DI3" s="28" t="n">
        <v>108</v>
      </c>
      <c r="DJ3" s="28" t="n">
        <v>109</v>
      </c>
      <c r="DK3" s="28" t="n">
        <v>110</v>
      </c>
      <c r="DL3" s="28" t="n">
        <v>111</v>
      </c>
      <c r="DM3" s="28" t="n">
        <v>112</v>
      </c>
      <c r="DN3" s="28" t="n">
        <v>113</v>
      </c>
      <c r="DO3" s="28" t="n">
        <v>114</v>
      </c>
      <c r="DP3" s="28" t="n">
        <v>115</v>
      </c>
      <c r="DQ3" s="28" t="n">
        <v>116</v>
      </c>
      <c r="DR3" s="28" t="n">
        <v>117</v>
      </c>
      <c r="DS3" s="28" t="n">
        <v>118</v>
      </c>
      <c r="DT3" s="28" t="n">
        <v>119</v>
      </c>
      <c r="DU3" s="28" t="n">
        <v>120</v>
      </c>
    </row>
    <row r="4">
      <c r="A4" t="inlineStr">
        <is>
          <t>Date</t>
        </is>
      </c>
      <c r="F4" s="29">
        <f>EDATE(Control!$B$4,0)</f>
        <v/>
      </c>
      <c r="G4" s="29">
        <f>EDATE(Control!$B$4,1)</f>
        <v/>
      </c>
      <c r="H4" s="29">
        <f>EDATE(Control!$B$4,2)</f>
        <v/>
      </c>
      <c r="I4" s="29">
        <f>EDATE(Control!$B$4,3)</f>
        <v/>
      </c>
      <c r="J4" s="29">
        <f>EDATE(Control!$B$4,4)</f>
        <v/>
      </c>
      <c r="K4" s="29">
        <f>EDATE(Control!$B$4,5)</f>
        <v/>
      </c>
      <c r="L4" s="29">
        <f>EDATE(Control!$B$4,6)</f>
        <v/>
      </c>
      <c r="M4" s="29">
        <f>EDATE(Control!$B$4,7)</f>
        <v/>
      </c>
      <c r="N4" s="29">
        <f>EDATE(Control!$B$4,8)</f>
        <v/>
      </c>
      <c r="O4" s="29">
        <f>EDATE(Control!$B$4,9)</f>
        <v/>
      </c>
      <c r="P4" s="29">
        <f>EDATE(Control!$B$4,10)</f>
        <v/>
      </c>
      <c r="Q4" s="29">
        <f>EDATE(Control!$B$4,11)</f>
        <v/>
      </c>
      <c r="R4" s="29">
        <f>EDATE(Control!$B$4,12)</f>
        <v/>
      </c>
      <c r="S4" s="29">
        <f>EDATE(Control!$B$4,13)</f>
        <v/>
      </c>
      <c r="T4" s="29">
        <f>EDATE(Control!$B$4,14)</f>
        <v/>
      </c>
      <c r="U4" s="29">
        <f>EDATE(Control!$B$4,15)</f>
        <v/>
      </c>
      <c r="V4" s="29">
        <f>EDATE(Control!$B$4,16)</f>
        <v/>
      </c>
      <c r="W4" s="29">
        <f>EDATE(Control!$B$4,17)</f>
        <v/>
      </c>
      <c r="X4" s="29">
        <f>EDATE(Control!$B$4,18)</f>
        <v/>
      </c>
      <c r="Y4" s="29">
        <f>EDATE(Control!$B$4,19)</f>
        <v/>
      </c>
      <c r="Z4" s="29">
        <f>EDATE(Control!$B$4,20)</f>
        <v/>
      </c>
      <c r="AA4" s="29">
        <f>EDATE(Control!$B$4,21)</f>
        <v/>
      </c>
      <c r="AB4" s="29">
        <f>EDATE(Control!$B$4,22)</f>
        <v/>
      </c>
      <c r="AC4" s="29">
        <f>EDATE(Control!$B$4,23)</f>
        <v/>
      </c>
      <c r="AD4" s="29">
        <f>EDATE(Control!$B$4,24)</f>
        <v/>
      </c>
      <c r="AE4" s="29">
        <f>EDATE(Control!$B$4,25)</f>
        <v/>
      </c>
      <c r="AF4" s="29">
        <f>EDATE(Control!$B$4,26)</f>
        <v/>
      </c>
      <c r="AG4" s="29">
        <f>EDATE(Control!$B$4,27)</f>
        <v/>
      </c>
      <c r="AH4" s="29">
        <f>EDATE(Control!$B$4,28)</f>
        <v/>
      </c>
      <c r="AI4" s="29">
        <f>EDATE(Control!$B$4,29)</f>
        <v/>
      </c>
      <c r="AJ4" s="29">
        <f>EDATE(Control!$B$4,30)</f>
        <v/>
      </c>
      <c r="AK4" s="29">
        <f>EDATE(Control!$B$4,31)</f>
        <v/>
      </c>
      <c r="AL4" s="29">
        <f>EDATE(Control!$B$4,32)</f>
        <v/>
      </c>
      <c r="AM4" s="29">
        <f>EDATE(Control!$B$4,33)</f>
        <v/>
      </c>
      <c r="AN4" s="29">
        <f>EDATE(Control!$B$4,34)</f>
        <v/>
      </c>
      <c r="AO4" s="29">
        <f>EDATE(Control!$B$4,35)</f>
        <v/>
      </c>
      <c r="AP4" s="29">
        <f>EDATE(Control!$B$4,36)</f>
        <v/>
      </c>
      <c r="AQ4" s="29">
        <f>EDATE(Control!$B$4,37)</f>
        <v/>
      </c>
      <c r="AR4" s="29">
        <f>EDATE(Control!$B$4,38)</f>
        <v/>
      </c>
      <c r="AS4" s="29">
        <f>EDATE(Control!$B$4,39)</f>
        <v/>
      </c>
      <c r="AT4" s="29">
        <f>EDATE(Control!$B$4,40)</f>
        <v/>
      </c>
      <c r="AU4" s="29">
        <f>EDATE(Control!$B$4,41)</f>
        <v/>
      </c>
      <c r="AV4" s="29">
        <f>EDATE(Control!$B$4,42)</f>
        <v/>
      </c>
      <c r="AW4" s="29">
        <f>EDATE(Control!$B$4,43)</f>
        <v/>
      </c>
      <c r="AX4" s="29">
        <f>EDATE(Control!$B$4,44)</f>
        <v/>
      </c>
      <c r="AY4" s="29">
        <f>EDATE(Control!$B$4,45)</f>
        <v/>
      </c>
      <c r="AZ4" s="29">
        <f>EDATE(Control!$B$4,46)</f>
        <v/>
      </c>
      <c r="BA4" s="29">
        <f>EDATE(Control!$B$4,47)</f>
        <v/>
      </c>
      <c r="BB4" s="29">
        <f>EDATE(Control!$B$4,48)</f>
        <v/>
      </c>
      <c r="BC4" s="29">
        <f>EDATE(Control!$B$4,49)</f>
        <v/>
      </c>
      <c r="BD4" s="29">
        <f>EDATE(Control!$B$4,50)</f>
        <v/>
      </c>
      <c r="BE4" s="29">
        <f>EDATE(Control!$B$4,51)</f>
        <v/>
      </c>
      <c r="BF4" s="29">
        <f>EDATE(Control!$B$4,52)</f>
        <v/>
      </c>
      <c r="BG4" s="29">
        <f>EDATE(Control!$B$4,53)</f>
        <v/>
      </c>
      <c r="BH4" s="29">
        <f>EDATE(Control!$B$4,54)</f>
        <v/>
      </c>
      <c r="BI4" s="29">
        <f>EDATE(Control!$B$4,55)</f>
        <v/>
      </c>
      <c r="BJ4" s="29">
        <f>EDATE(Control!$B$4,56)</f>
        <v/>
      </c>
      <c r="BK4" s="29">
        <f>EDATE(Control!$B$4,57)</f>
        <v/>
      </c>
      <c r="BL4" s="29">
        <f>EDATE(Control!$B$4,58)</f>
        <v/>
      </c>
      <c r="BM4" s="29">
        <f>EDATE(Control!$B$4,59)</f>
        <v/>
      </c>
      <c r="BN4" s="29">
        <f>EDATE(Control!$B$4,60)</f>
        <v/>
      </c>
      <c r="BO4" s="29">
        <f>EDATE(Control!$B$4,61)</f>
        <v/>
      </c>
      <c r="BP4" s="29">
        <f>EDATE(Control!$B$4,62)</f>
        <v/>
      </c>
      <c r="BQ4" s="29">
        <f>EDATE(Control!$B$4,63)</f>
        <v/>
      </c>
      <c r="BR4" s="29">
        <f>EDATE(Control!$B$4,64)</f>
        <v/>
      </c>
      <c r="BS4" s="29">
        <f>EDATE(Control!$B$4,65)</f>
        <v/>
      </c>
      <c r="BT4" s="29">
        <f>EDATE(Control!$B$4,66)</f>
        <v/>
      </c>
      <c r="BU4" s="29">
        <f>EDATE(Control!$B$4,67)</f>
        <v/>
      </c>
      <c r="BV4" s="29">
        <f>EDATE(Control!$B$4,68)</f>
        <v/>
      </c>
      <c r="BW4" s="29">
        <f>EDATE(Control!$B$4,69)</f>
        <v/>
      </c>
      <c r="BX4" s="29">
        <f>EDATE(Control!$B$4,70)</f>
        <v/>
      </c>
      <c r="BY4" s="29">
        <f>EDATE(Control!$B$4,71)</f>
        <v/>
      </c>
      <c r="BZ4" s="29">
        <f>EDATE(Control!$B$4,72)</f>
        <v/>
      </c>
      <c r="CA4" s="29">
        <f>EDATE(Control!$B$4,73)</f>
        <v/>
      </c>
      <c r="CB4" s="29">
        <f>EDATE(Control!$B$4,74)</f>
        <v/>
      </c>
      <c r="CC4" s="29">
        <f>EDATE(Control!$B$4,75)</f>
        <v/>
      </c>
      <c r="CD4" s="29">
        <f>EDATE(Control!$B$4,76)</f>
        <v/>
      </c>
      <c r="CE4" s="29">
        <f>EDATE(Control!$B$4,77)</f>
        <v/>
      </c>
      <c r="CF4" s="29">
        <f>EDATE(Control!$B$4,78)</f>
        <v/>
      </c>
      <c r="CG4" s="29">
        <f>EDATE(Control!$B$4,79)</f>
        <v/>
      </c>
      <c r="CH4" s="29">
        <f>EDATE(Control!$B$4,80)</f>
        <v/>
      </c>
      <c r="CI4" s="29">
        <f>EDATE(Control!$B$4,81)</f>
        <v/>
      </c>
      <c r="CJ4" s="29">
        <f>EDATE(Control!$B$4,82)</f>
        <v/>
      </c>
      <c r="CK4" s="29">
        <f>EDATE(Control!$B$4,83)</f>
        <v/>
      </c>
      <c r="CL4" s="29">
        <f>EDATE(Control!$B$4,84)</f>
        <v/>
      </c>
      <c r="CM4" s="29">
        <f>EDATE(Control!$B$4,85)</f>
        <v/>
      </c>
      <c r="CN4" s="29">
        <f>EDATE(Control!$B$4,86)</f>
        <v/>
      </c>
      <c r="CO4" s="29">
        <f>EDATE(Control!$B$4,87)</f>
        <v/>
      </c>
      <c r="CP4" s="29">
        <f>EDATE(Control!$B$4,88)</f>
        <v/>
      </c>
      <c r="CQ4" s="29">
        <f>EDATE(Control!$B$4,89)</f>
        <v/>
      </c>
      <c r="CR4" s="29">
        <f>EDATE(Control!$B$4,90)</f>
        <v/>
      </c>
      <c r="CS4" s="29">
        <f>EDATE(Control!$B$4,91)</f>
        <v/>
      </c>
      <c r="CT4" s="29">
        <f>EDATE(Control!$B$4,92)</f>
        <v/>
      </c>
      <c r="CU4" s="29">
        <f>EDATE(Control!$B$4,93)</f>
        <v/>
      </c>
      <c r="CV4" s="29">
        <f>EDATE(Control!$B$4,94)</f>
        <v/>
      </c>
      <c r="CW4" s="29">
        <f>EDATE(Control!$B$4,95)</f>
        <v/>
      </c>
      <c r="CX4" s="29">
        <f>EDATE(Control!$B$4,96)</f>
        <v/>
      </c>
      <c r="CY4" s="29">
        <f>EDATE(Control!$B$4,97)</f>
        <v/>
      </c>
      <c r="CZ4" s="29">
        <f>EDATE(Control!$B$4,98)</f>
        <v/>
      </c>
      <c r="DA4" s="29">
        <f>EDATE(Control!$B$4,99)</f>
        <v/>
      </c>
      <c r="DB4" s="29">
        <f>EDATE(Control!$B$4,100)</f>
        <v/>
      </c>
      <c r="DC4" s="29">
        <f>EDATE(Control!$B$4,101)</f>
        <v/>
      </c>
      <c r="DD4" s="29">
        <f>EDATE(Control!$B$4,102)</f>
        <v/>
      </c>
      <c r="DE4" s="29">
        <f>EDATE(Control!$B$4,103)</f>
        <v/>
      </c>
      <c r="DF4" s="29">
        <f>EDATE(Control!$B$4,104)</f>
        <v/>
      </c>
      <c r="DG4" s="29">
        <f>EDATE(Control!$B$4,105)</f>
        <v/>
      </c>
      <c r="DH4" s="29">
        <f>EDATE(Control!$B$4,106)</f>
        <v/>
      </c>
      <c r="DI4" s="29">
        <f>EDATE(Control!$B$4,107)</f>
        <v/>
      </c>
      <c r="DJ4" s="29">
        <f>EDATE(Control!$B$4,108)</f>
        <v/>
      </c>
      <c r="DK4" s="29">
        <f>EDATE(Control!$B$4,109)</f>
        <v/>
      </c>
      <c r="DL4" s="29">
        <f>EDATE(Control!$B$4,110)</f>
        <v/>
      </c>
      <c r="DM4" s="29">
        <f>EDATE(Control!$B$4,111)</f>
        <v/>
      </c>
      <c r="DN4" s="29">
        <f>EDATE(Control!$B$4,112)</f>
        <v/>
      </c>
      <c r="DO4" s="29">
        <f>EDATE(Control!$B$4,113)</f>
        <v/>
      </c>
      <c r="DP4" s="29">
        <f>EDATE(Control!$B$4,114)</f>
        <v/>
      </c>
      <c r="DQ4" s="29">
        <f>EDATE(Control!$B$4,115)</f>
        <v/>
      </c>
      <c r="DR4" s="29">
        <f>EDATE(Control!$B$4,116)</f>
        <v/>
      </c>
      <c r="DS4" s="29">
        <f>EDATE(Control!$B$4,117)</f>
        <v/>
      </c>
      <c r="DT4" s="29">
        <f>EDATE(Control!$B$4,118)</f>
        <v/>
      </c>
      <c r="DU4" s="29">
        <f>EDATE(Control!$B$4,119)</f>
        <v/>
      </c>
    </row>
    <row r="5">
      <c r="A5" t="inlineStr">
        <is>
          <t>Year</t>
        </is>
      </c>
      <c r="F5" s="30">
        <f>(1-1)/12</f>
        <v/>
      </c>
      <c r="G5" s="30">
        <f>(2-1)/12</f>
        <v/>
      </c>
      <c r="H5" s="30">
        <f>(3-1)/12</f>
        <v/>
      </c>
      <c r="I5" s="30">
        <f>(4-1)/12</f>
        <v/>
      </c>
      <c r="J5" s="30">
        <f>(5-1)/12</f>
        <v/>
      </c>
      <c r="K5" s="30">
        <f>(6-1)/12</f>
        <v/>
      </c>
      <c r="L5" s="30">
        <f>(7-1)/12</f>
        <v/>
      </c>
      <c r="M5" s="30">
        <f>(8-1)/12</f>
        <v/>
      </c>
      <c r="N5" s="30">
        <f>(9-1)/12</f>
        <v/>
      </c>
      <c r="O5" s="30">
        <f>(10-1)/12</f>
        <v/>
      </c>
      <c r="P5" s="30">
        <f>(11-1)/12</f>
        <v/>
      </c>
      <c r="Q5" s="30">
        <f>(12-1)/12</f>
        <v/>
      </c>
      <c r="R5" s="30">
        <f>(13-1)/12</f>
        <v/>
      </c>
      <c r="S5" s="30">
        <f>(14-1)/12</f>
        <v/>
      </c>
      <c r="T5" s="30">
        <f>(15-1)/12</f>
        <v/>
      </c>
      <c r="U5" s="30">
        <f>(16-1)/12</f>
        <v/>
      </c>
      <c r="V5" s="30">
        <f>(17-1)/12</f>
        <v/>
      </c>
      <c r="W5" s="30">
        <f>(18-1)/12</f>
        <v/>
      </c>
      <c r="X5" s="30">
        <f>(19-1)/12</f>
        <v/>
      </c>
      <c r="Y5" s="30">
        <f>(20-1)/12</f>
        <v/>
      </c>
      <c r="Z5" s="30">
        <f>(21-1)/12</f>
        <v/>
      </c>
      <c r="AA5" s="30">
        <f>(22-1)/12</f>
        <v/>
      </c>
      <c r="AB5" s="30">
        <f>(23-1)/12</f>
        <v/>
      </c>
      <c r="AC5" s="30">
        <f>(24-1)/12</f>
        <v/>
      </c>
      <c r="AD5" s="30">
        <f>(25-1)/12</f>
        <v/>
      </c>
      <c r="AE5" s="30">
        <f>(26-1)/12</f>
        <v/>
      </c>
      <c r="AF5" s="30">
        <f>(27-1)/12</f>
        <v/>
      </c>
      <c r="AG5" s="30">
        <f>(28-1)/12</f>
        <v/>
      </c>
      <c r="AH5" s="30">
        <f>(29-1)/12</f>
        <v/>
      </c>
      <c r="AI5" s="30">
        <f>(30-1)/12</f>
        <v/>
      </c>
      <c r="AJ5" s="30">
        <f>(31-1)/12</f>
        <v/>
      </c>
      <c r="AK5" s="30">
        <f>(32-1)/12</f>
        <v/>
      </c>
      <c r="AL5" s="30">
        <f>(33-1)/12</f>
        <v/>
      </c>
      <c r="AM5" s="30">
        <f>(34-1)/12</f>
        <v/>
      </c>
      <c r="AN5" s="30">
        <f>(35-1)/12</f>
        <v/>
      </c>
      <c r="AO5" s="30">
        <f>(36-1)/12</f>
        <v/>
      </c>
      <c r="AP5" s="30">
        <f>(37-1)/12</f>
        <v/>
      </c>
      <c r="AQ5" s="30">
        <f>(38-1)/12</f>
        <v/>
      </c>
      <c r="AR5" s="30">
        <f>(39-1)/12</f>
        <v/>
      </c>
      <c r="AS5" s="30">
        <f>(40-1)/12</f>
        <v/>
      </c>
      <c r="AT5" s="30">
        <f>(41-1)/12</f>
        <v/>
      </c>
      <c r="AU5" s="30">
        <f>(42-1)/12</f>
        <v/>
      </c>
      <c r="AV5" s="30">
        <f>(43-1)/12</f>
        <v/>
      </c>
      <c r="AW5" s="30">
        <f>(44-1)/12</f>
        <v/>
      </c>
      <c r="AX5" s="30">
        <f>(45-1)/12</f>
        <v/>
      </c>
      <c r="AY5" s="30">
        <f>(46-1)/12</f>
        <v/>
      </c>
      <c r="AZ5" s="30">
        <f>(47-1)/12</f>
        <v/>
      </c>
      <c r="BA5" s="30">
        <f>(48-1)/12</f>
        <v/>
      </c>
      <c r="BB5" s="30">
        <f>(49-1)/12</f>
        <v/>
      </c>
      <c r="BC5" s="30">
        <f>(50-1)/12</f>
        <v/>
      </c>
      <c r="BD5" s="30">
        <f>(51-1)/12</f>
        <v/>
      </c>
      <c r="BE5" s="30">
        <f>(52-1)/12</f>
        <v/>
      </c>
      <c r="BF5" s="30">
        <f>(53-1)/12</f>
        <v/>
      </c>
      <c r="BG5" s="30">
        <f>(54-1)/12</f>
        <v/>
      </c>
      <c r="BH5" s="30">
        <f>(55-1)/12</f>
        <v/>
      </c>
      <c r="BI5" s="30">
        <f>(56-1)/12</f>
        <v/>
      </c>
      <c r="BJ5" s="30">
        <f>(57-1)/12</f>
        <v/>
      </c>
      <c r="BK5" s="30">
        <f>(58-1)/12</f>
        <v/>
      </c>
      <c r="BL5" s="30">
        <f>(59-1)/12</f>
        <v/>
      </c>
      <c r="BM5" s="30">
        <f>(60-1)/12</f>
        <v/>
      </c>
      <c r="BN5" s="30">
        <f>(61-1)/12</f>
        <v/>
      </c>
      <c r="BO5" s="30">
        <f>(62-1)/12</f>
        <v/>
      </c>
      <c r="BP5" s="30">
        <f>(63-1)/12</f>
        <v/>
      </c>
      <c r="BQ5" s="30">
        <f>(64-1)/12</f>
        <v/>
      </c>
      <c r="BR5" s="30">
        <f>(65-1)/12</f>
        <v/>
      </c>
      <c r="BS5" s="30">
        <f>(66-1)/12</f>
        <v/>
      </c>
      <c r="BT5" s="30">
        <f>(67-1)/12</f>
        <v/>
      </c>
      <c r="BU5" s="30">
        <f>(68-1)/12</f>
        <v/>
      </c>
      <c r="BV5" s="30">
        <f>(69-1)/12</f>
        <v/>
      </c>
      <c r="BW5" s="30">
        <f>(70-1)/12</f>
        <v/>
      </c>
      <c r="BX5" s="30">
        <f>(71-1)/12</f>
        <v/>
      </c>
      <c r="BY5" s="30">
        <f>(72-1)/12</f>
        <v/>
      </c>
      <c r="BZ5" s="30">
        <f>(73-1)/12</f>
        <v/>
      </c>
      <c r="CA5" s="30">
        <f>(74-1)/12</f>
        <v/>
      </c>
      <c r="CB5" s="30">
        <f>(75-1)/12</f>
        <v/>
      </c>
      <c r="CC5" s="30">
        <f>(76-1)/12</f>
        <v/>
      </c>
      <c r="CD5" s="30">
        <f>(77-1)/12</f>
        <v/>
      </c>
      <c r="CE5" s="30">
        <f>(78-1)/12</f>
        <v/>
      </c>
      <c r="CF5" s="30">
        <f>(79-1)/12</f>
        <v/>
      </c>
      <c r="CG5" s="30">
        <f>(80-1)/12</f>
        <v/>
      </c>
      <c r="CH5" s="30">
        <f>(81-1)/12</f>
        <v/>
      </c>
      <c r="CI5" s="30">
        <f>(82-1)/12</f>
        <v/>
      </c>
      <c r="CJ5" s="30">
        <f>(83-1)/12</f>
        <v/>
      </c>
      <c r="CK5" s="30">
        <f>(84-1)/12</f>
        <v/>
      </c>
      <c r="CL5" s="30">
        <f>(85-1)/12</f>
        <v/>
      </c>
      <c r="CM5" s="30">
        <f>(86-1)/12</f>
        <v/>
      </c>
      <c r="CN5" s="30">
        <f>(87-1)/12</f>
        <v/>
      </c>
      <c r="CO5" s="30">
        <f>(88-1)/12</f>
        <v/>
      </c>
      <c r="CP5" s="30">
        <f>(89-1)/12</f>
        <v/>
      </c>
      <c r="CQ5" s="30">
        <f>(90-1)/12</f>
        <v/>
      </c>
      <c r="CR5" s="30">
        <f>(91-1)/12</f>
        <v/>
      </c>
      <c r="CS5" s="30">
        <f>(92-1)/12</f>
        <v/>
      </c>
      <c r="CT5" s="30">
        <f>(93-1)/12</f>
        <v/>
      </c>
      <c r="CU5" s="30">
        <f>(94-1)/12</f>
        <v/>
      </c>
      <c r="CV5" s="30">
        <f>(95-1)/12</f>
        <v/>
      </c>
      <c r="CW5" s="30">
        <f>(96-1)/12</f>
        <v/>
      </c>
      <c r="CX5" s="30">
        <f>(97-1)/12</f>
        <v/>
      </c>
      <c r="CY5" s="30">
        <f>(98-1)/12</f>
        <v/>
      </c>
      <c r="CZ5" s="30">
        <f>(99-1)/12</f>
        <v/>
      </c>
      <c r="DA5" s="30">
        <f>(100-1)/12</f>
        <v/>
      </c>
      <c r="DB5" s="30">
        <f>(101-1)/12</f>
        <v/>
      </c>
      <c r="DC5" s="30">
        <f>(102-1)/12</f>
        <v/>
      </c>
      <c r="DD5" s="30">
        <f>(103-1)/12</f>
        <v/>
      </c>
      <c r="DE5" s="30">
        <f>(104-1)/12</f>
        <v/>
      </c>
      <c r="DF5" s="30">
        <f>(105-1)/12</f>
        <v/>
      </c>
      <c r="DG5" s="30">
        <f>(106-1)/12</f>
        <v/>
      </c>
      <c r="DH5" s="30">
        <f>(107-1)/12</f>
        <v/>
      </c>
      <c r="DI5" s="30">
        <f>(108-1)/12</f>
        <v/>
      </c>
      <c r="DJ5" s="30">
        <f>(109-1)/12</f>
        <v/>
      </c>
      <c r="DK5" s="30">
        <f>(110-1)/12</f>
        <v/>
      </c>
      <c r="DL5" s="30">
        <f>(111-1)/12</f>
        <v/>
      </c>
      <c r="DM5" s="30">
        <f>(112-1)/12</f>
        <v/>
      </c>
      <c r="DN5" s="30">
        <f>(113-1)/12</f>
        <v/>
      </c>
      <c r="DO5" s="30">
        <f>(114-1)/12</f>
        <v/>
      </c>
      <c r="DP5" s="30">
        <f>(115-1)/12</f>
        <v/>
      </c>
      <c r="DQ5" s="30">
        <f>(116-1)/12</f>
        <v/>
      </c>
      <c r="DR5" s="30">
        <f>(117-1)/12</f>
        <v/>
      </c>
      <c r="DS5" s="30">
        <f>(118-1)/12</f>
        <v/>
      </c>
      <c r="DT5" s="30">
        <f>(119-1)/12</f>
        <v/>
      </c>
      <c r="DU5" s="30">
        <f>(120-1)/12</f>
        <v/>
      </c>
    </row>
    <row r="10">
      <c r="A10" s="11" t="inlineStr">
        <is>
          <t>BALANCE SHEET</t>
        </is>
      </c>
      <c r="E10" s="47" t="inlineStr">
        <is>
          <t>M0</t>
        </is>
      </c>
    </row>
    <row r="12">
      <c r="A12" s="11" t="inlineStr">
        <is>
          <t>ASSETS</t>
        </is>
      </c>
    </row>
    <row r="13">
      <c r="A13" s="11" t="inlineStr">
        <is>
          <t>Fixed Assets</t>
        </is>
      </c>
    </row>
    <row r="14">
      <c r="A14" t="inlineStr">
        <is>
          <t>Gross fixed assets</t>
        </is>
      </c>
      <c r="E14" s="44" t="n">
        <v>0</v>
      </c>
      <c r="F14" s="44">
        <f>Capex_Schedule!F20</f>
        <v/>
      </c>
      <c r="G14" s="44">
        <f>Capex_Schedule!G20</f>
        <v/>
      </c>
      <c r="H14" s="44">
        <f>Capex_Schedule!H20</f>
        <v/>
      </c>
      <c r="I14" s="44">
        <f>Capex_Schedule!I20</f>
        <v/>
      </c>
      <c r="J14" s="44">
        <f>Capex_Schedule!J20</f>
        <v/>
      </c>
      <c r="K14" s="44">
        <f>Capex_Schedule!K20</f>
        <v/>
      </c>
      <c r="L14" s="44">
        <f>Capex_Schedule!L20</f>
        <v/>
      </c>
      <c r="M14" s="44">
        <f>Capex_Schedule!M20</f>
        <v/>
      </c>
      <c r="N14" s="44">
        <f>Capex_Schedule!N20</f>
        <v/>
      </c>
      <c r="O14" s="44">
        <f>Capex_Schedule!O20</f>
        <v/>
      </c>
      <c r="P14" s="44">
        <f>Capex_Schedule!P20</f>
        <v/>
      </c>
      <c r="Q14" s="44">
        <f>Capex_Schedule!Q20</f>
        <v/>
      </c>
      <c r="R14" s="44">
        <f>Capex_Schedule!R20</f>
        <v/>
      </c>
      <c r="S14" s="44">
        <f>Capex_Schedule!S20</f>
        <v/>
      </c>
      <c r="T14" s="44">
        <f>Capex_Schedule!T20</f>
        <v/>
      </c>
      <c r="U14" s="44">
        <f>Capex_Schedule!U20</f>
        <v/>
      </c>
      <c r="V14" s="44">
        <f>Capex_Schedule!V20</f>
        <v/>
      </c>
      <c r="W14" s="44">
        <f>Capex_Schedule!W20</f>
        <v/>
      </c>
      <c r="X14" s="44">
        <f>Capex_Schedule!X20</f>
        <v/>
      </c>
      <c r="Y14" s="44">
        <f>Capex_Schedule!Y20</f>
        <v/>
      </c>
      <c r="Z14" s="44">
        <f>Capex_Schedule!Z20</f>
        <v/>
      </c>
      <c r="AA14" s="44">
        <f>Capex_Schedule!AA20</f>
        <v/>
      </c>
      <c r="AB14" s="44">
        <f>Capex_Schedule!AB20</f>
        <v/>
      </c>
      <c r="AC14" s="44">
        <f>Capex_Schedule!AC20</f>
        <v/>
      </c>
      <c r="AD14" s="44">
        <f>Capex_Schedule!AD20</f>
        <v/>
      </c>
      <c r="AE14" s="44">
        <f>Capex_Schedule!AE20</f>
        <v/>
      </c>
      <c r="AF14" s="44">
        <f>Capex_Schedule!AF20</f>
        <v/>
      </c>
      <c r="AG14" s="44">
        <f>Capex_Schedule!AG20</f>
        <v/>
      </c>
      <c r="AH14" s="44">
        <f>Capex_Schedule!AH20</f>
        <v/>
      </c>
      <c r="AI14" s="44">
        <f>Capex_Schedule!AI20</f>
        <v/>
      </c>
      <c r="AJ14" s="44">
        <f>Capex_Schedule!AJ20</f>
        <v/>
      </c>
      <c r="AK14" s="44">
        <f>Capex_Schedule!AK20</f>
        <v/>
      </c>
      <c r="AL14" s="44">
        <f>Capex_Schedule!AL20</f>
        <v/>
      </c>
      <c r="AM14" s="44">
        <f>Capex_Schedule!AM20</f>
        <v/>
      </c>
      <c r="AN14" s="44">
        <f>Capex_Schedule!AN20</f>
        <v/>
      </c>
      <c r="AO14" s="44">
        <f>Capex_Schedule!AO20</f>
        <v/>
      </c>
      <c r="AP14" s="44">
        <f>Capex_Schedule!AP20</f>
        <v/>
      </c>
      <c r="AQ14" s="44">
        <f>Capex_Schedule!AQ20</f>
        <v/>
      </c>
      <c r="AR14" s="44">
        <f>Capex_Schedule!AR20</f>
        <v/>
      </c>
      <c r="AS14" s="44">
        <f>Capex_Schedule!AS20</f>
        <v/>
      </c>
      <c r="AT14" s="44">
        <f>Capex_Schedule!AT20</f>
        <v/>
      </c>
      <c r="AU14" s="44">
        <f>Capex_Schedule!AU20</f>
        <v/>
      </c>
      <c r="AV14" s="44">
        <f>Capex_Schedule!AV20</f>
        <v/>
      </c>
      <c r="AW14" s="44">
        <f>Capex_Schedule!AW20</f>
        <v/>
      </c>
      <c r="AX14" s="44">
        <f>Capex_Schedule!AX20</f>
        <v/>
      </c>
      <c r="AY14" s="44">
        <f>Capex_Schedule!AY20</f>
        <v/>
      </c>
      <c r="AZ14" s="44">
        <f>Capex_Schedule!AZ20</f>
        <v/>
      </c>
      <c r="BA14" s="44">
        <f>Capex_Schedule!BA20</f>
        <v/>
      </c>
      <c r="BB14" s="44">
        <f>Capex_Schedule!BB20</f>
        <v/>
      </c>
      <c r="BC14" s="44">
        <f>Capex_Schedule!BC20</f>
        <v/>
      </c>
      <c r="BD14" s="44">
        <f>Capex_Schedule!BD20</f>
        <v/>
      </c>
      <c r="BE14" s="44">
        <f>Capex_Schedule!BE20</f>
        <v/>
      </c>
      <c r="BF14" s="44">
        <f>Capex_Schedule!BF20</f>
        <v/>
      </c>
      <c r="BG14" s="44">
        <f>Capex_Schedule!BG20</f>
        <v/>
      </c>
      <c r="BH14" s="44">
        <f>Capex_Schedule!BH20</f>
        <v/>
      </c>
      <c r="BI14" s="44">
        <f>Capex_Schedule!BI20</f>
        <v/>
      </c>
      <c r="BJ14" s="44">
        <f>Capex_Schedule!BJ20</f>
        <v/>
      </c>
      <c r="BK14" s="44">
        <f>Capex_Schedule!BK20</f>
        <v/>
      </c>
      <c r="BL14" s="44">
        <f>Capex_Schedule!BL20</f>
        <v/>
      </c>
      <c r="BM14" s="44">
        <f>Capex_Schedule!BM20</f>
        <v/>
      </c>
      <c r="BN14" s="44">
        <f>Capex_Schedule!BN20</f>
        <v/>
      </c>
      <c r="BO14" s="44">
        <f>Capex_Schedule!BO20</f>
        <v/>
      </c>
      <c r="BP14" s="44">
        <f>Capex_Schedule!BP20</f>
        <v/>
      </c>
      <c r="BQ14" s="44">
        <f>Capex_Schedule!BQ20</f>
        <v/>
      </c>
      <c r="BR14" s="44">
        <f>Capex_Schedule!BR20</f>
        <v/>
      </c>
      <c r="BS14" s="44">
        <f>Capex_Schedule!BS20</f>
        <v/>
      </c>
      <c r="BT14" s="44">
        <f>Capex_Schedule!BT20</f>
        <v/>
      </c>
      <c r="BU14" s="44">
        <f>Capex_Schedule!BU20</f>
        <v/>
      </c>
      <c r="BV14" s="44">
        <f>Capex_Schedule!BV20</f>
        <v/>
      </c>
      <c r="BW14" s="44">
        <f>Capex_Schedule!BW20</f>
        <v/>
      </c>
      <c r="BX14" s="44">
        <f>Capex_Schedule!BX20</f>
        <v/>
      </c>
      <c r="BY14" s="44">
        <f>Capex_Schedule!BY20</f>
        <v/>
      </c>
      <c r="BZ14" s="44">
        <f>Capex_Schedule!BZ20</f>
        <v/>
      </c>
      <c r="CA14" s="44">
        <f>Capex_Schedule!CA20</f>
        <v/>
      </c>
      <c r="CB14" s="44">
        <f>Capex_Schedule!CB20</f>
        <v/>
      </c>
      <c r="CC14" s="44">
        <f>Capex_Schedule!CC20</f>
        <v/>
      </c>
      <c r="CD14" s="44">
        <f>Capex_Schedule!CD20</f>
        <v/>
      </c>
      <c r="CE14" s="44">
        <f>Capex_Schedule!CE20</f>
        <v/>
      </c>
      <c r="CF14" s="44">
        <f>Capex_Schedule!CF20</f>
        <v/>
      </c>
      <c r="CG14" s="44">
        <f>Capex_Schedule!CG20</f>
        <v/>
      </c>
      <c r="CH14" s="44">
        <f>Capex_Schedule!CH20</f>
        <v/>
      </c>
      <c r="CI14" s="44">
        <f>Capex_Schedule!CI20</f>
        <v/>
      </c>
      <c r="CJ14" s="44">
        <f>Capex_Schedule!CJ20</f>
        <v/>
      </c>
      <c r="CK14" s="44">
        <f>Capex_Schedule!CK20</f>
        <v/>
      </c>
      <c r="CL14" s="44">
        <f>Capex_Schedule!CL20</f>
        <v/>
      </c>
      <c r="CM14" s="44">
        <f>Capex_Schedule!CM20</f>
        <v/>
      </c>
      <c r="CN14" s="44">
        <f>Capex_Schedule!CN20</f>
        <v/>
      </c>
      <c r="CO14" s="44">
        <f>Capex_Schedule!CO20</f>
        <v/>
      </c>
      <c r="CP14" s="44">
        <f>Capex_Schedule!CP20</f>
        <v/>
      </c>
      <c r="CQ14" s="44">
        <f>Capex_Schedule!CQ20</f>
        <v/>
      </c>
      <c r="CR14" s="44">
        <f>Capex_Schedule!CR20</f>
        <v/>
      </c>
      <c r="CS14" s="44">
        <f>Capex_Schedule!CS20</f>
        <v/>
      </c>
      <c r="CT14" s="44">
        <f>Capex_Schedule!CT20</f>
        <v/>
      </c>
      <c r="CU14" s="44">
        <f>Capex_Schedule!CU20</f>
        <v/>
      </c>
      <c r="CV14" s="44">
        <f>Capex_Schedule!CV20</f>
        <v/>
      </c>
      <c r="CW14" s="44">
        <f>Capex_Schedule!CW20</f>
        <v/>
      </c>
      <c r="CX14" s="44">
        <f>Capex_Schedule!CX20</f>
        <v/>
      </c>
      <c r="CY14" s="44">
        <f>Capex_Schedule!CY20</f>
        <v/>
      </c>
      <c r="CZ14" s="44">
        <f>Capex_Schedule!CZ20</f>
        <v/>
      </c>
      <c r="DA14" s="44">
        <f>Capex_Schedule!DA20</f>
        <v/>
      </c>
      <c r="DB14" s="44">
        <f>Capex_Schedule!DB20</f>
        <v/>
      </c>
      <c r="DC14" s="44">
        <f>Capex_Schedule!DC20</f>
        <v/>
      </c>
      <c r="DD14" s="44">
        <f>Capex_Schedule!DD20</f>
        <v/>
      </c>
      <c r="DE14" s="44">
        <f>Capex_Schedule!DE20</f>
        <v/>
      </c>
      <c r="DF14" s="44">
        <f>Capex_Schedule!DF20</f>
        <v/>
      </c>
      <c r="DG14" s="44">
        <f>Capex_Schedule!DG20</f>
        <v/>
      </c>
      <c r="DH14" s="44">
        <f>Capex_Schedule!DH20</f>
        <v/>
      </c>
      <c r="DI14" s="44">
        <f>Capex_Schedule!DI20</f>
        <v/>
      </c>
      <c r="DJ14" s="44">
        <f>Capex_Schedule!DJ20</f>
        <v/>
      </c>
      <c r="DK14" s="44">
        <f>Capex_Schedule!DK20</f>
        <v/>
      </c>
      <c r="DL14" s="44">
        <f>Capex_Schedule!DL20</f>
        <v/>
      </c>
      <c r="DM14" s="44">
        <f>Capex_Schedule!DM20</f>
        <v/>
      </c>
      <c r="DN14" s="44">
        <f>Capex_Schedule!DN20</f>
        <v/>
      </c>
      <c r="DO14" s="44">
        <f>Capex_Schedule!DO20</f>
        <v/>
      </c>
      <c r="DP14" s="44">
        <f>Capex_Schedule!DP20</f>
        <v/>
      </c>
      <c r="DQ14" s="44">
        <f>Capex_Schedule!DQ20</f>
        <v/>
      </c>
      <c r="DR14" s="44">
        <f>Capex_Schedule!DR20</f>
        <v/>
      </c>
      <c r="DS14" s="44">
        <f>Capex_Schedule!DS20</f>
        <v/>
      </c>
      <c r="DT14" s="44">
        <f>Capex_Schedule!DT20</f>
        <v/>
      </c>
      <c r="DU14" s="44">
        <f>Capex_Schedule!DU20</f>
        <v/>
      </c>
    </row>
    <row r="15">
      <c r="A15" t="inlineStr">
        <is>
          <t>Accumulated depreciation</t>
        </is>
      </c>
      <c r="E15" s="44" t="n">
        <v>0</v>
      </c>
      <c r="F15" s="44">
        <f>Capex_Schedule!F21</f>
        <v/>
      </c>
      <c r="G15" s="44">
        <f>Capex_Schedule!G21</f>
        <v/>
      </c>
      <c r="H15" s="44">
        <f>Capex_Schedule!H21</f>
        <v/>
      </c>
      <c r="I15" s="44">
        <f>Capex_Schedule!I21</f>
        <v/>
      </c>
      <c r="J15" s="44">
        <f>Capex_Schedule!J21</f>
        <v/>
      </c>
      <c r="K15" s="44">
        <f>Capex_Schedule!K21</f>
        <v/>
      </c>
      <c r="L15" s="44">
        <f>Capex_Schedule!L21</f>
        <v/>
      </c>
      <c r="M15" s="44">
        <f>Capex_Schedule!M21</f>
        <v/>
      </c>
      <c r="N15" s="44">
        <f>Capex_Schedule!N21</f>
        <v/>
      </c>
      <c r="O15" s="44">
        <f>Capex_Schedule!O21</f>
        <v/>
      </c>
      <c r="P15" s="44">
        <f>Capex_Schedule!P21</f>
        <v/>
      </c>
      <c r="Q15" s="44">
        <f>Capex_Schedule!Q21</f>
        <v/>
      </c>
      <c r="R15" s="44">
        <f>Capex_Schedule!R21</f>
        <v/>
      </c>
      <c r="S15" s="44">
        <f>Capex_Schedule!S21</f>
        <v/>
      </c>
      <c r="T15" s="44">
        <f>Capex_Schedule!T21</f>
        <v/>
      </c>
      <c r="U15" s="44">
        <f>Capex_Schedule!U21</f>
        <v/>
      </c>
      <c r="V15" s="44">
        <f>Capex_Schedule!V21</f>
        <v/>
      </c>
      <c r="W15" s="44">
        <f>Capex_Schedule!W21</f>
        <v/>
      </c>
      <c r="X15" s="44">
        <f>Capex_Schedule!X21</f>
        <v/>
      </c>
      <c r="Y15" s="44">
        <f>Capex_Schedule!Y21</f>
        <v/>
      </c>
      <c r="Z15" s="44">
        <f>Capex_Schedule!Z21</f>
        <v/>
      </c>
      <c r="AA15" s="44">
        <f>Capex_Schedule!AA21</f>
        <v/>
      </c>
      <c r="AB15" s="44">
        <f>Capex_Schedule!AB21</f>
        <v/>
      </c>
      <c r="AC15" s="44">
        <f>Capex_Schedule!AC21</f>
        <v/>
      </c>
      <c r="AD15" s="44">
        <f>Capex_Schedule!AD21</f>
        <v/>
      </c>
      <c r="AE15" s="44">
        <f>Capex_Schedule!AE21</f>
        <v/>
      </c>
      <c r="AF15" s="44">
        <f>Capex_Schedule!AF21</f>
        <v/>
      </c>
      <c r="AG15" s="44">
        <f>Capex_Schedule!AG21</f>
        <v/>
      </c>
      <c r="AH15" s="44">
        <f>Capex_Schedule!AH21</f>
        <v/>
      </c>
      <c r="AI15" s="44">
        <f>Capex_Schedule!AI21</f>
        <v/>
      </c>
      <c r="AJ15" s="44">
        <f>Capex_Schedule!AJ21</f>
        <v/>
      </c>
      <c r="AK15" s="44">
        <f>Capex_Schedule!AK21</f>
        <v/>
      </c>
      <c r="AL15" s="44">
        <f>Capex_Schedule!AL21</f>
        <v/>
      </c>
      <c r="AM15" s="44">
        <f>Capex_Schedule!AM21</f>
        <v/>
      </c>
      <c r="AN15" s="44">
        <f>Capex_Schedule!AN21</f>
        <v/>
      </c>
      <c r="AO15" s="44">
        <f>Capex_Schedule!AO21</f>
        <v/>
      </c>
      <c r="AP15" s="44">
        <f>Capex_Schedule!AP21</f>
        <v/>
      </c>
      <c r="AQ15" s="44">
        <f>Capex_Schedule!AQ21</f>
        <v/>
      </c>
      <c r="AR15" s="44">
        <f>Capex_Schedule!AR21</f>
        <v/>
      </c>
      <c r="AS15" s="44">
        <f>Capex_Schedule!AS21</f>
        <v/>
      </c>
      <c r="AT15" s="44">
        <f>Capex_Schedule!AT21</f>
        <v/>
      </c>
      <c r="AU15" s="44">
        <f>Capex_Schedule!AU21</f>
        <v/>
      </c>
      <c r="AV15" s="44">
        <f>Capex_Schedule!AV21</f>
        <v/>
      </c>
      <c r="AW15" s="44">
        <f>Capex_Schedule!AW21</f>
        <v/>
      </c>
      <c r="AX15" s="44">
        <f>Capex_Schedule!AX21</f>
        <v/>
      </c>
      <c r="AY15" s="44">
        <f>Capex_Schedule!AY21</f>
        <v/>
      </c>
      <c r="AZ15" s="44">
        <f>Capex_Schedule!AZ21</f>
        <v/>
      </c>
      <c r="BA15" s="44">
        <f>Capex_Schedule!BA21</f>
        <v/>
      </c>
      <c r="BB15" s="44">
        <f>Capex_Schedule!BB21</f>
        <v/>
      </c>
      <c r="BC15" s="44">
        <f>Capex_Schedule!BC21</f>
        <v/>
      </c>
      <c r="BD15" s="44">
        <f>Capex_Schedule!BD21</f>
        <v/>
      </c>
      <c r="BE15" s="44">
        <f>Capex_Schedule!BE21</f>
        <v/>
      </c>
      <c r="BF15" s="44">
        <f>Capex_Schedule!BF21</f>
        <v/>
      </c>
      <c r="BG15" s="44">
        <f>Capex_Schedule!BG21</f>
        <v/>
      </c>
      <c r="BH15" s="44">
        <f>Capex_Schedule!BH21</f>
        <v/>
      </c>
      <c r="BI15" s="44">
        <f>Capex_Schedule!BI21</f>
        <v/>
      </c>
      <c r="BJ15" s="44">
        <f>Capex_Schedule!BJ21</f>
        <v/>
      </c>
      <c r="BK15" s="44">
        <f>Capex_Schedule!BK21</f>
        <v/>
      </c>
      <c r="BL15" s="44">
        <f>Capex_Schedule!BL21</f>
        <v/>
      </c>
      <c r="BM15" s="44">
        <f>Capex_Schedule!BM21</f>
        <v/>
      </c>
      <c r="BN15" s="44">
        <f>Capex_Schedule!BN21</f>
        <v/>
      </c>
      <c r="BO15" s="44">
        <f>Capex_Schedule!BO21</f>
        <v/>
      </c>
      <c r="BP15" s="44">
        <f>Capex_Schedule!BP21</f>
        <v/>
      </c>
      <c r="BQ15" s="44">
        <f>Capex_Schedule!BQ21</f>
        <v/>
      </c>
      <c r="BR15" s="44">
        <f>Capex_Schedule!BR21</f>
        <v/>
      </c>
      <c r="BS15" s="44">
        <f>Capex_Schedule!BS21</f>
        <v/>
      </c>
      <c r="BT15" s="44">
        <f>Capex_Schedule!BT21</f>
        <v/>
      </c>
      <c r="BU15" s="44">
        <f>Capex_Schedule!BU21</f>
        <v/>
      </c>
      <c r="BV15" s="44">
        <f>Capex_Schedule!BV21</f>
        <v/>
      </c>
      <c r="BW15" s="44">
        <f>Capex_Schedule!BW21</f>
        <v/>
      </c>
      <c r="BX15" s="44">
        <f>Capex_Schedule!BX21</f>
        <v/>
      </c>
      <c r="BY15" s="44">
        <f>Capex_Schedule!BY21</f>
        <v/>
      </c>
      <c r="BZ15" s="44">
        <f>Capex_Schedule!BZ21</f>
        <v/>
      </c>
      <c r="CA15" s="44">
        <f>Capex_Schedule!CA21</f>
        <v/>
      </c>
      <c r="CB15" s="44">
        <f>Capex_Schedule!CB21</f>
        <v/>
      </c>
      <c r="CC15" s="44">
        <f>Capex_Schedule!CC21</f>
        <v/>
      </c>
      <c r="CD15" s="44">
        <f>Capex_Schedule!CD21</f>
        <v/>
      </c>
      <c r="CE15" s="44">
        <f>Capex_Schedule!CE21</f>
        <v/>
      </c>
      <c r="CF15" s="44">
        <f>Capex_Schedule!CF21</f>
        <v/>
      </c>
      <c r="CG15" s="44">
        <f>Capex_Schedule!CG21</f>
        <v/>
      </c>
      <c r="CH15" s="44">
        <f>Capex_Schedule!CH21</f>
        <v/>
      </c>
      <c r="CI15" s="44">
        <f>Capex_Schedule!CI21</f>
        <v/>
      </c>
      <c r="CJ15" s="44">
        <f>Capex_Schedule!CJ21</f>
        <v/>
      </c>
      <c r="CK15" s="44">
        <f>Capex_Schedule!CK21</f>
        <v/>
      </c>
      <c r="CL15" s="44">
        <f>Capex_Schedule!CL21</f>
        <v/>
      </c>
      <c r="CM15" s="44">
        <f>Capex_Schedule!CM21</f>
        <v/>
      </c>
      <c r="CN15" s="44">
        <f>Capex_Schedule!CN21</f>
        <v/>
      </c>
      <c r="CO15" s="44">
        <f>Capex_Schedule!CO21</f>
        <v/>
      </c>
      <c r="CP15" s="44">
        <f>Capex_Schedule!CP21</f>
        <v/>
      </c>
      <c r="CQ15" s="44">
        <f>Capex_Schedule!CQ21</f>
        <v/>
      </c>
      <c r="CR15" s="44">
        <f>Capex_Schedule!CR21</f>
        <v/>
      </c>
      <c r="CS15" s="44">
        <f>Capex_Schedule!CS21</f>
        <v/>
      </c>
      <c r="CT15" s="44">
        <f>Capex_Schedule!CT21</f>
        <v/>
      </c>
      <c r="CU15" s="44">
        <f>Capex_Schedule!CU21</f>
        <v/>
      </c>
      <c r="CV15" s="44">
        <f>Capex_Schedule!CV21</f>
        <v/>
      </c>
      <c r="CW15" s="44">
        <f>Capex_Schedule!CW21</f>
        <v/>
      </c>
      <c r="CX15" s="44">
        <f>Capex_Schedule!CX21</f>
        <v/>
      </c>
      <c r="CY15" s="44">
        <f>Capex_Schedule!CY21</f>
        <v/>
      </c>
      <c r="CZ15" s="44">
        <f>Capex_Schedule!CZ21</f>
        <v/>
      </c>
      <c r="DA15" s="44">
        <f>Capex_Schedule!DA21</f>
        <v/>
      </c>
      <c r="DB15" s="44">
        <f>Capex_Schedule!DB21</f>
        <v/>
      </c>
      <c r="DC15" s="44">
        <f>Capex_Schedule!DC21</f>
        <v/>
      </c>
      <c r="DD15" s="44">
        <f>Capex_Schedule!DD21</f>
        <v/>
      </c>
      <c r="DE15" s="44">
        <f>Capex_Schedule!DE21</f>
        <v/>
      </c>
      <c r="DF15" s="44">
        <f>Capex_Schedule!DF21</f>
        <v/>
      </c>
      <c r="DG15" s="44">
        <f>Capex_Schedule!DG21</f>
        <v/>
      </c>
      <c r="DH15" s="44">
        <f>Capex_Schedule!DH21</f>
        <v/>
      </c>
      <c r="DI15" s="44">
        <f>Capex_Schedule!DI21</f>
        <v/>
      </c>
      <c r="DJ15" s="44">
        <f>Capex_Schedule!DJ21</f>
        <v/>
      </c>
      <c r="DK15" s="44">
        <f>Capex_Schedule!DK21</f>
        <v/>
      </c>
      <c r="DL15" s="44">
        <f>Capex_Schedule!DL21</f>
        <v/>
      </c>
      <c r="DM15" s="44">
        <f>Capex_Schedule!DM21</f>
        <v/>
      </c>
      <c r="DN15" s="44">
        <f>Capex_Schedule!DN21</f>
        <v/>
      </c>
      <c r="DO15" s="44">
        <f>Capex_Schedule!DO21</f>
        <v/>
      </c>
      <c r="DP15" s="44">
        <f>Capex_Schedule!DP21</f>
        <v/>
      </c>
      <c r="DQ15" s="44">
        <f>Capex_Schedule!DQ21</f>
        <v/>
      </c>
      <c r="DR15" s="44">
        <f>Capex_Schedule!DR21</f>
        <v/>
      </c>
      <c r="DS15" s="44">
        <f>Capex_Schedule!DS21</f>
        <v/>
      </c>
      <c r="DT15" s="44">
        <f>Capex_Schedule!DT21</f>
        <v/>
      </c>
      <c r="DU15" s="44">
        <f>Capex_Schedule!DU21</f>
        <v/>
      </c>
    </row>
    <row r="16">
      <c r="A16" s="8" t="inlineStr">
        <is>
          <t>Net book value</t>
        </is>
      </c>
      <c r="E16" s="44" t="n">
        <v>0</v>
      </c>
      <c r="F16" s="45">
        <f>F14-F15</f>
        <v/>
      </c>
      <c r="G16" s="45">
        <f>G14-G15</f>
        <v/>
      </c>
      <c r="H16" s="45">
        <f>H14-H15</f>
        <v/>
      </c>
      <c r="I16" s="45">
        <f>I14-I15</f>
        <v/>
      </c>
      <c r="J16" s="45">
        <f>J14-J15</f>
        <v/>
      </c>
      <c r="K16" s="45">
        <f>K14-K15</f>
        <v/>
      </c>
      <c r="L16" s="45">
        <f>L14-L15</f>
        <v/>
      </c>
      <c r="M16" s="45">
        <f>M14-M15</f>
        <v/>
      </c>
      <c r="N16" s="45">
        <f>N14-N15</f>
        <v/>
      </c>
      <c r="O16" s="45">
        <f>O14-O15</f>
        <v/>
      </c>
      <c r="P16" s="45">
        <f>P14-P15</f>
        <v/>
      </c>
      <c r="Q16" s="45">
        <f>Q14-Q15</f>
        <v/>
      </c>
      <c r="R16" s="45">
        <f>R14-R15</f>
        <v/>
      </c>
      <c r="S16" s="45">
        <f>S14-S15</f>
        <v/>
      </c>
      <c r="T16" s="45">
        <f>T14-T15</f>
        <v/>
      </c>
      <c r="U16" s="45">
        <f>U14-U15</f>
        <v/>
      </c>
      <c r="V16" s="45">
        <f>V14-V15</f>
        <v/>
      </c>
      <c r="W16" s="45">
        <f>W14-W15</f>
        <v/>
      </c>
      <c r="X16" s="45">
        <f>X14-X15</f>
        <v/>
      </c>
      <c r="Y16" s="45">
        <f>Y14-Y15</f>
        <v/>
      </c>
      <c r="Z16" s="45">
        <f>Z14-Z15</f>
        <v/>
      </c>
      <c r="AA16" s="45">
        <f>AA14-AA15</f>
        <v/>
      </c>
      <c r="AB16" s="45">
        <f>AB14-AB15</f>
        <v/>
      </c>
      <c r="AC16" s="45">
        <f>AC14-AC15</f>
        <v/>
      </c>
      <c r="AD16" s="45">
        <f>AD14-AD15</f>
        <v/>
      </c>
      <c r="AE16" s="45">
        <f>AE14-AE15</f>
        <v/>
      </c>
      <c r="AF16" s="45">
        <f>AF14-AF15</f>
        <v/>
      </c>
      <c r="AG16" s="45">
        <f>AG14-AG15</f>
        <v/>
      </c>
      <c r="AH16" s="45">
        <f>AH14-AH15</f>
        <v/>
      </c>
      <c r="AI16" s="45">
        <f>AI14-AI15</f>
        <v/>
      </c>
      <c r="AJ16" s="45">
        <f>AJ14-AJ15</f>
        <v/>
      </c>
      <c r="AK16" s="45">
        <f>AK14-AK15</f>
        <v/>
      </c>
      <c r="AL16" s="45">
        <f>AL14-AL15</f>
        <v/>
      </c>
      <c r="AM16" s="45">
        <f>AM14-AM15</f>
        <v/>
      </c>
      <c r="AN16" s="45">
        <f>AN14-AN15</f>
        <v/>
      </c>
      <c r="AO16" s="45">
        <f>AO14-AO15</f>
        <v/>
      </c>
      <c r="AP16" s="45">
        <f>AP14-AP15</f>
        <v/>
      </c>
      <c r="AQ16" s="45">
        <f>AQ14-AQ15</f>
        <v/>
      </c>
      <c r="AR16" s="45">
        <f>AR14-AR15</f>
        <v/>
      </c>
      <c r="AS16" s="45">
        <f>AS14-AS15</f>
        <v/>
      </c>
      <c r="AT16" s="45">
        <f>AT14-AT15</f>
        <v/>
      </c>
      <c r="AU16" s="45">
        <f>AU14-AU15</f>
        <v/>
      </c>
      <c r="AV16" s="45">
        <f>AV14-AV15</f>
        <v/>
      </c>
      <c r="AW16" s="45">
        <f>AW14-AW15</f>
        <v/>
      </c>
      <c r="AX16" s="45">
        <f>AX14-AX15</f>
        <v/>
      </c>
      <c r="AY16" s="45">
        <f>AY14-AY15</f>
        <v/>
      </c>
      <c r="AZ16" s="45">
        <f>AZ14-AZ15</f>
        <v/>
      </c>
      <c r="BA16" s="45">
        <f>BA14-BA15</f>
        <v/>
      </c>
      <c r="BB16" s="45">
        <f>BB14-BB15</f>
        <v/>
      </c>
      <c r="BC16" s="45">
        <f>BC14-BC15</f>
        <v/>
      </c>
      <c r="BD16" s="45">
        <f>BD14-BD15</f>
        <v/>
      </c>
      <c r="BE16" s="45">
        <f>BE14-BE15</f>
        <v/>
      </c>
      <c r="BF16" s="45">
        <f>BF14-BF15</f>
        <v/>
      </c>
      <c r="BG16" s="45">
        <f>BG14-BG15</f>
        <v/>
      </c>
      <c r="BH16" s="45">
        <f>BH14-BH15</f>
        <v/>
      </c>
      <c r="BI16" s="45">
        <f>BI14-BI15</f>
        <v/>
      </c>
      <c r="BJ16" s="45">
        <f>BJ14-BJ15</f>
        <v/>
      </c>
      <c r="BK16" s="45">
        <f>BK14-BK15</f>
        <v/>
      </c>
      <c r="BL16" s="45">
        <f>BL14-BL15</f>
        <v/>
      </c>
      <c r="BM16" s="45">
        <f>BM14-BM15</f>
        <v/>
      </c>
      <c r="BN16" s="45">
        <f>BN14-BN15</f>
        <v/>
      </c>
      <c r="BO16" s="45">
        <f>BO14-BO15</f>
        <v/>
      </c>
      <c r="BP16" s="45">
        <f>BP14-BP15</f>
        <v/>
      </c>
      <c r="BQ16" s="45">
        <f>BQ14-BQ15</f>
        <v/>
      </c>
      <c r="BR16" s="45">
        <f>BR14-BR15</f>
        <v/>
      </c>
      <c r="BS16" s="45">
        <f>BS14-BS15</f>
        <v/>
      </c>
      <c r="BT16" s="45">
        <f>BT14-BT15</f>
        <v/>
      </c>
      <c r="BU16" s="45">
        <f>BU14-BU15</f>
        <v/>
      </c>
      <c r="BV16" s="45">
        <f>BV14-BV15</f>
        <v/>
      </c>
      <c r="BW16" s="45">
        <f>BW14-BW15</f>
        <v/>
      </c>
      <c r="BX16" s="45">
        <f>BX14-BX15</f>
        <v/>
      </c>
      <c r="BY16" s="45">
        <f>BY14-BY15</f>
        <v/>
      </c>
      <c r="BZ16" s="45">
        <f>BZ14-BZ15</f>
        <v/>
      </c>
      <c r="CA16" s="45">
        <f>CA14-CA15</f>
        <v/>
      </c>
      <c r="CB16" s="45">
        <f>CB14-CB15</f>
        <v/>
      </c>
      <c r="CC16" s="45">
        <f>CC14-CC15</f>
        <v/>
      </c>
      <c r="CD16" s="45">
        <f>CD14-CD15</f>
        <v/>
      </c>
      <c r="CE16" s="45">
        <f>CE14-CE15</f>
        <v/>
      </c>
      <c r="CF16" s="45">
        <f>CF14-CF15</f>
        <v/>
      </c>
      <c r="CG16" s="45">
        <f>CG14-CG15</f>
        <v/>
      </c>
      <c r="CH16" s="45">
        <f>CH14-CH15</f>
        <v/>
      </c>
      <c r="CI16" s="45">
        <f>CI14-CI15</f>
        <v/>
      </c>
      <c r="CJ16" s="45">
        <f>CJ14-CJ15</f>
        <v/>
      </c>
      <c r="CK16" s="45">
        <f>CK14-CK15</f>
        <v/>
      </c>
      <c r="CL16" s="45">
        <f>CL14-CL15</f>
        <v/>
      </c>
      <c r="CM16" s="45">
        <f>CM14-CM15</f>
        <v/>
      </c>
      <c r="CN16" s="45">
        <f>CN14-CN15</f>
        <v/>
      </c>
      <c r="CO16" s="45">
        <f>CO14-CO15</f>
        <v/>
      </c>
      <c r="CP16" s="45">
        <f>CP14-CP15</f>
        <v/>
      </c>
      <c r="CQ16" s="45">
        <f>CQ14-CQ15</f>
        <v/>
      </c>
      <c r="CR16" s="45">
        <f>CR14-CR15</f>
        <v/>
      </c>
      <c r="CS16" s="45">
        <f>CS14-CS15</f>
        <v/>
      </c>
      <c r="CT16" s="45">
        <f>CT14-CT15</f>
        <v/>
      </c>
      <c r="CU16" s="45">
        <f>CU14-CU15</f>
        <v/>
      </c>
      <c r="CV16" s="45">
        <f>CV14-CV15</f>
        <v/>
      </c>
      <c r="CW16" s="45">
        <f>CW14-CW15</f>
        <v/>
      </c>
      <c r="CX16" s="45">
        <f>CX14-CX15</f>
        <v/>
      </c>
      <c r="CY16" s="45">
        <f>CY14-CY15</f>
        <v/>
      </c>
      <c r="CZ16" s="45">
        <f>CZ14-CZ15</f>
        <v/>
      </c>
      <c r="DA16" s="45">
        <f>DA14-DA15</f>
        <v/>
      </c>
      <c r="DB16" s="45">
        <f>DB14-DB15</f>
        <v/>
      </c>
      <c r="DC16" s="45">
        <f>DC14-DC15</f>
        <v/>
      </c>
      <c r="DD16" s="45">
        <f>DD14-DD15</f>
        <v/>
      </c>
      <c r="DE16" s="45">
        <f>DE14-DE15</f>
        <v/>
      </c>
      <c r="DF16" s="45">
        <f>DF14-DF15</f>
        <v/>
      </c>
      <c r="DG16" s="45">
        <f>DG14-DG15</f>
        <v/>
      </c>
      <c r="DH16" s="45">
        <f>DH14-DH15</f>
        <v/>
      </c>
      <c r="DI16" s="45">
        <f>DI14-DI15</f>
        <v/>
      </c>
      <c r="DJ16" s="45">
        <f>DJ14-DJ15</f>
        <v/>
      </c>
      <c r="DK16" s="45">
        <f>DK14-DK15</f>
        <v/>
      </c>
      <c r="DL16" s="45">
        <f>DL14-DL15</f>
        <v/>
      </c>
      <c r="DM16" s="45">
        <f>DM14-DM15</f>
        <v/>
      </c>
      <c r="DN16" s="45">
        <f>DN14-DN15</f>
        <v/>
      </c>
      <c r="DO16" s="45">
        <f>DO14-DO15</f>
        <v/>
      </c>
      <c r="DP16" s="45">
        <f>DP14-DP15</f>
        <v/>
      </c>
      <c r="DQ16" s="45">
        <f>DQ14-DQ15</f>
        <v/>
      </c>
      <c r="DR16" s="45">
        <f>DR14-DR15</f>
        <v/>
      </c>
      <c r="DS16" s="45">
        <f>DS14-DS15</f>
        <v/>
      </c>
      <c r="DT16" s="45">
        <f>DT14-DT15</f>
        <v/>
      </c>
      <c r="DU16" s="45">
        <f>DU14-DU15</f>
        <v/>
      </c>
    </row>
    <row r="18">
      <c r="A18" s="11" t="inlineStr">
        <is>
          <t>Current Assets</t>
        </is>
      </c>
    </row>
    <row r="19">
      <c r="A19" t="inlineStr">
        <is>
          <t>Inventory</t>
        </is>
      </c>
      <c r="E19" s="44" t="n">
        <v>0</v>
      </c>
      <c r="F19" s="44">
        <f>PL!F16*(Working_Capital!$E$10/30)</f>
        <v/>
      </c>
      <c r="G19" s="44">
        <f>PL!G16*(Working_Capital!$E$10/30)</f>
        <v/>
      </c>
      <c r="H19" s="44">
        <f>PL!H16*(Working_Capital!$E$10/30)</f>
        <v/>
      </c>
      <c r="I19" s="44">
        <f>PL!I16*(Working_Capital!$E$10/30)</f>
        <v/>
      </c>
      <c r="J19" s="44">
        <f>PL!J16*(Working_Capital!$E$10/30)</f>
        <v/>
      </c>
      <c r="K19" s="44">
        <f>PL!K16*(Working_Capital!$E$10/30)</f>
        <v/>
      </c>
      <c r="L19" s="44">
        <f>PL!L16*(Working_Capital!$E$10/30)</f>
        <v/>
      </c>
      <c r="M19" s="44">
        <f>PL!M16*(Working_Capital!$E$10/30)</f>
        <v/>
      </c>
      <c r="N19" s="44">
        <f>PL!N16*(Working_Capital!$E$10/30)</f>
        <v/>
      </c>
      <c r="O19" s="44">
        <f>PL!O16*(Working_Capital!$E$10/30)</f>
        <v/>
      </c>
      <c r="P19" s="44">
        <f>PL!P16*(Working_Capital!$E$10/30)</f>
        <v/>
      </c>
      <c r="Q19" s="44">
        <f>PL!Q16*(Working_Capital!$E$10/30)</f>
        <v/>
      </c>
      <c r="R19" s="44">
        <f>PL!R16*(Working_Capital!$E$10/30)</f>
        <v/>
      </c>
      <c r="S19" s="44">
        <f>PL!S16*(Working_Capital!$E$10/30)</f>
        <v/>
      </c>
      <c r="T19" s="44">
        <f>PL!T16*(Working_Capital!$E$10/30)</f>
        <v/>
      </c>
      <c r="U19" s="44">
        <f>PL!U16*(Working_Capital!$E$10/30)</f>
        <v/>
      </c>
      <c r="V19" s="44">
        <f>PL!V16*(Working_Capital!$E$10/30)</f>
        <v/>
      </c>
      <c r="W19" s="44">
        <f>PL!W16*(Working_Capital!$E$10/30)</f>
        <v/>
      </c>
      <c r="X19" s="44">
        <f>PL!X16*(Working_Capital!$E$10/30)</f>
        <v/>
      </c>
      <c r="Y19" s="44">
        <f>PL!Y16*(Working_Capital!$E$10/30)</f>
        <v/>
      </c>
      <c r="Z19" s="44">
        <f>PL!Z16*(Working_Capital!$E$10/30)</f>
        <v/>
      </c>
      <c r="AA19" s="44">
        <f>PL!AA16*(Working_Capital!$E$10/30)</f>
        <v/>
      </c>
      <c r="AB19" s="44">
        <f>PL!AB16*(Working_Capital!$E$10/30)</f>
        <v/>
      </c>
      <c r="AC19" s="44">
        <f>PL!AC16*(Working_Capital!$E$10/30)</f>
        <v/>
      </c>
      <c r="AD19" s="44">
        <f>PL!AD16*(Working_Capital!$E$10/30)</f>
        <v/>
      </c>
      <c r="AE19" s="44">
        <f>PL!AE16*(Working_Capital!$E$10/30)</f>
        <v/>
      </c>
      <c r="AF19" s="44">
        <f>PL!AF16*(Working_Capital!$E$10/30)</f>
        <v/>
      </c>
      <c r="AG19" s="44">
        <f>PL!AG16*(Working_Capital!$E$10/30)</f>
        <v/>
      </c>
      <c r="AH19" s="44">
        <f>PL!AH16*(Working_Capital!$E$10/30)</f>
        <v/>
      </c>
      <c r="AI19" s="44">
        <f>PL!AI16*(Working_Capital!$E$10/30)</f>
        <v/>
      </c>
      <c r="AJ19" s="44">
        <f>PL!AJ16*(Working_Capital!$E$10/30)</f>
        <v/>
      </c>
      <c r="AK19" s="44">
        <f>PL!AK16*(Working_Capital!$E$10/30)</f>
        <v/>
      </c>
      <c r="AL19" s="44">
        <f>PL!AL16*(Working_Capital!$E$10/30)</f>
        <v/>
      </c>
      <c r="AM19" s="44">
        <f>PL!AM16*(Working_Capital!$E$10/30)</f>
        <v/>
      </c>
      <c r="AN19" s="44">
        <f>PL!AN16*(Working_Capital!$E$10/30)</f>
        <v/>
      </c>
      <c r="AO19" s="44">
        <f>PL!AO16*(Working_Capital!$E$10/30)</f>
        <v/>
      </c>
      <c r="AP19" s="44">
        <f>PL!AP16*(Working_Capital!$E$10/30)</f>
        <v/>
      </c>
      <c r="AQ19" s="44">
        <f>PL!AQ16*(Working_Capital!$E$10/30)</f>
        <v/>
      </c>
      <c r="AR19" s="44">
        <f>PL!AR16*(Working_Capital!$E$10/30)</f>
        <v/>
      </c>
      <c r="AS19" s="44">
        <f>PL!AS16*(Working_Capital!$E$10/30)</f>
        <v/>
      </c>
      <c r="AT19" s="44">
        <f>PL!AT16*(Working_Capital!$E$10/30)</f>
        <v/>
      </c>
      <c r="AU19" s="44">
        <f>PL!AU16*(Working_Capital!$E$10/30)</f>
        <v/>
      </c>
      <c r="AV19" s="44">
        <f>PL!AV16*(Working_Capital!$E$10/30)</f>
        <v/>
      </c>
      <c r="AW19" s="44">
        <f>PL!AW16*(Working_Capital!$E$10/30)</f>
        <v/>
      </c>
      <c r="AX19" s="44">
        <f>PL!AX16*(Working_Capital!$E$10/30)</f>
        <v/>
      </c>
      <c r="AY19" s="44">
        <f>PL!AY16*(Working_Capital!$E$10/30)</f>
        <v/>
      </c>
      <c r="AZ19" s="44">
        <f>PL!AZ16*(Working_Capital!$E$10/30)</f>
        <v/>
      </c>
      <c r="BA19" s="44">
        <f>PL!BA16*(Working_Capital!$E$10/30)</f>
        <v/>
      </c>
      <c r="BB19" s="44">
        <f>PL!BB16*(Working_Capital!$E$10/30)</f>
        <v/>
      </c>
      <c r="BC19" s="44">
        <f>PL!BC16*(Working_Capital!$E$10/30)</f>
        <v/>
      </c>
      <c r="BD19" s="44">
        <f>PL!BD16*(Working_Capital!$E$10/30)</f>
        <v/>
      </c>
      <c r="BE19" s="44">
        <f>PL!BE16*(Working_Capital!$E$10/30)</f>
        <v/>
      </c>
      <c r="BF19" s="44">
        <f>PL!BF16*(Working_Capital!$E$10/30)</f>
        <v/>
      </c>
      <c r="BG19" s="44">
        <f>PL!BG16*(Working_Capital!$E$10/30)</f>
        <v/>
      </c>
      <c r="BH19" s="44">
        <f>PL!BH16*(Working_Capital!$E$10/30)</f>
        <v/>
      </c>
      <c r="BI19" s="44">
        <f>PL!BI16*(Working_Capital!$E$10/30)</f>
        <v/>
      </c>
      <c r="BJ19" s="44">
        <f>PL!BJ16*(Working_Capital!$E$10/30)</f>
        <v/>
      </c>
      <c r="BK19" s="44">
        <f>PL!BK16*(Working_Capital!$E$10/30)</f>
        <v/>
      </c>
      <c r="BL19" s="44">
        <f>PL!BL16*(Working_Capital!$E$10/30)</f>
        <v/>
      </c>
      <c r="BM19" s="44">
        <f>PL!BM16*(Working_Capital!$E$10/30)</f>
        <v/>
      </c>
      <c r="BN19" s="44">
        <f>PL!BN16*(Working_Capital!$E$10/30)</f>
        <v/>
      </c>
      <c r="BO19" s="44">
        <f>PL!BO16*(Working_Capital!$E$10/30)</f>
        <v/>
      </c>
      <c r="BP19" s="44">
        <f>PL!BP16*(Working_Capital!$E$10/30)</f>
        <v/>
      </c>
      <c r="BQ19" s="44">
        <f>PL!BQ16*(Working_Capital!$E$10/30)</f>
        <v/>
      </c>
      <c r="BR19" s="44">
        <f>PL!BR16*(Working_Capital!$E$10/30)</f>
        <v/>
      </c>
      <c r="BS19" s="44">
        <f>PL!BS16*(Working_Capital!$E$10/30)</f>
        <v/>
      </c>
      <c r="BT19" s="44">
        <f>PL!BT16*(Working_Capital!$E$10/30)</f>
        <v/>
      </c>
      <c r="BU19" s="44">
        <f>PL!BU16*(Working_Capital!$E$10/30)</f>
        <v/>
      </c>
      <c r="BV19" s="44">
        <f>PL!BV16*(Working_Capital!$E$10/30)</f>
        <v/>
      </c>
      <c r="BW19" s="44">
        <f>PL!BW16*(Working_Capital!$E$10/30)</f>
        <v/>
      </c>
      <c r="BX19" s="44">
        <f>PL!BX16*(Working_Capital!$E$10/30)</f>
        <v/>
      </c>
      <c r="BY19" s="44">
        <f>PL!BY16*(Working_Capital!$E$10/30)</f>
        <v/>
      </c>
      <c r="BZ19" s="44">
        <f>PL!BZ16*(Working_Capital!$E$10/30)</f>
        <v/>
      </c>
      <c r="CA19" s="44">
        <f>PL!CA16*(Working_Capital!$E$10/30)</f>
        <v/>
      </c>
      <c r="CB19" s="44">
        <f>PL!CB16*(Working_Capital!$E$10/30)</f>
        <v/>
      </c>
      <c r="CC19" s="44">
        <f>PL!CC16*(Working_Capital!$E$10/30)</f>
        <v/>
      </c>
      <c r="CD19" s="44">
        <f>PL!CD16*(Working_Capital!$E$10/30)</f>
        <v/>
      </c>
      <c r="CE19" s="44">
        <f>PL!CE16*(Working_Capital!$E$10/30)</f>
        <v/>
      </c>
      <c r="CF19" s="44">
        <f>PL!CF16*(Working_Capital!$E$10/30)</f>
        <v/>
      </c>
      <c r="CG19" s="44">
        <f>PL!CG16*(Working_Capital!$E$10/30)</f>
        <v/>
      </c>
      <c r="CH19" s="44">
        <f>PL!CH16*(Working_Capital!$E$10/30)</f>
        <v/>
      </c>
      <c r="CI19" s="44">
        <f>PL!CI16*(Working_Capital!$E$10/30)</f>
        <v/>
      </c>
      <c r="CJ19" s="44">
        <f>PL!CJ16*(Working_Capital!$E$10/30)</f>
        <v/>
      </c>
      <c r="CK19" s="44">
        <f>PL!CK16*(Working_Capital!$E$10/30)</f>
        <v/>
      </c>
      <c r="CL19" s="44">
        <f>PL!CL16*(Working_Capital!$E$10/30)</f>
        <v/>
      </c>
      <c r="CM19" s="44">
        <f>PL!CM16*(Working_Capital!$E$10/30)</f>
        <v/>
      </c>
      <c r="CN19" s="44">
        <f>PL!CN16*(Working_Capital!$E$10/30)</f>
        <v/>
      </c>
      <c r="CO19" s="44">
        <f>PL!CO16*(Working_Capital!$E$10/30)</f>
        <v/>
      </c>
      <c r="CP19" s="44">
        <f>PL!CP16*(Working_Capital!$E$10/30)</f>
        <v/>
      </c>
      <c r="CQ19" s="44">
        <f>PL!CQ16*(Working_Capital!$E$10/30)</f>
        <v/>
      </c>
      <c r="CR19" s="44">
        <f>PL!CR16*(Working_Capital!$E$10/30)</f>
        <v/>
      </c>
      <c r="CS19" s="44">
        <f>PL!CS16*(Working_Capital!$E$10/30)</f>
        <v/>
      </c>
      <c r="CT19" s="44">
        <f>PL!CT16*(Working_Capital!$E$10/30)</f>
        <v/>
      </c>
      <c r="CU19" s="44">
        <f>PL!CU16*(Working_Capital!$E$10/30)</f>
        <v/>
      </c>
      <c r="CV19" s="44">
        <f>PL!CV16*(Working_Capital!$E$10/30)</f>
        <v/>
      </c>
      <c r="CW19" s="44">
        <f>PL!CW16*(Working_Capital!$E$10/30)</f>
        <v/>
      </c>
      <c r="CX19" s="44">
        <f>PL!CX16*(Working_Capital!$E$10/30)</f>
        <v/>
      </c>
      <c r="CY19" s="44">
        <f>PL!CY16*(Working_Capital!$E$10/30)</f>
        <v/>
      </c>
      <c r="CZ19" s="44">
        <f>PL!CZ16*(Working_Capital!$E$10/30)</f>
        <v/>
      </c>
      <c r="DA19" s="44">
        <f>PL!DA16*(Working_Capital!$E$10/30)</f>
        <v/>
      </c>
      <c r="DB19" s="44">
        <f>PL!DB16*(Working_Capital!$E$10/30)</f>
        <v/>
      </c>
      <c r="DC19" s="44">
        <f>PL!DC16*(Working_Capital!$E$10/30)</f>
        <v/>
      </c>
      <c r="DD19" s="44">
        <f>PL!DD16*(Working_Capital!$E$10/30)</f>
        <v/>
      </c>
      <c r="DE19" s="44">
        <f>PL!DE16*(Working_Capital!$E$10/30)</f>
        <v/>
      </c>
      <c r="DF19" s="44">
        <f>PL!DF16*(Working_Capital!$E$10/30)</f>
        <v/>
      </c>
      <c r="DG19" s="44">
        <f>PL!DG16*(Working_Capital!$E$10/30)</f>
        <v/>
      </c>
      <c r="DH19" s="44">
        <f>PL!DH16*(Working_Capital!$E$10/30)</f>
        <v/>
      </c>
      <c r="DI19" s="44">
        <f>PL!DI16*(Working_Capital!$E$10/30)</f>
        <v/>
      </c>
      <c r="DJ19" s="44">
        <f>PL!DJ16*(Working_Capital!$E$10/30)</f>
        <v/>
      </c>
      <c r="DK19" s="44">
        <f>PL!DK16*(Working_Capital!$E$10/30)</f>
        <v/>
      </c>
      <c r="DL19" s="44">
        <f>PL!DL16*(Working_Capital!$E$10/30)</f>
        <v/>
      </c>
      <c r="DM19" s="44">
        <f>PL!DM16*(Working_Capital!$E$10/30)</f>
        <v/>
      </c>
      <c r="DN19" s="44">
        <f>PL!DN16*(Working_Capital!$E$10/30)</f>
        <v/>
      </c>
      <c r="DO19" s="44">
        <f>PL!DO16*(Working_Capital!$E$10/30)</f>
        <v/>
      </c>
      <c r="DP19" s="44">
        <f>PL!DP16*(Working_Capital!$E$10/30)</f>
        <v/>
      </c>
      <c r="DQ19" s="44">
        <f>PL!DQ16*(Working_Capital!$E$10/30)</f>
        <v/>
      </c>
      <c r="DR19" s="44">
        <f>PL!DR16*(Working_Capital!$E$10/30)</f>
        <v/>
      </c>
      <c r="DS19" s="44">
        <f>PL!DS16*(Working_Capital!$E$10/30)</f>
        <v/>
      </c>
      <c r="DT19" s="44">
        <f>PL!DT16*(Working_Capital!$E$10/30)</f>
        <v/>
      </c>
      <c r="DU19" s="44">
        <f>PL!DU16*(Working_Capital!$E$10/30)</f>
        <v/>
      </c>
    </row>
    <row r="20">
      <c r="A20" t="inlineStr">
        <is>
          <t>Trade receivables</t>
        </is>
      </c>
      <c r="E20" s="44" t="n">
        <v>0</v>
      </c>
      <c r="F20" s="44">
        <f>PL!F13*0.30</f>
        <v/>
      </c>
      <c r="G20" s="44">
        <f>PL!G13*0.30</f>
        <v/>
      </c>
      <c r="H20" s="44">
        <f>PL!H13*0.30</f>
        <v/>
      </c>
      <c r="I20" s="44">
        <f>PL!I13*0.30</f>
        <v/>
      </c>
      <c r="J20" s="44">
        <f>PL!J13*0.30</f>
        <v/>
      </c>
      <c r="K20" s="44">
        <f>PL!K13*0.30</f>
        <v/>
      </c>
      <c r="L20" s="44">
        <f>PL!L13*0.30</f>
        <v/>
      </c>
      <c r="M20" s="44">
        <f>PL!M13*0.30</f>
        <v/>
      </c>
      <c r="N20" s="44">
        <f>PL!N13*0.30</f>
        <v/>
      </c>
      <c r="O20" s="44">
        <f>PL!O13*0.30</f>
        <v/>
      </c>
      <c r="P20" s="44">
        <f>PL!P13*0.30</f>
        <v/>
      </c>
      <c r="Q20" s="44">
        <f>PL!Q13*0.30</f>
        <v/>
      </c>
      <c r="R20" s="44">
        <f>PL!R13*0.30</f>
        <v/>
      </c>
      <c r="S20" s="44">
        <f>PL!S13*0.30</f>
        <v/>
      </c>
      <c r="T20" s="44">
        <f>PL!T13*0.30</f>
        <v/>
      </c>
      <c r="U20" s="44">
        <f>PL!U13*0.30</f>
        <v/>
      </c>
      <c r="V20" s="44">
        <f>PL!V13*0.30</f>
        <v/>
      </c>
      <c r="W20" s="44">
        <f>PL!W13*0.30</f>
        <v/>
      </c>
      <c r="X20" s="44">
        <f>PL!X13*0.30</f>
        <v/>
      </c>
      <c r="Y20" s="44">
        <f>PL!Y13*0.30</f>
        <v/>
      </c>
      <c r="Z20" s="44">
        <f>PL!Z13*0.30</f>
        <v/>
      </c>
      <c r="AA20" s="44">
        <f>PL!AA13*0.30</f>
        <v/>
      </c>
      <c r="AB20" s="44">
        <f>PL!AB13*0.30</f>
        <v/>
      </c>
      <c r="AC20" s="44">
        <f>PL!AC13*0.30</f>
        <v/>
      </c>
      <c r="AD20" s="44">
        <f>PL!AD13*0.30</f>
        <v/>
      </c>
      <c r="AE20" s="44">
        <f>PL!AE13*0.30</f>
        <v/>
      </c>
      <c r="AF20" s="44">
        <f>PL!AF13*0.30</f>
        <v/>
      </c>
      <c r="AG20" s="44">
        <f>PL!AG13*0.30</f>
        <v/>
      </c>
      <c r="AH20" s="44">
        <f>PL!AH13*0.30</f>
        <v/>
      </c>
      <c r="AI20" s="44">
        <f>PL!AI13*0.30</f>
        <v/>
      </c>
      <c r="AJ20" s="44">
        <f>PL!AJ13*0.30</f>
        <v/>
      </c>
      <c r="AK20" s="44">
        <f>PL!AK13*0.30</f>
        <v/>
      </c>
      <c r="AL20" s="44">
        <f>PL!AL13*0.30</f>
        <v/>
      </c>
      <c r="AM20" s="44">
        <f>PL!AM13*0.30</f>
        <v/>
      </c>
      <c r="AN20" s="44">
        <f>PL!AN13*0.30</f>
        <v/>
      </c>
      <c r="AO20" s="44">
        <f>PL!AO13*0.30</f>
        <v/>
      </c>
      <c r="AP20" s="44">
        <f>PL!AP13*0.30</f>
        <v/>
      </c>
      <c r="AQ20" s="44">
        <f>PL!AQ13*0.30</f>
        <v/>
      </c>
      <c r="AR20" s="44">
        <f>PL!AR13*0.30</f>
        <v/>
      </c>
      <c r="AS20" s="44">
        <f>PL!AS13*0.30</f>
        <v/>
      </c>
      <c r="AT20" s="44">
        <f>PL!AT13*0.30</f>
        <v/>
      </c>
      <c r="AU20" s="44">
        <f>PL!AU13*0.30</f>
        <v/>
      </c>
      <c r="AV20" s="44">
        <f>PL!AV13*0.30</f>
        <v/>
      </c>
      <c r="AW20" s="44">
        <f>PL!AW13*0.30</f>
        <v/>
      </c>
      <c r="AX20" s="44">
        <f>PL!AX13*0.30</f>
        <v/>
      </c>
      <c r="AY20" s="44">
        <f>PL!AY13*0.30</f>
        <v/>
      </c>
      <c r="AZ20" s="44">
        <f>PL!AZ13*0.30</f>
        <v/>
      </c>
      <c r="BA20" s="44">
        <f>PL!BA13*0.30</f>
        <v/>
      </c>
      <c r="BB20" s="44">
        <f>PL!BB13*0.30</f>
        <v/>
      </c>
      <c r="BC20" s="44">
        <f>PL!BC13*0.30</f>
        <v/>
      </c>
      <c r="BD20" s="44">
        <f>PL!BD13*0.30</f>
        <v/>
      </c>
      <c r="BE20" s="44">
        <f>PL!BE13*0.30</f>
        <v/>
      </c>
      <c r="BF20" s="44">
        <f>PL!BF13*0.30</f>
        <v/>
      </c>
      <c r="BG20" s="44">
        <f>PL!BG13*0.30</f>
        <v/>
      </c>
      <c r="BH20" s="44">
        <f>PL!BH13*0.30</f>
        <v/>
      </c>
      <c r="BI20" s="44">
        <f>PL!BI13*0.30</f>
        <v/>
      </c>
      <c r="BJ20" s="44">
        <f>PL!BJ13*0.30</f>
        <v/>
      </c>
      <c r="BK20" s="44">
        <f>PL!BK13*0.30</f>
        <v/>
      </c>
      <c r="BL20" s="44">
        <f>PL!BL13*0.30</f>
        <v/>
      </c>
      <c r="BM20" s="44">
        <f>PL!BM13*0.30</f>
        <v/>
      </c>
      <c r="BN20" s="44">
        <f>PL!BN13*0.30</f>
        <v/>
      </c>
      <c r="BO20" s="44">
        <f>PL!BO13*0.30</f>
        <v/>
      </c>
      <c r="BP20" s="44">
        <f>PL!BP13*0.30</f>
        <v/>
      </c>
      <c r="BQ20" s="44">
        <f>PL!BQ13*0.30</f>
        <v/>
      </c>
      <c r="BR20" s="44">
        <f>PL!BR13*0.30</f>
        <v/>
      </c>
      <c r="BS20" s="44">
        <f>PL!BS13*0.30</f>
        <v/>
      </c>
      <c r="BT20" s="44">
        <f>PL!BT13*0.30</f>
        <v/>
      </c>
      <c r="BU20" s="44">
        <f>PL!BU13*0.30</f>
        <v/>
      </c>
      <c r="BV20" s="44">
        <f>PL!BV13*0.30</f>
        <v/>
      </c>
      <c r="BW20" s="44">
        <f>PL!BW13*0.30</f>
        <v/>
      </c>
      <c r="BX20" s="44">
        <f>PL!BX13*0.30</f>
        <v/>
      </c>
      <c r="BY20" s="44">
        <f>PL!BY13*0.30</f>
        <v/>
      </c>
      <c r="BZ20" s="44">
        <f>PL!BZ13*0.30</f>
        <v/>
      </c>
      <c r="CA20" s="44">
        <f>PL!CA13*0.30</f>
        <v/>
      </c>
      <c r="CB20" s="44">
        <f>PL!CB13*0.30</f>
        <v/>
      </c>
      <c r="CC20" s="44">
        <f>PL!CC13*0.30</f>
        <v/>
      </c>
      <c r="CD20" s="44">
        <f>PL!CD13*0.30</f>
        <v/>
      </c>
      <c r="CE20" s="44">
        <f>PL!CE13*0.30</f>
        <v/>
      </c>
      <c r="CF20" s="44">
        <f>PL!CF13*0.30</f>
        <v/>
      </c>
      <c r="CG20" s="44">
        <f>PL!CG13*0.30</f>
        <v/>
      </c>
      <c r="CH20" s="44">
        <f>PL!CH13*0.30</f>
        <v/>
      </c>
      <c r="CI20" s="44">
        <f>PL!CI13*0.30</f>
        <v/>
      </c>
      <c r="CJ20" s="44">
        <f>PL!CJ13*0.30</f>
        <v/>
      </c>
      <c r="CK20" s="44">
        <f>PL!CK13*0.30</f>
        <v/>
      </c>
      <c r="CL20" s="44">
        <f>PL!CL13*0.30</f>
        <v/>
      </c>
      <c r="CM20" s="44">
        <f>PL!CM13*0.30</f>
        <v/>
      </c>
      <c r="CN20" s="44">
        <f>PL!CN13*0.30</f>
        <v/>
      </c>
      <c r="CO20" s="44">
        <f>PL!CO13*0.30</f>
        <v/>
      </c>
      <c r="CP20" s="44">
        <f>PL!CP13*0.30</f>
        <v/>
      </c>
      <c r="CQ20" s="44">
        <f>PL!CQ13*0.30</f>
        <v/>
      </c>
      <c r="CR20" s="44">
        <f>PL!CR13*0.30</f>
        <v/>
      </c>
      <c r="CS20" s="44">
        <f>PL!CS13*0.30</f>
        <v/>
      </c>
      <c r="CT20" s="44">
        <f>PL!CT13*0.30</f>
        <v/>
      </c>
      <c r="CU20" s="44">
        <f>PL!CU13*0.30</f>
        <v/>
      </c>
      <c r="CV20" s="44">
        <f>PL!CV13*0.30</f>
        <v/>
      </c>
      <c r="CW20" s="44">
        <f>PL!CW13*0.30</f>
        <v/>
      </c>
      <c r="CX20" s="44">
        <f>PL!CX13*0.30</f>
        <v/>
      </c>
      <c r="CY20" s="44">
        <f>PL!CY13*0.30</f>
        <v/>
      </c>
      <c r="CZ20" s="44">
        <f>PL!CZ13*0.30</f>
        <v/>
      </c>
      <c r="DA20" s="44">
        <f>PL!DA13*0.30</f>
        <v/>
      </c>
      <c r="DB20" s="44">
        <f>PL!DB13*0.30</f>
        <v/>
      </c>
      <c r="DC20" s="44">
        <f>PL!DC13*0.30</f>
        <v/>
      </c>
      <c r="DD20" s="44">
        <f>PL!DD13*0.30</f>
        <v/>
      </c>
      <c r="DE20" s="44">
        <f>PL!DE13*0.30</f>
        <v/>
      </c>
      <c r="DF20" s="44">
        <f>PL!DF13*0.30</f>
        <v/>
      </c>
      <c r="DG20" s="44">
        <f>PL!DG13*0.30</f>
        <v/>
      </c>
      <c r="DH20" s="44">
        <f>PL!DH13*0.30</f>
        <v/>
      </c>
      <c r="DI20" s="44">
        <f>PL!DI13*0.30</f>
        <v/>
      </c>
      <c r="DJ20" s="44">
        <f>PL!DJ13*0.30</f>
        <v/>
      </c>
      <c r="DK20" s="44">
        <f>PL!DK13*0.30</f>
        <v/>
      </c>
      <c r="DL20" s="44">
        <f>PL!DL13*0.30</f>
        <v/>
      </c>
      <c r="DM20" s="44">
        <f>PL!DM13*0.30</f>
        <v/>
      </c>
      <c r="DN20" s="44">
        <f>PL!DN13*0.30</f>
        <v/>
      </c>
      <c r="DO20" s="44">
        <f>PL!DO13*0.30</f>
        <v/>
      </c>
      <c r="DP20" s="44">
        <f>PL!DP13*0.30</f>
        <v/>
      </c>
      <c r="DQ20" s="44">
        <f>PL!DQ13*0.30</f>
        <v/>
      </c>
      <c r="DR20" s="44">
        <f>PL!DR13*0.30</f>
        <v/>
      </c>
      <c r="DS20" s="44">
        <f>PL!DS13*0.30</f>
        <v/>
      </c>
      <c r="DT20" s="44">
        <f>PL!DT13*0.30</f>
        <v/>
      </c>
      <c r="DU20" s="44">
        <f>PL!DU13*0.30</f>
        <v/>
      </c>
    </row>
    <row r="21">
      <c r="A21" t="inlineStr">
        <is>
          <t>Cash</t>
        </is>
      </c>
      <c r="E21" s="44" t="n">
        <v>0</v>
      </c>
      <c r="F21" s="44">
        <f>CashFlow!F31</f>
        <v/>
      </c>
      <c r="G21" s="44">
        <f>CashFlow!G31</f>
        <v/>
      </c>
      <c r="H21" s="44">
        <f>CashFlow!H31</f>
        <v/>
      </c>
      <c r="I21" s="44">
        <f>CashFlow!I31</f>
        <v/>
      </c>
      <c r="J21" s="44">
        <f>CashFlow!J31</f>
        <v/>
      </c>
      <c r="K21" s="44">
        <f>CashFlow!K31</f>
        <v/>
      </c>
      <c r="L21" s="44">
        <f>CashFlow!L31</f>
        <v/>
      </c>
      <c r="M21" s="44">
        <f>CashFlow!M31</f>
        <v/>
      </c>
      <c r="N21" s="44">
        <f>CashFlow!N31</f>
        <v/>
      </c>
      <c r="O21" s="44">
        <f>CashFlow!O31</f>
        <v/>
      </c>
      <c r="P21" s="44">
        <f>CashFlow!P31</f>
        <v/>
      </c>
      <c r="Q21" s="44">
        <f>CashFlow!Q31</f>
        <v/>
      </c>
      <c r="R21" s="44">
        <f>CashFlow!R31</f>
        <v/>
      </c>
      <c r="S21" s="44">
        <f>CashFlow!S31</f>
        <v/>
      </c>
      <c r="T21" s="44">
        <f>CashFlow!T31</f>
        <v/>
      </c>
      <c r="U21" s="44">
        <f>CashFlow!U31</f>
        <v/>
      </c>
      <c r="V21" s="44">
        <f>CashFlow!V31</f>
        <v/>
      </c>
      <c r="W21" s="44">
        <f>CashFlow!W31</f>
        <v/>
      </c>
      <c r="X21" s="44">
        <f>CashFlow!X31</f>
        <v/>
      </c>
      <c r="Y21" s="44">
        <f>CashFlow!Y31</f>
        <v/>
      </c>
      <c r="Z21" s="44">
        <f>CashFlow!Z31</f>
        <v/>
      </c>
      <c r="AA21" s="44">
        <f>CashFlow!AA31</f>
        <v/>
      </c>
      <c r="AB21" s="44">
        <f>CashFlow!AB31</f>
        <v/>
      </c>
      <c r="AC21" s="44">
        <f>CashFlow!AC31</f>
        <v/>
      </c>
      <c r="AD21" s="44">
        <f>CashFlow!AD31</f>
        <v/>
      </c>
      <c r="AE21" s="44">
        <f>CashFlow!AE31</f>
        <v/>
      </c>
      <c r="AF21" s="44">
        <f>CashFlow!AF31</f>
        <v/>
      </c>
      <c r="AG21" s="44">
        <f>CashFlow!AG31</f>
        <v/>
      </c>
      <c r="AH21" s="44">
        <f>CashFlow!AH31</f>
        <v/>
      </c>
      <c r="AI21" s="44">
        <f>CashFlow!AI31</f>
        <v/>
      </c>
      <c r="AJ21" s="44">
        <f>CashFlow!AJ31</f>
        <v/>
      </c>
      <c r="AK21" s="44">
        <f>CashFlow!AK31</f>
        <v/>
      </c>
      <c r="AL21" s="44">
        <f>CashFlow!AL31</f>
        <v/>
      </c>
      <c r="AM21" s="44">
        <f>CashFlow!AM31</f>
        <v/>
      </c>
      <c r="AN21" s="44">
        <f>CashFlow!AN31</f>
        <v/>
      </c>
      <c r="AO21" s="44">
        <f>CashFlow!AO31</f>
        <v/>
      </c>
      <c r="AP21" s="44">
        <f>CashFlow!AP31</f>
        <v/>
      </c>
      <c r="AQ21" s="44">
        <f>CashFlow!AQ31</f>
        <v/>
      </c>
      <c r="AR21" s="44">
        <f>CashFlow!AR31</f>
        <v/>
      </c>
      <c r="AS21" s="44">
        <f>CashFlow!AS31</f>
        <v/>
      </c>
      <c r="AT21" s="44">
        <f>CashFlow!AT31</f>
        <v/>
      </c>
      <c r="AU21" s="44">
        <f>CashFlow!AU31</f>
        <v/>
      </c>
      <c r="AV21" s="44">
        <f>CashFlow!AV31</f>
        <v/>
      </c>
      <c r="AW21" s="44">
        <f>CashFlow!AW31</f>
        <v/>
      </c>
      <c r="AX21" s="44">
        <f>CashFlow!AX31</f>
        <v/>
      </c>
      <c r="AY21" s="44">
        <f>CashFlow!AY31</f>
        <v/>
      </c>
      <c r="AZ21" s="44">
        <f>CashFlow!AZ31</f>
        <v/>
      </c>
      <c r="BA21" s="44">
        <f>CashFlow!BA31</f>
        <v/>
      </c>
      <c r="BB21" s="44">
        <f>CashFlow!BB31</f>
        <v/>
      </c>
      <c r="BC21" s="44">
        <f>CashFlow!BC31</f>
        <v/>
      </c>
      <c r="BD21" s="44">
        <f>CashFlow!BD31</f>
        <v/>
      </c>
      <c r="BE21" s="44">
        <f>CashFlow!BE31</f>
        <v/>
      </c>
      <c r="BF21" s="44">
        <f>CashFlow!BF31</f>
        <v/>
      </c>
      <c r="BG21" s="44">
        <f>CashFlow!BG31</f>
        <v/>
      </c>
      <c r="BH21" s="44">
        <f>CashFlow!BH31</f>
        <v/>
      </c>
      <c r="BI21" s="44">
        <f>CashFlow!BI31</f>
        <v/>
      </c>
      <c r="BJ21" s="44">
        <f>CashFlow!BJ31</f>
        <v/>
      </c>
      <c r="BK21" s="44">
        <f>CashFlow!BK31</f>
        <v/>
      </c>
      <c r="BL21" s="44">
        <f>CashFlow!BL31</f>
        <v/>
      </c>
      <c r="BM21" s="44">
        <f>CashFlow!BM31</f>
        <v/>
      </c>
      <c r="BN21" s="44">
        <f>CashFlow!BN31</f>
        <v/>
      </c>
      <c r="BO21" s="44">
        <f>CashFlow!BO31</f>
        <v/>
      </c>
      <c r="BP21" s="44">
        <f>CashFlow!BP31</f>
        <v/>
      </c>
      <c r="BQ21" s="44">
        <f>CashFlow!BQ31</f>
        <v/>
      </c>
      <c r="BR21" s="44">
        <f>CashFlow!BR31</f>
        <v/>
      </c>
      <c r="BS21" s="44">
        <f>CashFlow!BS31</f>
        <v/>
      </c>
      <c r="BT21" s="44">
        <f>CashFlow!BT31</f>
        <v/>
      </c>
      <c r="BU21" s="44">
        <f>CashFlow!BU31</f>
        <v/>
      </c>
      <c r="BV21" s="44">
        <f>CashFlow!BV31</f>
        <v/>
      </c>
      <c r="BW21" s="44">
        <f>CashFlow!BW31</f>
        <v/>
      </c>
      <c r="BX21" s="44">
        <f>CashFlow!BX31</f>
        <v/>
      </c>
      <c r="BY21" s="44">
        <f>CashFlow!BY31</f>
        <v/>
      </c>
      <c r="BZ21" s="44">
        <f>CashFlow!BZ31</f>
        <v/>
      </c>
      <c r="CA21" s="44">
        <f>CashFlow!CA31</f>
        <v/>
      </c>
      <c r="CB21" s="44">
        <f>CashFlow!CB31</f>
        <v/>
      </c>
      <c r="CC21" s="44">
        <f>CashFlow!CC31</f>
        <v/>
      </c>
      <c r="CD21" s="44">
        <f>CashFlow!CD31</f>
        <v/>
      </c>
      <c r="CE21" s="44">
        <f>CashFlow!CE31</f>
        <v/>
      </c>
      <c r="CF21" s="44">
        <f>CashFlow!CF31</f>
        <v/>
      </c>
      <c r="CG21" s="44">
        <f>CashFlow!CG31</f>
        <v/>
      </c>
      <c r="CH21" s="44">
        <f>CashFlow!CH31</f>
        <v/>
      </c>
      <c r="CI21" s="44">
        <f>CashFlow!CI31</f>
        <v/>
      </c>
      <c r="CJ21" s="44">
        <f>CashFlow!CJ31</f>
        <v/>
      </c>
      <c r="CK21" s="44">
        <f>CashFlow!CK31</f>
        <v/>
      </c>
      <c r="CL21" s="44">
        <f>CashFlow!CL31</f>
        <v/>
      </c>
      <c r="CM21" s="44">
        <f>CashFlow!CM31</f>
        <v/>
      </c>
      <c r="CN21" s="44">
        <f>CashFlow!CN31</f>
        <v/>
      </c>
      <c r="CO21" s="44">
        <f>CashFlow!CO31</f>
        <v/>
      </c>
      <c r="CP21" s="44">
        <f>CashFlow!CP31</f>
        <v/>
      </c>
      <c r="CQ21" s="44">
        <f>CashFlow!CQ31</f>
        <v/>
      </c>
      <c r="CR21" s="44">
        <f>CashFlow!CR31</f>
        <v/>
      </c>
      <c r="CS21" s="44">
        <f>CashFlow!CS31</f>
        <v/>
      </c>
      <c r="CT21" s="44">
        <f>CashFlow!CT31</f>
        <v/>
      </c>
      <c r="CU21" s="44">
        <f>CashFlow!CU31</f>
        <v/>
      </c>
      <c r="CV21" s="44">
        <f>CashFlow!CV31</f>
        <v/>
      </c>
      <c r="CW21" s="44">
        <f>CashFlow!CW31</f>
        <v/>
      </c>
      <c r="CX21" s="44">
        <f>CashFlow!CX31</f>
        <v/>
      </c>
      <c r="CY21" s="44">
        <f>CashFlow!CY31</f>
        <v/>
      </c>
      <c r="CZ21" s="44">
        <f>CashFlow!CZ31</f>
        <v/>
      </c>
      <c r="DA21" s="44">
        <f>CashFlow!DA31</f>
        <v/>
      </c>
      <c r="DB21" s="44">
        <f>CashFlow!DB31</f>
        <v/>
      </c>
      <c r="DC21" s="44">
        <f>CashFlow!DC31</f>
        <v/>
      </c>
      <c r="DD21" s="44">
        <f>CashFlow!DD31</f>
        <v/>
      </c>
      <c r="DE21" s="44">
        <f>CashFlow!DE31</f>
        <v/>
      </c>
      <c r="DF21" s="44">
        <f>CashFlow!DF31</f>
        <v/>
      </c>
      <c r="DG21" s="44">
        <f>CashFlow!DG31</f>
        <v/>
      </c>
      <c r="DH21" s="44">
        <f>CashFlow!DH31</f>
        <v/>
      </c>
      <c r="DI21" s="44">
        <f>CashFlow!DI31</f>
        <v/>
      </c>
      <c r="DJ21" s="44">
        <f>CashFlow!DJ31</f>
        <v/>
      </c>
      <c r="DK21" s="44">
        <f>CashFlow!DK31</f>
        <v/>
      </c>
      <c r="DL21" s="44">
        <f>CashFlow!DL31</f>
        <v/>
      </c>
      <c r="DM21" s="44">
        <f>CashFlow!DM31</f>
        <v/>
      </c>
      <c r="DN21" s="44">
        <f>CashFlow!DN31</f>
        <v/>
      </c>
      <c r="DO21" s="44">
        <f>CashFlow!DO31</f>
        <v/>
      </c>
      <c r="DP21" s="44">
        <f>CashFlow!DP31</f>
        <v/>
      </c>
      <c r="DQ21" s="44">
        <f>CashFlow!DQ31</f>
        <v/>
      </c>
      <c r="DR21" s="44">
        <f>CashFlow!DR31</f>
        <v/>
      </c>
      <c r="DS21" s="44">
        <f>CashFlow!DS31</f>
        <v/>
      </c>
      <c r="DT21" s="44">
        <f>CashFlow!DT31</f>
        <v/>
      </c>
      <c r="DU21" s="44">
        <f>CashFlow!DU31</f>
        <v/>
      </c>
    </row>
    <row r="22">
      <c r="A22" s="8" t="inlineStr">
        <is>
          <t>Total current assets</t>
        </is>
      </c>
      <c r="E22" s="44" t="n">
        <v>0</v>
      </c>
      <c r="F22" s="45">
        <f>F19+F20+F21</f>
        <v/>
      </c>
      <c r="G22" s="45">
        <f>G19+G20+G21</f>
        <v/>
      </c>
      <c r="H22" s="45">
        <f>H19+H20+H21</f>
        <v/>
      </c>
      <c r="I22" s="45">
        <f>I19+I20+I21</f>
        <v/>
      </c>
      <c r="J22" s="45">
        <f>J19+J20+J21</f>
        <v/>
      </c>
      <c r="K22" s="45">
        <f>K19+K20+K21</f>
        <v/>
      </c>
      <c r="L22" s="45">
        <f>L19+L20+L21</f>
        <v/>
      </c>
      <c r="M22" s="45">
        <f>M19+M20+M21</f>
        <v/>
      </c>
      <c r="N22" s="45">
        <f>N19+N20+N21</f>
        <v/>
      </c>
      <c r="O22" s="45">
        <f>O19+O20+O21</f>
        <v/>
      </c>
      <c r="P22" s="45">
        <f>P19+P20+P21</f>
        <v/>
      </c>
      <c r="Q22" s="45">
        <f>Q19+Q20+Q21</f>
        <v/>
      </c>
      <c r="R22" s="45">
        <f>R19+R20+R21</f>
        <v/>
      </c>
      <c r="S22" s="45">
        <f>S19+S20+S21</f>
        <v/>
      </c>
      <c r="T22" s="45">
        <f>T19+T20+T21</f>
        <v/>
      </c>
      <c r="U22" s="45">
        <f>U19+U20+U21</f>
        <v/>
      </c>
      <c r="V22" s="45">
        <f>V19+V20+V21</f>
        <v/>
      </c>
      <c r="W22" s="45">
        <f>W19+W20+W21</f>
        <v/>
      </c>
      <c r="X22" s="45">
        <f>X19+X20+X21</f>
        <v/>
      </c>
      <c r="Y22" s="45">
        <f>Y19+Y20+Y21</f>
        <v/>
      </c>
      <c r="Z22" s="45">
        <f>Z19+Z20+Z21</f>
        <v/>
      </c>
      <c r="AA22" s="45">
        <f>AA19+AA20+AA21</f>
        <v/>
      </c>
      <c r="AB22" s="45">
        <f>AB19+AB20+AB21</f>
        <v/>
      </c>
      <c r="AC22" s="45">
        <f>AC19+AC20+AC21</f>
        <v/>
      </c>
      <c r="AD22" s="45">
        <f>AD19+AD20+AD21</f>
        <v/>
      </c>
      <c r="AE22" s="45">
        <f>AE19+AE20+AE21</f>
        <v/>
      </c>
      <c r="AF22" s="45">
        <f>AF19+AF20+AF21</f>
        <v/>
      </c>
      <c r="AG22" s="45">
        <f>AG19+AG20+AG21</f>
        <v/>
      </c>
      <c r="AH22" s="45">
        <f>AH19+AH20+AH21</f>
        <v/>
      </c>
      <c r="AI22" s="45">
        <f>AI19+AI20+AI21</f>
        <v/>
      </c>
      <c r="AJ22" s="45">
        <f>AJ19+AJ20+AJ21</f>
        <v/>
      </c>
      <c r="AK22" s="45">
        <f>AK19+AK20+AK21</f>
        <v/>
      </c>
      <c r="AL22" s="45">
        <f>AL19+AL20+AL21</f>
        <v/>
      </c>
      <c r="AM22" s="45">
        <f>AM19+AM20+AM21</f>
        <v/>
      </c>
      <c r="AN22" s="45">
        <f>AN19+AN20+AN21</f>
        <v/>
      </c>
      <c r="AO22" s="45">
        <f>AO19+AO20+AO21</f>
        <v/>
      </c>
      <c r="AP22" s="45">
        <f>AP19+AP20+AP21</f>
        <v/>
      </c>
      <c r="AQ22" s="45">
        <f>AQ19+AQ20+AQ21</f>
        <v/>
      </c>
      <c r="AR22" s="45">
        <f>AR19+AR20+AR21</f>
        <v/>
      </c>
      <c r="AS22" s="45">
        <f>AS19+AS20+AS21</f>
        <v/>
      </c>
      <c r="AT22" s="45">
        <f>AT19+AT20+AT21</f>
        <v/>
      </c>
      <c r="AU22" s="45">
        <f>AU19+AU20+AU21</f>
        <v/>
      </c>
      <c r="AV22" s="45">
        <f>AV19+AV20+AV21</f>
        <v/>
      </c>
      <c r="AW22" s="45">
        <f>AW19+AW20+AW21</f>
        <v/>
      </c>
      <c r="AX22" s="45">
        <f>AX19+AX20+AX21</f>
        <v/>
      </c>
      <c r="AY22" s="45">
        <f>AY19+AY20+AY21</f>
        <v/>
      </c>
      <c r="AZ22" s="45">
        <f>AZ19+AZ20+AZ21</f>
        <v/>
      </c>
      <c r="BA22" s="45">
        <f>BA19+BA20+BA21</f>
        <v/>
      </c>
      <c r="BB22" s="45">
        <f>BB19+BB20+BB21</f>
        <v/>
      </c>
      <c r="BC22" s="45">
        <f>BC19+BC20+BC21</f>
        <v/>
      </c>
      <c r="BD22" s="45">
        <f>BD19+BD20+BD21</f>
        <v/>
      </c>
      <c r="BE22" s="45">
        <f>BE19+BE20+BE21</f>
        <v/>
      </c>
      <c r="BF22" s="45">
        <f>BF19+BF20+BF21</f>
        <v/>
      </c>
      <c r="BG22" s="45">
        <f>BG19+BG20+BG21</f>
        <v/>
      </c>
      <c r="BH22" s="45">
        <f>BH19+BH20+BH21</f>
        <v/>
      </c>
      <c r="BI22" s="45">
        <f>BI19+BI20+BI21</f>
        <v/>
      </c>
      <c r="BJ22" s="45">
        <f>BJ19+BJ20+BJ21</f>
        <v/>
      </c>
      <c r="BK22" s="45">
        <f>BK19+BK20+BK21</f>
        <v/>
      </c>
      <c r="BL22" s="45">
        <f>BL19+BL20+BL21</f>
        <v/>
      </c>
      <c r="BM22" s="45">
        <f>BM19+BM20+BM21</f>
        <v/>
      </c>
      <c r="BN22" s="45">
        <f>BN19+BN20+BN21</f>
        <v/>
      </c>
      <c r="BO22" s="45">
        <f>BO19+BO20+BO21</f>
        <v/>
      </c>
      <c r="BP22" s="45">
        <f>BP19+BP20+BP21</f>
        <v/>
      </c>
      <c r="BQ22" s="45">
        <f>BQ19+BQ20+BQ21</f>
        <v/>
      </c>
      <c r="BR22" s="45">
        <f>BR19+BR20+BR21</f>
        <v/>
      </c>
      <c r="BS22" s="45">
        <f>BS19+BS20+BS21</f>
        <v/>
      </c>
      <c r="BT22" s="45">
        <f>BT19+BT20+BT21</f>
        <v/>
      </c>
      <c r="BU22" s="45">
        <f>BU19+BU20+BU21</f>
        <v/>
      </c>
      <c r="BV22" s="45">
        <f>BV19+BV20+BV21</f>
        <v/>
      </c>
      <c r="BW22" s="45">
        <f>BW19+BW20+BW21</f>
        <v/>
      </c>
      <c r="BX22" s="45">
        <f>BX19+BX20+BX21</f>
        <v/>
      </c>
      <c r="BY22" s="45">
        <f>BY19+BY20+BY21</f>
        <v/>
      </c>
      <c r="BZ22" s="45">
        <f>BZ19+BZ20+BZ21</f>
        <v/>
      </c>
      <c r="CA22" s="45">
        <f>CA19+CA20+CA21</f>
        <v/>
      </c>
      <c r="CB22" s="45">
        <f>CB19+CB20+CB21</f>
        <v/>
      </c>
      <c r="CC22" s="45">
        <f>CC19+CC20+CC21</f>
        <v/>
      </c>
      <c r="CD22" s="45">
        <f>CD19+CD20+CD21</f>
        <v/>
      </c>
      <c r="CE22" s="45">
        <f>CE19+CE20+CE21</f>
        <v/>
      </c>
      <c r="CF22" s="45">
        <f>CF19+CF20+CF21</f>
        <v/>
      </c>
      <c r="CG22" s="45">
        <f>CG19+CG20+CG21</f>
        <v/>
      </c>
      <c r="CH22" s="45">
        <f>CH19+CH20+CH21</f>
        <v/>
      </c>
      <c r="CI22" s="45">
        <f>CI19+CI20+CI21</f>
        <v/>
      </c>
      <c r="CJ22" s="45">
        <f>CJ19+CJ20+CJ21</f>
        <v/>
      </c>
      <c r="CK22" s="45">
        <f>CK19+CK20+CK21</f>
        <v/>
      </c>
      <c r="CL22" s="45">
        <f>CL19+CL20+CL21</f>
        <v/>
      </c>
      <c r="CM22" s="45">
        <f>CM19+CM20+CM21</f>
        <v/>
      </c>
      <c r="CN22" s="45">
        <f>CN19+CN20+CN21</f>
        <v/>
      </c>
      <c r="CO22" s="45">
        <f>CO19+CO20+CO21</f>
        <v/>
      </c>
      <c r="CP22" s="45">
        <f>CP19+CP20+CP21</f>
        <v/>
      </c>
      <c r="CQ22" s="45">
        <f>CQ19+CQ20+CQ21</f>
        <v/>
      </c>
      <c r="CR22" s="45">
        <f>CR19+CR20+CR21</f>
        <v/>
      </c>
      <c r="CS22" s="45">
        <f>CS19+CS20+CS21</f>
        <v/>
      </c>
      <c r="CT22" s="45">
        <f>CT19+CT20+CT21</f>
        <v/>
      </c>
      <c r="CU22" s="45">
        <f>CU19+CU20+CU21</f>
        <v/>
      </c>
      <c r="CV22" s="45">
        <f>CV19+CV20+CV21</f>
        <v/>
      </c>
      <c r="CW22" s="45">
        <f>CW19+CW20+CW21</f>
        <v/>
      </c>
      <c r="CX22" s="45">
        <f>CX19+CX20+CX21</f>
        <v/>
      </c>
      <c r="CY22" s="45">
        <f>CY19+CY20+CY21</f>
        <v/>
      </c>
      <c r="CZ22" s="45">
        <f>CZ19+CZ20+CZ21</f>
        <v/>
      </c>
      <c r="DA22" s="45">
        <f>DA19+DA20+DA21</f>
        <v/>
      </c>
      <c r="DB22" s="45">
        <f>DB19+DB20+DB21</f>
        <v/>
      </c>
      <c r="DC22" s="45">
        <f>DC19+DC20+DC21</f>
        <v/>
      </c>
      <c r="DD22" s="45">
        <f>DD19+DD20+DD21</f>
        <v/>
      </c>
      <c r="DE22" s="45">
        <f>DE19+DE20+DE21</f>
        <v/>
      </c>
      <c r="DF22" s="45">
        <f>DF19+DF20+DF21</f>
        <v/>
      </c>
      <c r="DG22" s="45">
        <f>DG19+DG20+DG21</f>
        <v/>
      </c>
      <c r="DH22" s="45">
        <f>DH19+DH20+DH21</f>
        <v/>
      </c>
      <c r="DI22" s="45">
        <f>DI19+DI20+DI21</f>
        <v/>
      </c>
      <c r="DJ22" s="45">
        <f>DJ19+DJ20+DJ21</f>
        <v/>
      </c>
      <c r="DK22" s="45">
        <f>DK19+DK20+DK21</f>
        <v/>
      </c>
      <c r="DL22" s="45">
        <f>DL19+DL20+DL21</f>
        <v/>
      </c>
      <c r="DM22" s="45">
        <f>DM19+DM20+DM21</f>
        <v/>
      </c>
      <c r="DN22" s="45">
        <f>DN19+DN20+DN21</f>
        <v/>
      </c>
      <c r="DO22" s="45">
        <f>DO19+DO20+DO21</f>
        <v/>
      </c>
      <c r="DP22" s="45">
        <f>DP19+DP20+DP21</f>
        <v/>
      </c>
      <c r="DQ22" s="45">
        <f>DQ19+DQ20+DQ21</f>
        <v/>
      </c>
      <c r="DR22" s="45">
        <f>DR19+DR20+DR21</f>
        <v/>
      </c>
      <c r="DS22" s="45">
        <f>DS19+DS20+DS21</f>
        <v/>
      </c>
      <c r="DT22" s="45">
        <f>DT19+DT20+DT21</f>
        <v/>
      </c>
      <c r="DU22" s="45">
        <f>DU19+DU20+DU21</f>
        <v/>
      </c>
    </row>
    <row r="24">
      <c r="A24" s="49" t="inlineStr">
        <is>
          <t>TOTAL ASSETS</t>
        </is>
      </c>
      <c r="E24" s="44" t="n">
        <v>0</v>
      </c>
      <c r="F24" s="50">
        <f>F16+F22</f>
        <v/>
      </c>
      <c r="G24" s="50">
        <f>G16+G22</f>
        <v/>
      </c>
      <c r="H24" s="50">
        <f>H16+H22</f>
        <v/>
      </c>
      <c r="I24" s="50">
        <f>I16+I22</f>
        <v/>
      </c>
      <c r="J24" s="50">
        <f>J16+J22</f>
        <v/>
      </c>
      <c r="K24" s="50">
        <f>K16+K22</f>
        <v/>
      </c>
      <c r="L24" s="50">
        <f>L16+L22</f>
        <v/>
      </c>
      <c r="M24" s="50">
        <f>M16+M22</f>
        <v/>
      </c>
      <c r="N24" s="50">
        <f>N16+N22</f>
        <v/>
      </c>
      <c r="O24" s="50">
        <f>O16+O22</f>
        <v/>
      </c>
      <c r="P24" s="50">
        <f>P16+P22</f>
        <v/>
      </c>
      <c r="Q24" s="50">
        <f>Q16+Q22</f>
        <v/>
      </c>
      <c r="R24" s="50">
        <f>R16+R22</f>
        <v/>
      </c>
      <c r="S24" s="50">
        <f>S16+S22</f>
        <v/>
      </c>
      <c r="T24" s="50">
        <f>T16+T22</f>
        <v/>
      </c>
      <c r="U24" s="50">
        <f>U16+U22</f>
        <v/>
      </c>
      <c r="V24" s="50">
        <f>V16+V22</f>
        <v/>
      </c>
      <c r="W24" s="50">
        <f>W16+W22</f>
        <v/>
      </c>
      <c r="X24" s="50">
        <f>X16+X22</f>
        <v/>
      </c>
      <c r="Y24" s="50">
        <f>Y16+Y22</f>
        <v/>
      </c>
      <c r="Z24" s="50">
        <f>Z16+Z22</f>
        <v/>
      </c>
      <c r="AA24" s="50">
        <f>AA16+AA22</f>
        <v/>
      </c>
      <c r="AB24" s="50">
        <f>AB16+AB22</f>
        <v/>
      </c>
      <c r="AC24" s="50">
        <f>AC16+AC22</f>
        <v/>
      </c>
      <c r="AD24" s="50">
        <f>AD16+AD22</f>
        <v/>
      </c>
      <c r="AE24" s="50">
        <f>AE16+AE22</f>
        <v/>
      </c>
      <c r="AF24" s="50">
        <f>AF16+AF22</f>
        <v/>
      </c>
      <c r="AG24" s="50">
        <f>AG16+AG22</f>
        <v/>
      </c>
      <c r="AH24" s="50">
        <f>AH16+AH22</f>
        <v/>
      </c>
      <c r="AI24" s="50">
        <f>AI16+AI22</f>
        <v/>
      </c>
      <c r="AJ24" s="50">
        <f>AJ16+AJ22</f>
        <v/>
      </c>
      <c r="AK24" s="50">
        <f>AK16+AK22</f>
        <v/>
      </c>
      <c r="AL24" s="50">
        <f>AL16+AL22</f>
        <v/>
      </c>
      <c r="AM24" s="50">
        <f>AM16+AM22</f>
        <v/>
      </c>
      <c r="AN24" s="50">
        <f>AN16+AN22</f>
        <v/>
      </c>
      <c r="AO24" s="50">
        <f>AO16+AO22</f>
        <v/>
      </c>
      <c r="AP24" s="50">
        <f>AP16+AP22</f>
        <v/>
      </c>
      <c r="AQ24" s="50">
        <f>AQ16+AQ22</f>
        <v/>
      </c>
      <c r="AR24" s="50">
        <f>AR16+AR22</f>
        <v/>
      </c>
      <c r="AS24" s="50">
        <f>AS16+AS22</f>
        <v/>
      </c>
      <c r="AT24" s="50">
        <f>AT16+AT22</f>
        <v/>
      </c>
      <c r="AU24" s="50">
        <f>AU16+AU22</f>
        <v/>
      </c>
      <c r="AV24" s="50">
        <f>AV16+AV22</f>
        <v/>
      </c>
      <c r="AW24" s="50">
        <f>AW16+AW22</f>
        <v/>
      </c>
      <c r="AX24" s="50">
        <f>AX16+AX22</f>
        <v/>
      </c>
      <c r="AY24" s="50">
        <f>AY16+AY22</f>
        <v/>
      </c>
      <c r="AZ24" s="50">
        <f>AZ16+AZ22</f>
        <v/>
      </c>
      <c r="BA24" s="50">
        <f>BA16+BA22</f>
        <v/>
      </c>
      <c r="BB24" s="50">
        <f>BB16+BB22</f>
        <v/>
      </c>
      <c r="BC24" s="50">
        <f>BC16+BC22</f>
        <v/>
      </c>
      <c r="BD24" s="50">
        <f>BD16+BD22</f>
        <v/>
      </c>
      <c r="BE24" s="50">
        <f>BE16+BE22</f>
        <v/>
      </c>
      <c r="BF24" s="50">
        <f>BF16+BF22</f>
        <v/>
      </c>
      <c r="BG24" s="50">
        <f>BG16+BG22</f>
        <v/>
      </c>
      <c r="BH24" s="50">
        <f>BH16+BH22</f>
        <v/>
      </c>
      <c r="BI24" s="50">
        <f>BI16+BI22</f>
        <v/>
      </c>
      <c r="BJ24" s="50">
        <f>BJ16+BJ22</f>
        <v/>
      </c>
      <c r="BK24" s="50">
        <f>BK16+BK22</f>
        <v/>
      </c>
      <c r="BL24" s="50">
        <f>BL16+BL22</f>
        <v/>
      </c>
      <c r="BM24" s="50">
        <f>BM16+BM22</f>
        <v/>
      </c>
      <c r="BN24" s="50">
        <f>BN16+BN22</f>
        <v/>
      </c>
      <c r="BO24" s="50">
        <f>BO16+BO22</f>
        <v/>
      </c>
      <c r="BP24" s="50">
        <f>BP16+BP22</f>
        <v/>
      </c>
      <c r="BQ24" s="50">
        <f>BQ16+BQ22</f>
        <v/>
      </c>
      <c r="BR24" s="50">
        <f>BR16+BR22</f>
        <v/>
      </c>
      <c r="BS24" s="50">
        <f>BS16+BS22</f>
        <v/>
      </c>
      <c r="BT24" s="50">
        <f>BT16+BT22</f>
        <v/>
      </c>
      <c r="BU24" s="50">
        <f>BU16+BU22</f>
        <v/>
      </c>
      <c r="BV24" s="50">
        <f>BV16+BV22</f>
        <v/>
      </c>
      <c r="BW24" s="50">
        <f>BW16+BW22</f>
        <v/>
      </c>
      <c r="BX24" s="50">
        <f>BX16+BX22</f>
        <v/>
      </c>
      <c r="BY24" s="50">
        <f>BY16+BY22</f>
        <v/>
      </c>
      <c r="BZ24" s="50">
        <f>BZ16+BZ22</f>
        <v/>
      </c>
      <c r="CA24" s="50">
        <f>CA16+CA22</f>
        <v/>
      </c>
      <c r="CB24" s="50">
        <f>CB16+CB22</f>
        <v/>
      </c>
      <c r="CC24" s="50">
        <f>CC16+CC22</f>
        <v/>
      </c>
      <c r="CD24" s="50">
        <f>CD16+CD22</f>
        <v/>
      </c>
      <c r="CE24" s="50">
        <f>CE16+CE22</f>
        <v/>
      </c>
      <c r="CF24" s="50">
        <f>CF16+CF22</f>
        <v/>
      </c>
      <c r="CG24" s="50">
        <f>CG16+CG22</f>
        <v/>
      </c>
      <c r="CH24" s="50">
        <f>CH16+CH22</f>
        <v/>
      </c>
      <c r="CI24" s="50">
        <f>CI16+CI22</f>
        <v/>
      </c>
      <c r="CJ24" s="50">
        <f>CJ16+CJ22</f>
        <v/>
      </c>
      <c r="CK24" s="50">
        <f>CK16+CK22</f>
        <v/>
      </c>
      <c r="CL24" s="50">
        <f>CL16+CL22</f>
        <v/>
      </c>
      <c r="CM24" s="50">
        <f>CM16+CM22</f>
        <v/>
      </c>
      <c r="CN24" s="50">
        <f>CN16+CN22</f>
        <v/>
      </c>
      <c r="CO24" s="50">
        <f>CO16+CO22</f>
        <v/>
      </c>
      <c r="CP24" s="50">
        <f>CP16+CP22</f>
        <v/>
      </c>
      <c r="CQ24" s="50">
        <f>CQ16+CQ22</f>
        <v/>
      </c>
      <c r="CR24" s="50">
        <f>CR16+CR22</f>
        <v/>
      </c>
      <c r="CS24" s="50">
        <f>CS16+CS22</f>
        <v/>
      </c>
      <c r="CT24" s="50">
        <f>CT16+CT22</f>
        <v/>
      </c>
      <c r="CU24" s="50">
        <f>CU16+CU22</f>
        <v/>
      </c>
      <c r="CV24" s="50">
        <f>CV16+CV22</f>
        <v/>
      </c>
      <c r="CW24" s="50">
        <f>CW16+CW22</f>
        <v/>
      </c>
      <c r="CX24" s="50">
        <f>CX16+CX22</f>
        <v/>
      </c>
      <c r="CY24" s="50">
        <f>CY16+CY22</f>
        <v/>
      </c>
      <c r="CZ24" s="50">
        <f>CZ16+CZ22</f>
        <v/>
      </c>
      <c r="DA24" s="50">
        <f>DA16+DA22</f>
        <v/>
      </c>
      <c r="DB24" s="50">
        <f>DB16+DB22</f>
        <v/>
      </c>
      <c r="DC24" s="50">
        <f>DC16+DC22</f>
        <v/>
      </c>
      <c r="DD24" s="50">
        <f>DD16+DD22</f>
        <v/>
      </c>
      <c r="DE24" s="50">
        <f>DE16+DE22</f>
        <v/>
      </c>
      <c r="DF24" s="50">
        <f>DF16+DF22</f>
        <v/>
      </c>
      <c r="DG24" s="50">
        <f>DG16+DG22</f>
        <v/>
      </c>
      <c r="DH24" s="50">
        <f>DH16+DH22</f>
        <v/>
      </c>
      <c r="DI24" s="50">
        <f>DI16+DI22</f>
        <v/>
      </c>
      <c r="DJ24" s="50">
        <f>DJ16+DJ22</f>
        <v/>
      </c>
      <c r="DK24" s="50">
        <f>DK16+DK22</f>
        <v/>
      </c>
      <c r="DL24" s="50">
        <f>DL16+DL22</f>
        <v/>
      </c>
      <c r="DM24" s="50">
        <f>DM16+DM22</f>
        <v/>
      </c>
      <c r="DN24" s="50">
        <f>DN16+DN22</f>
        <v/>
      </c>
      <c r="DO24" s="50">
        <f>DO16+DO22</f>
        <v/>
      </c>
      <c r="DP24" s="50">
        <f>DP16+DP22</f>
        <v/>
      </c>
      <c r="DQ24" s="50">
        <f>DQ16+DQ22</f>
        <v/>
      </c>
      <c r="DR24" s="50">
        <f>DR16+DR22</f>
        <v/>
      </c>
      <c r="DS24" s="50">
        <f>DS16+DS22</f>
        <v/>
      </c>
      <c r="DT24" s="50">
        <f>DT16+DT22</f>
        <v/>
      </c>
      <c r="DU24" s="50">
        <f>DU16+DU22</f>
        <v/>
      </c>
    </row>
    <row r="26">
      <c r="A26" s="11" t="inlineStr">
        <is>
          <t>LIABILITIES</t>
        </is>
      </c>
    </row>
    <row r="27">
      <c r="A27" s="11" t="inlineStr">
        <is>
          <t>Current Liabilities</t>
        </is>
      </c>
    </row>
    <row r="28">
      <c r="A28" t="inlineStr">
        <is>
          <t>Trade payables</t>
        </is>
      </c>
      <c r="E28" s="44" t="n">
        <v>0</v>
      </c>
      <c r="F28" s="44">
        <f>PL!F16*0.40</f>
        <v/>
      </c>
      <c r="G28" s="44">
        <f>PL!G16*0.40</f>
        <v/>
      </c>
      <c r="H28" s="44">
        <f>PL!H16*0.40</f>
        <v/>
      </c>
      <c r="I28" s="44">
        <f>PL!I16*0.40</f>
        <v/>
      </c>
      <c r="J28" s="44">
        <f>PL!J16*0.40</f>
        <v/>
      </c>
      <c r="K28" s="44">
        <f>PL!K16*0.40</f>
        <v/>
      </c>
      <c r="L28" s="44">
        <f>PL!L16*0.40</f>
        <v/>
      </c>
      <c r="M28" s="44">
        <f>PL!M16*0.40</f>
        <v/>
      </c>
      <c r="N28" s="44">
        <f>PL!N16*0.40</f>
        <v/>
      </c>
      <c r="O28" s="44">
        <f>PL!O16*0.40</f>
        <v/>
      </c>
      <c r="P28" s="44">
        <f>PL!P16*0.40</f>
        <v/>
      </c>
      <c r="Q28" s="44">
        <f>PL!Q16*0.40</f>
        <v/>
      </c>
      <c r="R28" s="44">
        <f>PL!R16*0.40</f>
        <v/>
      </c>
      <c r="S28" s="44">
        <f>PL!S16*0.40</f>
        <v/>
      </c>
      <c r="T28" s="44">
        <f>PL!T16*0.40</f>
        <v/>
      </c>
      <c r="U28" s="44">
        <f>PL!U16*0.40</f>
        <v/>
      </c>
      <c r="V28" s="44">
        <f>PL!V16*0.40</f>
        <v/>
      </c>
      <c r="W28" s="44">
        <f>PL!W16*0.40</f>
        <v/>
      </c>
      <c r="X28" s="44">
        <f>PL!X16*0.40</f>
        <v/>
      </c>
      <c r="Y28" s="44">
        <f>PL!Y16*0.40</f>
        <v/>
      </c>
      <c r="Z28" s="44">
        <f>PL!Z16*0.40</f>
        <v/>
      </c>
      <c r="AA28" s="44">
        <f>PL!AA16*0.40</f>
        <v/>
      </c>
      <c r="AB28" s="44">
        <f>PL!AB16*0.40</f>
        <v/>
      </c>
      <c r="AC28" s="44">
        <f>PL!AC16*0.40</f>
        <v/>
      </c>
      <c r="AD28" s="44">
        <f>PL!AD16*0.40</f>
        <v/>
      </c>
      <c r="AE28" s="44">
        <f>PL!AE16*0.40</f>
        <v/>
      </c>
      <c r="AF28" s="44">
        <f>PL!AF16*0.40</f>
        <v/>
      </c>
      <c r="AG28" s="44">
        <f>PL!AG16*0.40</f>
        <v/>
      </c>
      <c r="AH28" s="44">
        <f>PL!AH16*0.40</f>
        <v/>
      </c>
      <c r="AI28" s="44">
        <f>PL!AI16*0.40</f>
        <v/>
      </c>
      <c r="AJ28" s="44">
        <f>PL!AJ16*0.40</f>
        <v/>
      </c>
      <c r="AK28" s="44">
        <f>PL!AK16*0.40</f>
        <v/>
      </c>
      <c r="AL28" s="44">
        <f>PL!AL16*0.40</f>
        <v/>
      </c>
      <c r="AM28" s="44">
        <f>PL!AM16*0.40</f>
        <v/>
      </c>
      <c r="AN28" s="44">
        <f>PL!AN16*0.40</f>
        <v/>
      </c>
      <c r="AO28" s="44">
        <f>PL!AO16*0.40</f>
        <v/>
      </c>
      <c r="AP28" s="44">
        <f>PL!AP16*0.40</f>
        <v/>
      </c>
      <c r="AQ28" s="44">
        <f>PL!AQ16*0.40</f>
        <v/>
      </c>
      <c r="AR28" s="44">
        <f>PL!AR16*0.40</f>
        <v/>
      </c>
      <c r="AS28" s="44">
        <f>PL!AS16*0.40</f>
        <v/>
      </c>
      <c r="AT28" s="44">
        <f>PL!AT16*0.40</f>
        <v/>
      </c>
      <c r="AU28" s="44">
        <f>PL!AU16*0.40</f>
        <v/>
      </c>
      <c r="AV28" s="44">
        <f>PL!AV16*0.40</f>
        <v/>
      </c>
      <c r="AW28" s="44">
        <f>PL!AW16*0.40</f>
        <v/>
      </c>
      <c r="AX28" s="44">
        <f>PL!AX16*0.40</f>
        <v/>
      </c>
      <c r="AY28" s="44">
        <f>PL!AY16*0.40</f>
        <v/>
      </c>
      <c r="AZ28" s="44">
        <f>PL!AZ16*0.40</f>
        <v/>
      </c>
      <c r="BA28" s="44">
        <f>PL!BA16*0.40</f>
        <v/>
      </c>
      <c r="BB28" s="44">
        <f>PL!BB16*0.40</f>
        <v/>
      </c>
      <c r="BC28" s="44">
        <f>PL!BC16*0.40</f>
        <v/>
      </c>
      <c r="BD28" s="44">
        <f>PL!BD16*0.40</f>
        <v/>
      </c>
      <c r="BE28" s="44">
        <f>PL!BE16*0.40</f>
        <v/>
      </c>
      <c r="BF28" s="44">
        <f>PL!BF16*0.40</f>
        <v/>
      </c>
      <c r="BG28" s="44">
        <f>PL!BG16*0.40</f>
        <v/>
      </c>
      <c r="BH28" s="44">
        <f>PL!BH16*0.40</f>
        <v/>
      </c>
      <c r="BI28" s="44">
        <f>PL!BI16*0.40</f>
        <v/>
      </c>
      <c r="BJ28" s="44">
        <f>PL!BJ16*0.40</f>
        <v/>
      </c>
      <c r="BK28" s="44">
        <f>PL!BK16*0.40</f>
        <v/>
      </c>
      <c r="BL28" s="44">
        <f>PL!BL16*0.40</f>
        <v/>
      </c>
      <c r="BM28" s="44">
        <f>PL!BM16*0.40</f>
        <v/>
      </c>
      <c r="BN28" s="44">
        <f>PL!BN16*0.40</f>
        <v/>
      </c>
      <c r="BO28" s="44">
        <f>PL!BO16*0.40</f>
        <v/>
      </c>
      <c r="BP28" s="44">
        <f>PL!BP16*0.40</f>
        <v/>
      </c>
      <c r="BQ28" s="44">
        <f>PL!BQ16*0.40</f>
        <v/>
      </c>
      <c r="BR28" s="44">
        <f>PL!BR16*0.40</f>
        <v/>
      </c>
      <c r="BS28" s="44">
        <f>PL!BS16*0.40</f>
        <v/>
      </c>
      <c r="BT28" s="44">
        <f>PL!BT16*0.40</f>
        <v/>
      </c>
      <c r="BU28" s="44">
        <f>PL!BU16*0.40</f>
        <v/>
      </c>
      <c r="BV28" s="44">
        <f>PL!BV16*0.40</f>
        <v/>
      </c>
      <c r="BW28" s="44">
        <f>PL!BW16*0.40</f>
        <v/>
      </c>
      <c r="BX28" s="44">
        <f>PL!BX16*0.40</f>
        <v/>
      </c>
      <c r="BY28" s="44">
        <f>PL!BY16*0.40</f>
        <v/>
      </c>
      <c r="BZ28" s="44">
        <f>PL!BZ16*0.40</f>
        <v/>
      </c>
      <c r="CA28" s="44">
        <f>PL!CA16*0.40</f>
        <v/>
      </c>
      <c r="CB28" s="44">
        <f>PL!CB16*0.40</f>
        <v/>
      </c>
      <c r="CC28" s="44">
        <f>PL!CC16*0.40</f>
        <v/>
      </c>
      <c r="CD28" s="44">
        <f>PL!CD16*0.40</f>
        <v/>
      </c>
      <c r="CE28" s="44">
        <f>PL!CE16*0.40</f>
        <v/>
      </c>
      <c r="CF28" s="44">
        <f>PL!CF16*0.40</f>
        <v/>
      </c>
      <c r="CG28" s="44">
        <f>PL!CG16*0.40</f>
        <v/>
      </c>
      <c r="CH28" s="44">
        <f>PL!CH16*0.40</f>
        <v/>
      </c>
      <c r="CI28" s="44">
        <f>PL!CI16*0.40</f>
        <v/>
      </c>
      <c r="CJ28" s="44">
        <f>PL!CJ16*0.40</f>
        <v/>
      </c>
      <c r="CK28" s="44">
        <f>PL!CK16*0.40</f>
        <v/>
      </c>
      <c r="CL28" s="44">
        <f>PL!CL16*0.40</f>
        <v/>
      </c>
      <c r="CM28" s="44">
        <f>PL!CM16*0.40</f>
        <v/>
      </c>
      <c r="CN28" s="44">
        <f>PL!CN16*0.40</f>
        <v/>
      </c>
      <c r="CO28" s="44">
        <f>PL!CO16*0.40</f>
        <v/>
      </c>
      <c r="CP28" s="44">
        <f>PL!CP16*0.40</f>
        <v/>
      </c>
      <c r="CQ28" s="44">
        <f>PL!CQ16*0.40</f>
        <v/>
      </c>
      <c r="CR28" s="44">
        <f>PL!CR16*0.40</f>
        <v/>
      </c>
      <c r="CS28" s="44">
        <f>PL!CS16*0.40</f>
        <v/>
      </c>
      <c r="CT28" s="44">
        <f>PL!CT16*0.40</f>
        <v/>
      </c>
      <c r="CU28" s="44">
        <f>PL!CU16*0.40</f>
        <v/>
      </c>
      <c r="CV28" s="44">
        <f>PL!CV16*0.40</f>
        <v/>
      </c>
      <c r="CW28" s="44">
        <f>PL!CW16*0.40</f>
        <v/>
      </c>
      <c r="CX28" s="44">
        <f>PL!CX16*0.40</f>
        <v/>
      </c>
      <c r="CY28" s="44">
        <f>PL!CY16*0.40</f>
        <v/>
      </c>
      <c r="CZ28" s="44">
        <f>PL!CZ16*0.40</f>
        <v/>
      </c>
      <c r="DA28" s="44">
        <f>PL!DA16*0.40</f>
        <v/>
      </c>
      <c r="DB28" s="44">
        <f>PL!DB16*0.40</f>
        <v/>
      </c>
      <c r="DC28" s="44">
        <f>PL!DC16*0.40</f>
        <v/>
      </c>
      <c r="DD28" s="44">
        <f>PL!DD16*0.40</f>
        <v/>
      </c>
      <c r="DE28" s="44">
        <f>PL!DE16*0.40</f>
        <v/>
      </c>
      <c r="DF28" s="44">
        <f>PL!DF16*0.40</f>
        <v/>
      </c>
      <c r="DG28" s="44">
        <f>PL!DG16*0.40</f>
        <v/>
      </c>
      <c r="DH28" s="44">
        <f>PL!DH16*0.40</f>
        <v/>
      </c>
      <c r="DI28" s="44">
        <f>PL!DI16*0.40</f>
        <v/>
      </c>
      <c r="DJ28" s="44">
        <f>PL!DJ16*0.40</f>
        <v/>
      </c>
      <c r="DK28" s="44">
        <f>PL!DK16*0.40</f>
        <v/>
      </c>
      <c r="DL28" s="44">
        <f>PL!DL16*0.40</f>
        <v/>
      </c>
      <c r="DM28" s="44">
        <f>PL!DM16*0.40</f>
        <v/>
      </c>
      <c r="DN28" s="44">
        <f>PL!DN16*0.40</f>
        <v/>
      </c>
      <c r="DO28" s="44">
        <f>PL!DO16*0.40</f>
        <v/>
      </c>
      <c r="DP28" s="44">
        <f>PL!DP16*0.40</f>
        <v/>
      </c>
      <c r="DQ28" s="44">
        <f>PL!DQ16*0.40</f>
        <v/>
      </c>
      <c r="DR28" s="44">
        <f>PL!DR16*0.40</f>
        <v/>
      </c>
      <c r="DS28" s="44">
        <f>PL!DS16*0.40</f>
        <v/>
      </c>
      <c r="DT28" s="44">
        <f>PL!DT16*0.40</f>
        <v/>
      </c>
      <c r="DU28" s="44">
        <f>PL!DU16*0.40</f>
        <v/>
      </c>
    </row>
    <row r="30">
      <c r="A30" s="11" t="inlineStr">
        <is>
          <t>Non-Current Liabilities</t>
        </is>
      </c>
    </row>
    <row r="31">
      <c r="A31" t="inlineStr">
        <is>
          <t>Debt</t>
        </is>
      </c>
      <c r="E31" s="44" t="n">
        <v>0</v>
      </c>
      <c r="F31" s="44">
        <f>Debt_Schedule!F22</f>
        <v/>
      </c>
      <c r="G31" s="44">
        <f>Debt_Schedule!G22</f>
        <v/>
      </c>
      <c r="H31" s="44">
        <f>Debt_Schedule!H22</f>
        <v/>
      </c>
      <c r="I31" s="44">
        <f>Debt_Schedule!I22</f>
        <v/>
      </c>
      <c r="J31" s="44">
        <f>Debt_Schedule!J22</f>
        <v/>
      </c>
      <c r="K31" s="44">
        <f>Debt_Schedule!K22</f>
        <v/>
      </c>
      <c r="L31" s="44">
        <f>Debt_Schedule!L22</f>
        <v/>
      </c>
      <c r="M31" s="44">
        <f>Debt_Schedule!M22</f>
        <v/>
      </c>
      <c r="N31" s="44">
        <f>Debt_Schedule!N22</f>
        <v/>
      </c>
      <c r="O31" s="44">
        <f>Debt_Schedule!O22</f>
        <v/>
      </c>
      <c r="P31" s="44">
        <f>Debt_Schedule!P22</f>
        <v/>
      </c>
      <c r="Q31" s="44">
        <f>Debt_Schedule!Q22</f>
        <v/>
      </c>
      <c r="R31" s="44">
        <f>Debt_Schedule!R22</f>
        <v/>
      </c>
      <c r="S31" s="44">
        <f>Debt_Schedule!S22</f>
        <v/>
      </c>
      <c r="T31" s="44">
        <f>Debt_Schedule!T22</f>
        <v/>
      </c>
      <c r="U31" s="44">
        <f>Debt_Schedule!U22</f>
        <v/>
      </c>
      <c r="V31" s="44">
        <f>Debt_Schedule!V22</f>
        <v/>
      </c>
      <c r="W31" s="44">
        <f>Debt_Schedule!W22</f>
        <v/>
      </c>
      <c r="X31" s="44">
        <f>Debt_Schedule!X22</f>
        <v/>
      </c>
      <c r="Y31" s="44">
        <f>Debt_Schedule!Y22</f>
        <v/>
      </c>
      <c r="Z31" s="44">
        <f>Debt_Schedule!Z22</f>
        <v/>
      </c>
      <c r="AA31" s="44">
        <f>Debt_Schedule!AA22</f>
        <v/>
      </c>
      <c r="AB31" s="44">
        <f>Debt_Schedule!AB22</f>
        <v/>
      </c>
      <c r="AC31" s="44">
        <f>Debt_Schedule!AC22</f>
        <v/>
      </c>
      <c r="AD31" s="44">
        <f>Debt_Schedule!AD22</f>
        <v/>
      </c>
      <c r="AE31" s="44">
        <f>Debt_Schedule!AE22</f>
        <v/>
      </c>
      <c r="AF31" s="44">
        <f>Debt_Schedule!AF22</f>
        <v/>
      </c>
      <c r="AG31" s="44">
        <f>Debt_Schedule!AG22</f>
        <v/>
      </c>
      <c r="AH31" s="44">
        <f>Debt_Schedule!AH22</f>
        <v/>
      </c>
      <c r="AI31" s="44">
        <f>Debt_Schedule!AI22</f>
        <v/>
      </c>
      <c r="AJ31" s="44">
        <f>Debt_Schedule!AJ22</f>
        <v/>
      </c>
      <c r="AK31" s="44">
        <f>Debt_Schedule!AK22</f>
        <v/>
      </c>
      <c r="AL31" s="44">
        <f>Debt_Schedule!AL22</f>
        <v/>
      </c>
      <c r="AM31" s="44">
        <f>Debt_Schedule!AM22</f>
        <v/>
      </c>
      <c r="AN31" s="44">
        <f>Debt_Schedule!AN22</f>
        <v/>
      </c>
      <c r="AO31" s="44">
        <f>Debt_Schedule!AO22</f>
        <v/>
      </c>
      <c r="AP31" s="44">
        <f>Debt_Schedule!AP22</f>
        <v/>
      </c>
      <c r="AQ31" s="44">
        <f>Debt_Schedule!AQ22</f>
        <v/>
      </c>
      <c r="AR31" s="44">
        <f>Debt_Schedule!AR22</f>
        <v/>
      </c>
      <c r="AS31" s="44">
        <f>Debt_Schedule!AS22</f>
        <v/>
      </c>
      <c r="AT31" s="44">
        <f>Debt_Schedule!AT22</f>
        <v/>
      </c>
      <c r="AU31" s="44">
        <f>Debt_Schedule!AU22</f>
        <v/>
      </c>
      <c r="AV31" s="44">
        <f>Debt_Schedule!AV22</f>
        <v/>
      </c>
      <c r="AW31" s="44">
        <f>Debt_Schedule!AW22</f>
        <v/>
      </c>
      <c r="AX31" s="44">
        <f>Debt_Schedule!AX22</f>
        <v/>
      </c>
      <c r="AY31" s="44">
        <f>Debt_Schedule!AY22</f>
        <v/>
      </c>
      <c r="AZ31" s="44">
        <f>Debt_Schedule!AZ22</f>
        <v/>
      </c>
      <c r="BA31" s="44">
        <f>Debt_Schedule!BA22</f>
        <v/>
      </c>
      <c r="BB31" s="44">
        <f>Debt_Schedule!BB22</f>
        <v/>
      </c>
      <c r="BC31" s="44">
        <f>Debt_Schedule!BC22</f>
        <v/>
      </c>
      <c r="BD31" s="44">
        <f>Debt_Schedule!BD22</f>
        <v/>
      </c>
      <c r="BE31" s="44">
        <f>Debt_Schedule!BE22</f>
        <v/>
      </c>
      <c r="BF31" s="44">
        <f>Debt_Schedule!BF22</f>
        <v/>
      </c>
      <c r="BG31" s="44">
        <f>Debt_Schedule!BG22</f>
        <v/>
      </c>
      <c r="BH31" s="44">
        <f>Debt_Schedule!BH22</f>
        <v/>
      </c>
      <c r="BI31" s="44">
        <f>Debt_Schedule!BI22</f>
        <v/>
      </c>
      <c r="BJ31" s="44">
        <f>Debt_Schedule!BJ22</f>
        <v/>
      </c>
      <c r="BK31" s="44">
        <f>Debt_Schedule!BK22</f>
        <v/>
      </c>
      <c r="BL31" s="44">
        <f>Debt_Schedule!BL22</f>
        <v/>
      </c>
      <c r="BM31" s="44">
        <f>Debt_Schedule!BM22</f>
        <v/>
      </c>
      <c r="BN31" s="44">
        <f>Debt_Schedule!BN22</f>
        <v/>
      </c>
      <c r="BO31" s="44">
        <f>Debt_Schedule!BO22</f>
        <v/>
      </c>
      <c r="BP31" s="44">
        <f>Debt_Schedule!BP22</f>
        <v/>
      </c>
      <c r="BQ31" s="44">
        <f>Debt_Schedule!BQ22</f>
        <v/>
      </c>
      <c r="BR31" s="44">
        <f>Debt_Schedule!BR22</f>
        <v/>
      </c>
      <c r="BS31" s="44">
        <f>Debt_Schedule!BS22</f>
        <v/>
      </c>
      <c r="BT31" s="44">
        <f>Debt_Schedule!BT22</f>
        <v/>
      </c>
      <c r="BU31" s="44">
        <f>Debt_Schedule!BU22</f>
        <v/>
      </c>
      <c r="BV31" s="44">
        <f>Debt_Schedule!BV22</f>
        <v/>
      </c>
      <c r="BW31" s="44">
        <f>Debt_Schedule!BW22</f>
        <v/>
      </c>
      <c r="BX31" s="44">
        <f>Debt_Schedule!BX22</f>
        <v/>
      </c>
      <c r="BY31" s="44">
        <f>Debt_Schedule!BY22</f>
        <v/>
      </c>
      <c r="BZ31" s="44">
        <f>Debt_Schedule!BZ22</f>
        <v/>
      </c>
      <c r="CA31" s="44">
        <f>Debt_Schedule!CA22</f>
        <v/>
      </c>
      <c r="CB31" s="44">
        <f>Debt_Schedule!CB22</f>
        <v/>
      </c>
      <c r="CC31" s="44">
        <f>Debt_Schedule!CC22</f>
        <v/>
      </c>
      <c r="CD31" s="44">
        <f>Debt_Schedule!CD22</f>
        <v/>
      </c>
      <c r="CE31" s="44">
        <f>Debt_Schedule!CE22</f>
        <v/>
      </c>
      <c r="CF31" s="44">
        <f>Debt_Schedule!CF22</f>
        <v/>
      </c>
      <c r="CG31" s="44">
        <f>Debt_Schedule!CG22</f>
        <v/>
      </c>
      <c r="CH31" s="44">
        <f>Debt_Schedule!CH22</f>
        <v/>
      </c>
      <c r="CI31" s="44">
        <f>Debt_Schedule!CI22</f>
        <v/>
      </c>
      <c r="CJ31" s="44">
        <f>Debt_Schedule!CJ22</f>
        <v/>
      </c>
      <c r="CK31" s="44">
        <f>Debt_Schedule!CK22</f>
        <v/>
      </c>
      <c r="CL31" s="44">
        <f>Debt_Schedule!CL22</f>
        <v/>
      </c>
      <c r="CM31" s="44">
        <f>Debt_Schedule!CM22</f>
        <v/>
      </c>
      <c r="CN31" s="44">
        <f>Debt_Schedule!CN22</f>
        <v/>
      </c>
      <c r="CO31" s="44">
        <f>Debt_Schedule!CO22</f>
        <v/>
      </c>
      <c r="CP31" s="44">
        <f>Debt_Schedule!CP22</f>
        <v/>
      </c>
      <c r="CQ31" s="44">
        <f>Debt_Schedule!CQ22</f>
        <v/>
      </c>
      <c r="CR31" s="44">
        <f>Debt_Schedule!CR22</f>
        <v/>
      </c>
      <c r="CS31" s="44">
        <f>Debt_Schedule!CS22</f>
        <v/>
      </c>
      <c r="CT31" s="44">
        <f>Debt_Schedule!CT22</f>
        <v/>
      </c>
      <c r="CU31" s="44">
        <f>Debt_Schedule!CU22</f>
        <v/>
      </c>
      <c r="CV31" s="44">
        <f>Debt_Schedule!CV22</f>
        <v/>
      </c>
      <c r="CW31" s="44">
        <f>Debt_Schedule!CW22</f>
        <v/>
      </c>
      <c r="CX31" s="44">
        <f>Debt_Schedule!CX22</f>
        <v/>
      </c>
      <c r="CY31" s="44">
        <f>Debt_Schedule!CY22</f>
        <v/>
      </c>
      <c r="CZ31" s="44">
        <f>Debt_Schedule!CZ22</f>
        <v/>
      </c>
      <c r="DA31" s="44">
        <f>Debt_Schedule!DA22</f>
        <v/>
      </c>
      <c r="DB31" s="44">
        <f>Debt_Schedule!DB22</f>
        <v/>
      </c>
      <c r="DC31" s="44">
        <f>Debt_Schedule!DC22</f>
        <v/>
      </c>
      <c r="DD31" s="44">
        <f>Debt_Schedule!DD22</f>
        <v/>
      </c>
      <c r="DE31" s="44">
        <f>Debt_Schedule!DE22</f>
        <v/>
      </c>
      <c r="DF31" s="44">
        <f>Debt_Schedule!DF22</f>
        <v/>
      </c>
      <c r="DG31" s="44">
        <f>Debt_Schedule!DG22</f>
        <v/>
      </c>
      <c r="DH31" s="44">
        <f>Debt_Schedule!DH22</f>
        <v/>
      </c>
      <c r="DI31" s="44">
        <f>Debt_Schedule!DI22</f>
        <v/>
      </c>
      <c r="DJ31" s="44">
        <f>Debt_Schedule!DJ22</f>
        <v/>
      </c>
      <c r="DK31" s="44">
        <f>Debt_Schedule!DK22</f>
        <v/>
      </c>
      <c r="DL31" s="44">
        <f>Debt_Schedule!DL22</f>
        <v/>
      </c>
      <c r="DM31" s="44">
        <f>Debt_Schedule!DM22</f>
        <v/>
      </c>
      <c r="DN31" s="44">
        <f>Debt_Schedule!DN22</f>
        <v/>
      </c>
      <c r="DO31" s="44">
        <f>Debt_Schedule!DO22</f>
        <v/>
      </c>
      <c r="DP31" s="44">
        <f>Debt_Schedule!DP22</f>
        <v/>
      </c>
      <c r="DQ31" s="44">
        <f>Debt_Schedule!DQ22</f>
        <v/>
      </c>
      <c r="DR31" s="44">
        <f>Debt_Schedule!DR22</f>
        <v/>
      </c>
      <c r="DS31" s="44">
        <f>Debt_Schedule!DS22</f>
        <v/>
      </c>
      <c r="DT31" s="44">
        <f>Debt_Schedule!DT22</f>
        <v/>
      </c>
      <c r="DU31" s="44">
        <f>Debt_Schedule!DU22</f>
        <v/>
      </c>
    </row>
    <row r="32">
      <c r="A32" s="8" t="inlineStr">
        <is>
          <t>Total liabilities</t>
        </is>
      </c>
      <c r="E32" s="44" t="n">
        <v>0</v>
      </c>
      <c r="F32" s="45">
        <f>F28+F31</f>
        <v/>
      </c>
      <c r="G32" s="45">
        <f>G28+G31</f>
        <v/>
      </c>
      <c r="H32" s="45">
        <f>H28+H31</f>
        <v/>
      </c>
      <c r="I32" s="45">
        <f>I28+I31</f>
        <v/>
      </c>
      <c r="J32" s="45">
        <f>J28+J31</f>
        <v/>
      </c>
      <c r="K32" s="45">
        <f>K28+K31</f>
        <v/>
      </c>
      <c r="L32" s="45">
        <f>L28+L31</f>
        <v/>
      </c>
      <c r="M32" s="45">
        <f>M28+M31</f>
        <v/>
      </c>
      <c r="N32" s="45">
        <f>N28+N31</f>
        <v/>
      </c>
      <c r="O32" s="45">
        <f>O28+O31</f>
        <v/>
      </c>
      <c r="P32" s="45">
        <f>P28+P31</f>
        <v/>
      </c>
      <c r="Q32" s="45">
        <f>Q28+Q31</f>
        <v/>
      </c>
      <c r="R32" s="45">
        <f>R28+R31</f>
        <v/>
      </c>
      <c r="S32" s="45">
        <f>S28+S31</f>
        <v/>
      </c>
      <c r="T32" s="45">
        <f>T28+T31</f>
        <v/>
      </c>
      <c r="U32" s="45">
        <f>U28+U31</f>
        <v/>
      </c>
      <c r="V32" s="45">
        <f>V28+V31</f>
        <v/>
      </c>
      <c r="W32" s="45">
        <f>W28+W31</f>
        <v/>
      </c>
      <c r="X32" s="45">
        <f>X28+X31</f>
        <v/>
      </c>
      <c r="Y32" s="45">
        <f>Y28+Y31</f>
        <v/>
      </c>
      <c r="Z32" s="45">
        <f>Z28+Z31</f>
        <v/>
      </c>
      <c r="AA32" s="45">
        <f>AA28+AA31</f>
        <v/>
      </c>
      <c r="AB32" s="45">
        <f>AB28+AB31</f>
        <v/>
      </c>
      <c r="AC32" s="45">
        <f>AC28+AC31</f>
        <v/>
      </c>
      <c r="AD32" s="45">
        <f>AD28+AD31</f>
        <v/>
      </c>
      <c r="AE32" s="45">
        <f>AE28+AE31</f>
        <v/>
      </c>
      <c r="AF32" s="45">
        <f>AF28+AF31</f>
        <v/>
      </c>
      <c r="AG32" s="45">
        <f>AG28+AG31</f>
        <v/>
      </c>
      <c r="AH32" s="45">
        <f>AH28+AH31</f>
        <v/>
      </c>
      <c r="AI32" s="45">
        <f>AI28+AI31</f>
        <v/>
      </c>
      <c r="AJ32" s="45">
        <f>AJ28+AJ31</f>
        <v/>
      </c>
      <c r="AK32" s="45">
        <f>AK28+AK31</f>
        <v/>
      </c>
      <c r="AL32" s="45">
        <f>AL28+AL31</f>
        <v/>
      </c>
      <c r="AM32" s="45">
        <f>AM28+AM31</f>
        <v/>
      </c>
      <c r="AN32" s="45">
        <f>AN28+AN31</f>
        <v/>
      </c>
      <c r="AO32" s="45">
        <f>AO28+AO31</f>
        <v/>
      </c>
      <c r="AP32" s="45">
        <f>AP28+AP31</f>
        <v/>
      </c>
      <c r="AQ32" s="45">
        <f>AQ28+AQ31</f>
        <v/>
      </c>
      <c r="AR32" s="45">
        <f>AR28+AR31</f>
        <v/>
      </c>
      <c r="AS32" s="45">
        <f>AS28+AS31</f>
        <v/>
      </c>
      <c r="AT32" s="45">
        <f>AT28+AT31</f>
        <v/>
      </c>
      <c r="AU32" s="45">
        <f>AU28+AU31</f>
        <v/>
      </c>
      <c r="AV32" s="45">
        <f>AV28+AV31</f>
        <v/>
      </c>
      <c r="AW32" s="45">
        <f>AW28+AW31</f>
        <v/>
      </c>
      <c r="AX32" s="45">
        <f>AX28+AX31</f>
        <v/>
      </c>
      <c r="AY32" s="45">
        <f>AY28+AY31</f>
        <v/>
      </c>
      <c r="AZ32" s="45">
        <f>AZ28+AZ31</f>
        <v/>
      </c>
      <c r="BA32" s="45">
        <f>BA28+BA31</f>
        <v/>
      </c>
      <c r="BB32" s="45">
        <f>BB28+BB31</f>
        <v/>
      </c>
      <c r="BC32" s="45">
        <f>BC28+BC31</f>
        <v/>
      </c>
      <c r="BD32" s="45">
        <f>BD28+BD31</f>
        <v/>
      </c>
      <c r="BE32" s="45">
        <f>BE28+BE31</f>
        <v/>
      </c>
      <c r="BF32" s="45">
        <f>BF28+BF31</f>
        <v/>
      </c>
      <c r="BG32" s="45">
        <f>BG28+BG31</f>
        <v/>
      </c>
      <c r="BH32" s="45">
        <f>BH28+BH31</f>
        <v/>
      </c>
      <c r="BI32" s="45">
        <f>BI28+BI31</f>
        <v/>
      </c>
      <c r="BJ32" s="45">
        <f>BJ28+BJ31</f>
        <v/>
      </c>
      <c r="BK32" s="45">
        <f>BK28+BK31</f>
        <v/>
      </c>
      <c r="BL32" s="45">
        <f>BL28+BL31</f>
        <v/>
      </c>
      <c r="BM32" s="45">
        <f>BM28+BM31</f>
        <v/>
      </c>
      <c r="BN32" s="45">
        <f>BN28+BN31</f>
        <v/>
      </c>
      <c r="BO32" s="45">
        <f>BO28+BO31</f>
        <v/>
      </c>
      <c r="BP32" s="45">
        <f>BP28+BP31</f>
        <v/>
      </c>
      <c r="BQ32" s="45">
        <f>BQ28+BQ31</f>
        <v/>
      </c>
      <c r="BR32" s="45">
        <f>BR28+BR31</f>
        <v/>
      </c>
      <c r="BS32" s="45">
        <f>BS28+BS31</f>
        <v/>
      </c>
      <c r="BT32" s="45">
        <f>BT28+BT31</f>
        <v/>
      </c>
      <c r="BU32" s="45">
        <f>BU28+BU31</f>
        <v/>
      </c>
      <c r="BV32" s="45">
        <f>BV28+BV31</f>
        <v/>
      </c>
      <c r="BW32" s="45">
        <f>BW28+BW31</f>
        <v/>
      </c>
      <c r="BX32" s="45">
        <f>BX28+BX31</f>
        <v/>
      </c>
      <c r="BY32" s="45">
        <f>BY28+BY31</f>
        <v/>
      </c>
      <c r="BZ32" s="45">
        <f>BZ28+BZ31</f>
        <v/>
      </c>
      <c r="CA32" s="45">
        <f>CA28+CA31</f>
        <v/>
      </c>
      <c r="CB32" s="45">
        <f>CB28+CB31</f>
        <v/>
      </c>
      <c r="CC32" s="45">
        <f>CC28+CC31</f>
        <v/>
      </c>
      <c r="CD32" s="45">
        <f>CD28+CD31</f>
        <v/>
      </c>
      <c r="CE32" s="45">
        <f>CE28+CE31</f>
        <v/>
      </c>
      <c r="CF32" s="45">
        <f>CF28+CF31</f>
        <v/>
      </c>
      <c r="CG32" s="45">
        <f>CG28+CG31</f>
        <v/>
      </c>
      <c r="CH32" s="45">
        <f>CH28+CH31</f>
        <v/>
      </c>
      <c r="CI32" s="45">
        <f>CI28+CI31</f>
        <v/>
      </c>
      <c r="CJ32" s="45">
        <f>CJ28+CJ31</f>
        <v/>
      </c>
      <c r="CK32" s="45">
        <f>CK28+CK31</f>
        <v/>
      </c>
      <c r="CL32" s="45">
        <f>CL28+CL31</f>
        <v/>
      </c>
      <c r="CM32" s="45">
        <f>CM28+CM31</f>
        <v/>
      </c>
      <c r="CN32" s="45">
        <f>CN28+CN31</f>
        <v/>
      </c>
      <c r="CO32" s="45">
        <f>CO28+CO31</f>
        <v/>
      </c>
      <c r="CP32" s="45">
        <f>CP28+CP31</f>
        <v/>
      </c>
      <c r="CQ32" s="45">
        <f>CQ28+CQ31</f>
        <v/>
      </c>
      <c r="CR32" s="45">
        <f>CR28+CR31</f>
        <v/>
      </c>
      <c r="CS32" s="45">
        <f>CS28+CS31</f>
        <v/>
      </c>
      <c r="CT32" s="45">
        <f>CT28+CT31</f>
        <v/>
      </c>
      <c r="CU32" s="45">
        <f>CU28+CU31</f>
        <v/>
      </c>
      <c r="CV32" s="45">
        <f>CV28+CV31</f>
        <v/>
      </c>
      <c r="CW32" s="45">
        <f>CW28+CW31</f>
        <v/>
      </c>
      <c r="CX32" s="45">
        <f>CX28+CX31</f>
        <v/>
      </c>
      <c r="CY32" s="45">
        <f>CY28+CY31</f>
        <v/>
      </c>
      <c r="CZ32" s="45">
        <f>CZ28+CZ31</f>
        <v/>
      </c>
      <c r="DA32" s="45">
        <f>DA28+DA31</f>
        <v/>
      </c>
      <c r="DB32" s="45">
        <f>DB28+DB31</f>
        <v/>
      </c>
      <c r="DC32" s="45">
        <f>DC28+DC31</f>
        <v/>
      </c>
      <c r="DD32" s="45">
        <f>DD28+DD31</f>
        <v/>
      </c>
      <c r="DE32" s="45">
        <f>DE28+DE31</f>
        <v/>
      </c>
      <c r="DF32" s="45">
        <f>DF28+DF31</f>
        <v/>
      </c>
      <c r="DG32" s="45">
        <f>DG28+DG31</f>
        <v/>
      </c>
      <c r="DH32" s="45">
        <f>DH28+DH31</f>
        <v/>
      </c>
      <c r="DI32" s="45">
        <f>DI28+DI31</f>
        <v/>
      </c>
      <c r="DJ32" s="45">
        <f>DJ28+DJ31</f>
        <v/>
      </c>
      <c r="DK32" s="45">
        <f>DK28+DK31</f>
        <v/>
      </c>
      <c r="DL32" s="45">
        <f>DL28+DL31</f>
        <v/>
      </c>
      <c r="DM32" s="45">
        <f>DM28+DM31</f>
        <v/>
      </c>
      <c r="DN32" s="45">
        <f>DN28+DN31</f>
        <v/>
      </c>
      <c r="DO32" s="45">
        <f>DO28+DO31</f>
        <v/>
      </c>
      <c r="DP32" s="45">
        <f>DP28+DP31</f>
        <v/>
      </c>
      <c r="DQ32" s="45">
        <f>DQ28+DQ31</f>
        <v/>
      </c>
      <c r="DR32" s="45">
        <f>DR28+DR31</f>
        <v/>
      </c>
      <c r="DS32" s="45">
        <f>DS28+DS31</f>
        <v/>
      </c>
      <c r="DT32" s="45">
        <f>DT28+DT31</f>
        <v/>
      </c>
      <c r="DU32" s="45">
        <f>DU28+DU31</f>
        <v/>
      </c>
    </row>
    <row r="34">
      <c r="A34" s="11" t="inlineStr">
        <is>
          <t>EQUITY</t>
        </is>
      </c>
    </row>
    <row r="35">
      <c r="A35" t="inlineStr">
        <is>
          <t>Share capital &amp; retained earnings</t>
        </is>
      </c>
      <c r="E35" s="44" t="n">
        <v>0</v>
      </c>
      <c r="F35" s="44">
        <f>Equity!F19</f>
        <v/>
      </c>
      <c r="G35" s="44">
        <f>Equity!G19</f>
        <v/>
      </c>
      <c r="H35" s="44">
        <f>Equity!H19</f>
        <v/>
      </c>
      <c r="I35" s="44">
        <f>Equity!I19</f>
        <v/>
      </c>
      <c r="J35" s="44">
        <f>Equity!J19</f>
        <v/>
      </c>
      <c r="K35" s="44">
        <f>Equity!K19</f>
        <v/>
      </c>
      <c r="L35" s="44">
        <f>Equity!L19</f>
        <v/>
      </c>
      <c r="M35" s="44">
        <f>Equity!M19</f>
        <v/>
      </c>
      <c r="N35" s="44">
        <f>Equity!N19</f>
        <v/>
      </c>
      <c r="O35" s="44">
        <f>Equity!O19</f>
        <v/>
      </c>
      <c r="P35" s="44">
        <f>Equity!P19</f>
        <v/>
      </c>
      <c r="Q35" s="44">
        <f>Equity!Q19</f>
        <v/>
      </c>
      <c r="R35" s="44">
        <f>Equity!R19</f>
        <v/>
      </c>
      <c r="S35" s="44">
        <f>Equity!S19</f>
        <v/>
      </c>
      <c r="T35" s="44">
        <f>Equity!T19</f>
        <v/>
      </c>
      <c r="U35" s="44">
        <f>Equity!U19</f>
        <v/>
      </c>
      <c r="V35" s="44">
        <f>Equity!V19</f>
        <v/>
      </c>
      <c r="W35" s="44">
        <f>Equity!W19</f>
        <v/>
      </c>
      <c r="X35" s="44">
        <f>Equity!X19</f>
        <v/>
      </c>
      <c r="Y35" s="44">
        <f>Equity!Y19</f>
        <v/>
      </c>
      <c r="Z35" s="44">
        <f>Equity!Z19</f>
        <v/>
      </c>
      <c r="AA35" s="44">
        <f>Equity!AA19</f>
        <v/>
      </c>
      <c r="AB35" s="44">
        <f>Equity!AB19</f>
        <v/>
      </c>
      <c r="AC35" s="44">
        <f>Equity!AC19</f>
        <v/>
      </c>
      <c r="AD35" s="44">
        <f>Equity!AD19</f>
        <v/>
      </c>
      <c r="AE35" s="44">
        <f>Equity!AE19</f>
        <v/>
      </c>
      <c r="AF35" s="44">
        <f>Equity!AF19</f>
        <v/>
      </c>
      <c r="AG35" s="44">
        <f>Equity!AG19</f>
        <v/>
      </c>
      <c r="AH35" s="44">
        <f>Equity!AH19</f>
        <v/>
      </c>
      <c r="AI35" s="44">
        <f>Equity!AI19</f>
        <v/>
      </c>
      <c r="AJ35" s="44">
        <f>Equity!AJ19</f>
        <v/>
      </c>
      <c r="AK35" s="44">
        <f>Equity!AK19</f>
        <v/>
      </c>
      <c r="AL35" s="44">
        <f>Equity!AL19</f>
        <v/>
      </c>
      <c r="AM35" s="44">
        <f>Equity!AM19</f>
        <v/>
      </c>
      <c r="AN35" s="44">
        <f>Equity!AN19</f>
        <v/>
      </c>
      <c r="AO35" s="44">
        <f>Equity!AO19</f>
        <v/>
      </c>
      <c r="AP35" s="44">
        <f>Equity!AP19</f>
        <v/>
      </c>
      <c r="AQ35" s="44">
        <f>Equity!AQ19</f>
        <v/>
      </c>
      <c r="AR35" s="44">
        <f>Equity!AR19</f>
        <v/>
      </c>
      <c r="AS35" s="44">
        <f>Equity!AS19</f>
        <v/>
      </c>
      <c r="AT35" s="44">
        <f>Equity!AT19</f>
        <v/>
      </c>
      <c r="AU35" s="44">
        <f>Equity!AU19</f>
        <v/>
      </c>
      <c r="AV35" s="44">
        <f>Equity!AV19</f>
        <v/>
      </c>
      <c r="AW35" s="44">
        <f>Equity!AW19</f>
        <v/>
      </c>
      <c r="AX35" s="44">
        <f>Equity!AX19</f>
        <v/>
      </c>
      <c r="AY35" s="44">
        <f>Equity!AY19</f>
        <v/>
      </c>
      <c r="AZ35" s="44">
        <f>Equity!AZ19</f>
        <v/>
      </c>
      <c r="BA35" s="44">
        <f>Equity!BA19</f>
        <v/>
      </c>
      <c r="BB35" s="44">
        <f>Equity!BB19</f>
        <v/>
      </c>
      <c r="BC35" s="44">
        <f>Equity!BC19</f>
        <v/>
      </c>
      <c r="BD35" s="44">
        <f>Equity!BD19</f>
        <v/>
      </c>
      <c r="BE35" s="44">
        <f>Equity!BE19</f>
        <v/>
      </c>
      <c r="BF35" s="44">
        <f>Equity!BF19</f>
        <v/>
      </c>
      <c r="BG35" s="44">
        <f>Equity!BG19</f>
        <v/>
      </c>
      <c r="BH35" s="44">
        <f>Equity!BH19</f>
        <v/>
      </c>
      <c r="BI35" s="44">
        <f>Equity!BI19</f>
        <v/>
      </c>
      <c r="BJ35" s="44">
        <f>Equity!BJ19</f>
        <v/>
      </c>
      <c r="BK35" s="44">
        <f>Equity!BK19</f>
        <v/>
      </c>
      <c r="BL35" s="44">
        <f>Equity!BL19</f>
        <v/>
      </c>
      <c r="BM35" s="44">
        <f>Equity!BM19</f>
        <v/>
      </c>
      <c r="BN35" s="44">
        <f>Equity!BN19</f>
        <v/>
      </c>
      <c r="BO35" s="44">
        <f>Equity!BO19</f>
        <v/>
      </c>
      <c r="BP35" s="44">
        <f>Equity!BP19</f>
        <v/>
      </c>
      <c r="BQ35" s="44">
        <f>Equity!BQ19</f>
        <v/>
      </c>
      <c r="BR35" s="44">
        <f>Equity!BR19</f>
        <v/>
      </c>
      <c r="BS35" s="44">
        <f>Equity!BS19</f>
        <v/>
      </c>
      <c r="BT35" s="44">
        <f>Equity!BT19</f>
        <v/>
      </c>
      <c r="BU35" s="44">
        <f>Equity!BU19</f>
        <v/>
      </c>
      <c r="BV35" s="44">
        <f>Equity!BV19</f>
        <v/>
      </c>
      <c r="BW35" s="44">
        <f>Equity!BW19</f>
        <v/>
      </c>
      <c r="BX35" s="44">
        <f>Equity!BX19</f>
        <v/>
      </c>
      <c r="BY35" s="44">
        <f>Equity!BY19</f>
        <v/>
      </c>
      <c r="BZ35" s="44">
        <f>Equity!BZ19</f>
        <v/>
      </c>
      <c r="CA35" s="44">
        <f>Equity!CA19</f>
        <v/>
      </c>
      <c r="CB35" s="44">
        <f>Equity!CB19</f>
        <v/>
      </c>
      <c r="CC35" s="44">
        <f>Equity!CC19</f>
        <v/>
      </c>
      <c r="CD35" s="44">
        <f>Equity!CD19</f>
        <v/>
      </c>
      <c r="CE35" s="44">
        <f>Equity!CE19</f>
        <v/>
      </c>
      <c r="CF35" s="44">
        <f>Equity!CF19</f>
        <v/>
      </c>
      <c r="CG35" s="44">
        <f>Equity!CG19</f>
        <v/>
      </c>
      <c r="CH35" s="44">
        <f>Equity!CH19</f>
        <v/>
      </c>
      <c r="CI35" s="44">
        <f>Equity!CI19</f>
        <v/>
      </c>
      <c r="CJ35" s="44">
        <f>Equity!CJ19</f>
        <v/>
      </c>
      <c r="CK35" s="44">
        <f>Equity!CK19</f>
        <v/>
      </c>
      <c r="CL35" s="44">
        <f>Equity!CL19</f>
        <v/>
      </c>
      <c r="CM35" s="44">
        <f>Equity!CM19</f>
        <v/>
      </c>
      <c r="CN35" s="44">
        <f>Equity!CN19</f>
        <v/>
      </c>
      <c r="CO35" s="44">
        <f>Equity!CO19</f>
        <v/>
      </c>
      <c r="CP35" s="44">
        <f>Equity!CP19</f>
        <v/>
      </c>
      <c r="CQ35" s="44">
        <f>Equity!CQ19</f>
        <v/>
      </c>
      <c r="CR35" s="44">
        <f>Equity!CR19</f>
        <v/>
      </c>
      <c r="CS35" s="44">
        <f>Equity!CS19</f>
        <v/>
      </c>
      <c r="CT35" s="44">
        <f>Equity!CT19</f>
        <v/>
      </c>
      <c r="CU35" s="44">
        <f>Equity!CU19</f>
        <v/>
      </c>
      <c r="CV35" s="44">
        <f>Equity!CV19</f>
        <v/>
      </c>
      <c r="CW35" s="44">
        <f>Equity!CW19</f>
        <v/>
      </c>
      <c r="CX35" s="44">
        <f>Equity!CX19</f>
        <v/>
      </c>
      <c r="CY35" s="44">
        <f>Equity!CY19</f>
        <v/>
      </c>
      <c r="CZ35" s="44">
        <f>Equity!CZ19</f>
        <v/>
      </c>
      <c r="DA35" s="44">
        <f>Equity!DA19</f>
        <v/>
      </c>
      <c r="DB35" s="44">
        <f>Equity!DB19</f>
        <v/>
      </c>
      <c r="DC35" s="44">
        <f>Equity!DC19</f>
        <v/>
      </c>
      <c r="DD35" s="44">
        <f>Equity!DD19</f>
        <v/>
      </c>
      <c r="DE35" s="44">
        <f>Equity!DE19</f>
        <v/>
      </c>
      <c r="DF35" s="44">
        <f>Equity!DF19</f>
        <v/>
      </c>
      <c r="DG35" s="44">
        <f>Equity!DG19</f>
        <v/>
      </c>
      <c r="DH35" s="44">
        <f>Equity!DH19</f>
        <v/>
      </c>
      <c r="DI35" s="44">
        <f>Equity!DI19</f>
        <v/>
      </c>
      <c r="DJ35" s="44">
        <f>Equity!DJ19</f>
        <v/>
      </c>
      <c r="DK35" s="44">
        <f>Equity!DK19</f>
        <v/>
      </c>
      <c r="DL35" s="44">
        <f>Equity!DL19</f>
        <v/>
      </c>
      <c r="DM35" s="44">
        <f>Equity!DM19</f>
        <v/>
      </c>
      <c r="DN35" s="44">
        <f>Equity!DN19</f>
        <v/>
      </c>
      <c r="DO35" s="44">
        <f>Equity!DO19</f>
        <v/>
      </c>
      <c r="DP35" s="44">
        <f>Equity!DP19</f>
        <v/>
      </c>
      <c r="DQ35" s="44">
        <f>Equity!DQ19</f>
        <v/>
      </c>
      <c r="DR35" s="44">
        <f>Equity!DR19</f>
        <v/>
      </c>
      <c r="DS35" s="44">
        <f>Equity!DS19</f>
        <v/>
      </c>
      <c r="DT35" s="44">
        <f>Equity!DT19</f>
        <v/>
      </c>
      <c r="DU35" s="44">
        <f>Equity!DU19</f>
        <v/>
      </c>
    </row>
    <row r="37">
      <c r="A37" s="49" t="inlineStr">
        <is>
          <t>TOTAL LIABILITIES &amp; EQUITY</t>
        </is>
      </c>
      <c r="E37" s="44" t="n">
        <v>0</v>
      </c>
      <c r="F37" s="50">
        <f>F32+F35</f>
        <v/>
      </c>
      <c r="G37" s="50">
        <f>G32+G35</f>
        <v/>
      </c>
      <c r="H37" s="50">
        <f>H32+H35</f>
        <v/>
      </c>
      <c r="I37" s="50">
        <f>I32+I35</f>
        <v/>
      </c>
      <c r="J37" s="50">
        <f>J32+J35</f>
        <v/>
      </c>
      <c r="K37" s="50">
        <f>K32+K35</f>
        <v/>
      </c>
      <c r="L37" s="50">
        <f>L32+L35</f>
        <v/>
      </c>
      <c r="M37" s="50">
        <f>M32+M35</f>
        <v/>
      </c>
      <c r="N37" s="50">
        <f>N32+N35</f>
        <v/>
      </c>
      <c r="O37" s="50">
        <f>O32+O35</f>
        <v/>
      </c>
      <c r="P37" s="50">
        <f>P32+P35</f>
        <v/>
      </c>
      <c r="Q37" s="50">
        <f>Q32+Q35</f>
        <v/>
      </c>
      <c r="R37" s="50">
        <f>R32+R35</f>
        <v/>
      </c>
      <c r="S37" s="50">
        <f>S32+S35</f>
        <v/>
      </c>
      <c r="T37" s="50">
        <f>T32+T35</f>
        <v/>
      </c>
      <c r="U37" s="50">
        <f>U32+U35</f>
        <v/>
      </c>
      <c r="V37" s="50">
        <f>V32+V35</f>
        <v/>
      </c>
      <c r="W37" s="50">
        <f>W32+W35</f>
        <v/>
      </c>
      <c r="X37" s="50">
        <f>X32+X35</f>
        <v/>
      </c>
      <c r="Y37" s="50">
        <f>Y32+Y35</f>
        <v/>
      </c>
      <c r="Z37" s="50">
        <f>Z32+Z35</f>
        <v/>
      </c>
      <c r="AA37" s="50">
        <f>AA32+AA35</f>
        <v/>
      </c>
      <c r="AB37" s="50">
        <f>AB32+AB35</f>
        <v/>
      </c>
      <c r="AC37" s="50">
        <f>AC32+AC35</f>
        <v/>
      </c>
      <c r="AD37" s="50">
        <f>AD32+AD35</f>
        <v/>
      </c>
      <c r="AE37" s="50">
        <f>AE32+AE35</f>
        <v/>
      </c>
      <c r="AF37" s="50">
        <f>AF32+AF35</f>
        <v/>
      </c>
      <c r="AG37" s="50">
        <f>AG32+AG35</f>
        <v/>
      </c>
      <c r="AH37" s="50">
        <f>AH32+AH35</f>
        <v/>
      </c>
      <c r="AI37" s="50">
        <f>AI32+AI35</f>
        <v/>
      </c>
      <c r="AJ37" s="50">
        <f>AJ32+AJ35</f>
        <v/>
      </c>
      <c r="AK37" s="50">
        <f>AK32+AK35</f>
        <v/>
      </c>
      <c r="AL37" s="50">
        <f>AL32+AL35</f>
        <v/>
      </c>
      <c r="AM37" s="50">
        <f>AM32+AM35</f>
        <v/>
      </c>
      <c r="AN37" s="50">
        <f>AN32+AN35</f>
        <v/>
      </c>
      <c r="AO37" s="50">
        <f>AO32+AO35</f>
        <v/>
      </c>
      <c r="AP37" s="50">
        <f>AP32+AP35</f>
        <v/>
      </c>
      <c r="AQ37" s="50">
        <f>AQ32+AQ35</f>
        <v/>
      </c>
      <c r="AR37" s="50">
        <f>AR32+AR35</f>
        <v/>
      </c>
      <c r="AS37" s="50">
        <f>AS32+AS35</f>
        <v/>
      </c>
      <c r="AT37" s="50">
        <f>AT32+AT35</f>
        <v/>
      </c>
      <c r="AU37" s="50">
        <f>AU32+AU35</f>
        <v/>
      </c>
      <c r="AV37" s="50">
        <f>AV32+AV35</f>
        <v/>
      </c>
      <c r="AW37" s="50">
        <f>AW32+AW35</f>
        <v/>
      </c>
      <c r="AX37" s="50">
        <f>AX32+AX35</f>
        <v/>
      </c>
      <c r="AY37" s="50">
        <f>AY32+AY35</f>
        <v/>
      </c>
      <c r="AZ37" s="50">
        <f>AZ32+AZ35</f>
        <v/>
      </c>
      <c r="BA37" s="50">
        <f>BA32+BA35</f>
        <v/>
      </c>
      <c r="BB37" s="50">
        <f>BB32+BB35</f>
        <v/>
      </c>
      <c r="BC37" s="50">
        <f>BC32+BC35</f>
        <v/>
      </c>
      <c r="BD37" s="50">
        <f>BD32+BD35</f>
        <v/>
      </c>
      <c r="BE37" s="50">
        <f>BE32+BE35</f>
        <v/>
      </c>
      <c r="BF37" s="50">
        <f>BF32+BF35</f>
        <v/>
      </c>
      <c r="BG37" s="50">
        <f>BG32+BG35</f>
        <v/>
      </c>
      <c r="BH37" s="50">
        <f>BH32+BH35</f>
        <v/>
      </c>
      <c r="BI37" s="50">
        <f>BI32+BI35</f>
        <v/>
      </c>
      <c r="BJ37" s="50">
        <f>BJ32+BJ35</f>
        <v/>
      </c>
      <c r="BK37" s="50">
        <f>BK32+BK35</f>
        <v/>
      </c>
      <c r="BL37" s="50">
        <f>BL32+BL35</f>
        <v/>
      </c>
      <c r="BM37" s="50">
        <f>BM32+BM35</f>
        <v/>
      </c>
      <c r="BN37" s="50">
        <f>BN32+BN35</f>
        <v/>
      </c>
      <c r="BO37" s="50">
        <f>BO32+BO35</f>
        <v/>
      </c>
      <c r="BP37" s="50">
        <f>BP32+BP35</f>
        <v/>
      </c>
      <c r="BQ37" s="50">
        <f>BQ32+BQ35</f>
        <v/>
      </c>
      <c r="BR37" s="50">
        <f>BR32+BR35</f>
        <v/>
      </c>
      <c r="BS37" s="50">
        <f>BS32+BS35</f>
        <v/>
      </c>
      <c r="BT37" s="50">
        <f>BT32+BT35</f>
        <v/>
      </c>
      <c r="BU37" s="50">
        <f>BU32+BU35</f>
        <v/>
      </c>
      <c r="BV37" s="50">
        <f>BV32+BV35</f>
        <v/>
      </c>
      <c r="BW37" s="50">
        <f>BW32+BW35</f>
        <v/>
      </c>
      <c r="BX37" s="50">
        <f>BX32+BX35</f>
        <v/>
      </c>
      <c r="BY37" s="50">
        <f>BY32+BY35</f>
        <v/>
      </c>
      <c r="BZ37" s="50">
        <f>BZ32+BZ35</f>
        <v/>
      </c>
      <c r="CA37" s="50">
        <f>CA32+CA35</f>
        <v/>
      </c>
      <c r="CB37" s="50">
        <f>CB32+CB35</f>
        <v/>
      </c>
      <c r="CC37" s="50">
        <f>CC32+CC35</f>
        <v/>
      </c>
      <c r="CD37" s="50">
        <f>CD32+CD35</f>
        <v/>
      </c>
      <c r="CE37" s="50">
        <f>CE32+CE35</f>
        <v/>
      </c>
      <c r="CF37" s="50">
        <f>CF32+CF35</f>
        <v/>
      </c>
      <c r="CG37" s="50">
        <f>CG32+CG35</f>
        <v/>
      </c>
      <c r="CH37" s="50">
        <f>CH32+CH35</f>
        <v/>
      </c>
      <c r="CI37" s="50">
        <f>CI32+CI35</f>
        <v/>
      </c>
      <c r="CJ37" s="50">
        <f>CJ32+CJ35</f>
        <v/>
      </c>
      <c r="CK37" s="50">
        <f>CK32+CK35</f>
        <v/>
      </c>
      <c r="CL37" s="50">
        <f>CL32+CL35</f>
        <v/>
      </c>
      <c r="CM37" s="50">
        <f>CM32+CM35</f>
        <v/>
      </c>
      <c r="CN37" s="50">
        <f>CN32+CN35</f>
        <v/>
      </c>
      <c r="CO37" s="50">
        <f>CO32+CO35</f>
        <v/>
      </c>
      <c r="CP37" s="50">
        <f>CP32+CP35</f>
        <v/>
      </c>
      <c r="CQ37" s="50">
        <f>CQ32+CQ35</f>
        <v/>
      </c>
      <c r="CR37" s="50">
        <f>CR32+CR35</f>
        <v/>
      </c>
      <c r="CS37" s="50">
        <f>CS32+CS35</f>
        <v/>
      </c>
      <c r="CT37" s="50">
        <f>CT32+CT35</f>
        <v/>
      </c>
      <c r="CU37" s="50">
        <f>CU32+CU35</f>
        <v/>
      </c>
      <c r="CV37" s="50">
        <f>CV32+CV35</f>
        <v/>
      </c>
      <c r="CW37" s="50">
        <f>CW32+CW35</f>
        <v/>
      </c>
      <c r="CX37" s="50">
        <f>CX32+CX35</f>
        <v/>
      </c>
      <c r="CY37" s="50">
        <f>CY32+CY35</f>
        <v/>
      </c>
      <c r="CZ37" s="50">
        <f>CZ32+CZ35</f>
        <v/>
      </c>
      <c r="DA37" s="50">
        <f>DA32+DA35</f>
        <v/>
      </c>
      <c r="DB37" s="50">
        <f>DB32+DB35</f>
        <v/>
      </c>
      <c r="DC37" s="50">
        <f>DC32+DC35</f>
        <v/>
      </c>
      <c r="DD37" s="50">
        <f>DD32+DD35</f>
        <v/>
      </c>
      <c r="DE37" s="50">
        <f>DE32+DE35</f>
        <v/>
      </c>
      <c r="DF37" s="50">
        <f>DF32+DF35</f>
        <v/>
      </c>
      <c r="DG37" s="50">
        <f>DG32+DG35</f>
        <v/>
      </c>
      <c r="DH37" s="50">
        <f>DH32+DH35</f>
        <v/>
      </c>
      <c r="DI37" s="50">
        <f>DI32+DI35</f>
        <v/>
      </c>
      <c r="DJ37" s="50">
        <f>DJ32+DJ35</f>
        <v/>
      </c>
      <c r="DK37" s="50">
        <f>DK32+DK35</f>
        <v/>
      </c>
      <c r="DL37" s="50">
        <f>DL32+DL35</f>
        <v/>
      </c>
      <c r="DM37" s="50">
        <f>DM32+DM35</f>
        <v/>
      </c>
      <c r="DN37" s="50">
        <f>DN32+DN35</f>
        <v/>
      </c>
      <c r="DO37" s="50">
        <f>DO32+DO35</f>
        <v/>
      </c>
      <c r="DP37" s="50">
        <f>DP32+DP35</f>
        <v/>
      </c>
      <c r="DQ37" s="50">
        <f>DQ32+DQ35</f>
        <v/>
      </c>
      <c r="DR37" s="50">
        <f>DR32+DR35</f>
        <v/>
      </c>
      <c r="DS37" s="50">
        <f>DS32+DS35</f>
        <v/>
      </c>
      <c r="DT37" s="50">
        <f>DT32+DT35</f>
        <v/>
      </c>
      <c r="DU37" s="50">
        <f>DU32+DU35</f>
        <v/>
      </c>
    </row>
    <row r="39">
      <c r="A39" s="51" t="inlineStr">
        <is>
          <t>BALANCE CHECK</t>
        </is>
      </c>
      <c r="E39" s="44" t="n">
        <v>0</v>
      </c>
      <c r="F39" s="52">
        <f>F24-F37</f>
        <v/>
      </c>
      <c r="G39" s="52">
        <f>G24-G37</f>
        <v/>
      </c>
      <c r="H39" s="52">
        <f>H24-H37</f>
        <v/>
      </c>
      <c r="I39" s="52">
        <f>I24-I37</f>
        <v/>
      </c>
      <c r="J39" s="52">
        <f>J24-J37</f>
        <v/>
      </c>
      <c r="K39" s="52">
        <f>K24-K37</f>
        <v/>
      </c>
      <c r="L39" s="52">
        <f>L24-L37</f>
        <v/>
      </c>
      <c r="M39" s="52">
        <f>M24-M37</f>
        <v/>
      </c>
      <c r="N39" s="52">
        <f>N24-N37</f>
        <v/>
      </c>
      <c r="O39" s="52">
        <f>O24-O37</f>
        <v/>
      </c>
      <c r="P39" s="52">
        <f>P24-P37</f>
        <v/>
      </c>
      <c r="Q39" s="52">
        <f>Q24-Q37</f>
        <v/>
      </c>
      <c r="R39" s="52">
        <f>R24-R37</f>
        <v/>
      </c>
      <c r="S39" s="52">
        <f>S24-S37</f>
        <v/>
      </c>
      <c r="T39" s="52">
        <f>T24-T37</f>
        <v/>
      </c>
      <c r="U39" s="52">
        <f>U24-U37</f>
        <v/>
      </c>
      <c r="V39" s="52">
        <f>V24-V37</f>
        <v/>
      </c>
      <c r="W39" s="52">
        <f>W24-W37</f>
        <v/>
      </c>
      <c r="X39" s="52">
        <f>X24-X37</f>
        <v/>
      </c>
      <c r="Y39" s="52">
        <f>Y24-Y37</f>
        <v/>
      </c>
      <c r="Z39" s="52">
        <f>Z24-Z37</f>
        <v/>
      </c>
      <c r="AA39" s="52">
        <f>AA24-AA37</f>
        <v/>
      </c>
      <c r="AB39" s="52">
        <f>AB24-AB37</f>
        <v/>
      </c>
      <c r="AC39" s="52">
        <f>AC24-AC37</f>
        <v/>
      </c>
      <c r="AD39" s="52">
        <f>AD24-AD37</f>
        <v/>
      </c>
      <c r="AE39" s="52">
        <f>AE24-AE37</f>
        <v/>
      </c>
      <c r="AF39" s="52">
        <f>AF24-AF37</f>
        <v/>
      </c>
      <c r="AG39" s="52">
        <f>AG24-AG37</f>
        <v/>
      </c>
      <c r="AH39" s="52">
        <f>AH24-AH37</f>
        <v/>
      </c>
      <c r="AI39" s="52">
        <f>AI24-AI37</f>
        <v/>
      </c>
      <c r="AJ39" s="52">
        <f>AJ24-AJ37</f>
        <v/>
      </c>
      <c r="AK39" s="52">
        <f>AK24-AK37</f>
        <v/>
      </c>
      <c r="AL39" s="52">
        <f>AL24-AL37</f>
        <v/>
      </c>
      <c r="AM39" s="52">
        <f>AM24-AM37</f>
        <v/>
      </c>
      <c r="AN39" s="52">
        <f>AN24-AN37</f>
        <v/>
      </c>
      <c r="AO39" s="52">
        <f>AO24-AO37</f>
        <v/>
      </c>
      <c r="AP39" s="52">
        <f>AP24-AP37</f>
        <v/>
      </c>
      <c r="AQ39" s="52">
        <f>AQ24-AQ37</f>
        <v/>
      </c>
      <c r="AR39" s="52">
        <f>AR24-AR37</f>
        <v/>
      </c>
      <c r="AS39" s="52">
        <f>AS24-AS37</f>
        <v/>
      </c>
      <c r="AT39" s="52">
        <f>AT24-AT37</f>
        <v/>
      </c>
      <c r="AU39" s="52">
        <f>AU24-AU37</f>
        <v/>
      </c>
      <c r="AV39" s="52">
        <f>AV24-AV37</f>
        <v/>
      </c>
      <c r="AW39" s="52">
        <f>AW24-AW37</f>
        <v/>
      </c>
      <c r="AX39" s="52">
        <f>AX24-AX37</f>
        <v/>
      </c>
      <c r="AY39" s="52">
        <f>AY24-AY37</f>
        <v/>
      </c>
      <c r="AZ39" s="52">
        <f>AZ24-AZ37</f>
        <v/>
      </c>
      <c r="BA39" s="52">
        <f>BA24-BA37</f>
        <v/>
      </c>
      <c r="BB39" s="52">
        <f>BB24-BB37</f>
        <v/>
      </c>
      <c r="BC39" s="52">
        <f>BC24-BC37</f>
        <v/>
      </c>
      <c r="BD39" s="52">
        <f>BD24-BD37</f>
        <v/>
      </c>
      <c r="BE39" s="52">
        <f>BE24-BE37</f>
        <v/>
      </c>
      <c r="BF39" s="52">
        <f>BF24-BF37</f>
        <v/>
      </c>
      <c r="BG39" s="52">
        <f>BG24-BG37</f>
        <v/>
      </c>
      <c r="BH39" s="52">
        <f>BH24-BH37</f>
        <v/>
      </c>
      <c r="BI39" s="52">
        <f>BI24-BI37</f>
        <v/>
      </c>
      <c r="BJ39" s="52">
        <f>BJ24-BJ37</f>
        <v/>
      </c>
      <c r="BK39" s="52">
        <f>BK24-BK37</f>
        <v/>
      </c>
      <c r="BL39" s="52">
        <f>BL24-BL37</f>
        <v/>
      </c>
      <c r="BM39" s="52">
        <f>BM24-BM37</f>
        <v/>
      </c>
      <c r="BN39" s="52">
        <f>BN24-BN37</f>
        <v/>
      </c>
      <c r="BO39" s="52">
        <f>BO24-BO37</f>
        <v/>
      </c>
      <c r="BP39" s="52">
        <f>BP24-BP37</f>
        <v/>
      </c>
      <c r="BQ39" s="52">
        <f>BQ24-BQ37</f>
        <v/>
      </c>
      <c r="BR39" s="52">
        <f>BR24-BR37</f>
        <v/>
      </c>
      <c r="BS39" s="52">
        <f>BS24-BS37</f>
        <v/>
      </c>
      <c r="BT39" s="52">
        <f>BT24-BT37</f>
        <v/>
      </c>
      <c r="BU39" s="52">
        <f>BU24-BU37</f>
        <v/>
      </c>
      <c r="BV39" s="52">
        <f>BV24-BV37</f>
        <v/>
      </c>
      <c r="BW39" s="52">
        <f>BW24-BW37</f>
        <v/>
      </c>
      <c r="BX39" s="52">
        <f>BX24-BX37</f>
        <v/>
      </c>
      <c r="BY39" s="52">
        <f>BY24-BY37</f>
        <v/>
      </c>
      <c r="BZ39" s="52">
        <f>BZ24-BZ37</f>
        <v/>
      </c>
      <c r="CA39" s="52">
        <f>CA24-CA37</f>
        <v/>
      </c>
      <c r="CB39" s="52">
        <f>CB24-CB37</f>
        <v/>
      </c>
      <c r="CC39" s="52">
        <f>CC24-CC37</f>
        <v/>
      </c>
      <c r="CD39" s="52">
        <f>CD24-CD37</f>
        <v/>
      </c>
      <c r="CE39" s="52">
        <f>CE24-CE37</f>
        <v/>
      </c>
      <c r="CF39" s="52">
        <f>CF24-CF37</f>
        <v/>
      </c>
      <c r="CG39" s="52">
        <f>CG24-CG37</f>
        <v/>
      </c>
      <c r="CH39" s="52">
        <f>CH24-CH37</f>
        <v/>
      </c>
      <c r="CI39" s="52">
        <f>CI24-CI37</f>
        <v/>
      </c>
      <c r="CJ39" s="52">
        <f>CJ24-CJ37</f>
        <v/>
      </c>
      <c r="CK39" s="52">
        <f>CK24-CK37</f>
        <v/>
      </c>
      <c r="CL39" s="52">
        <f>CL24-CL37</f>
        <v/>
      </c>
      <c r="CM39" s="52">
        <f>CM24-CM37</f>
        <v/>
      </c>
      <c r="CN39" s="52">
        <f>CN24-CN37</f>
        <v/>
      </c>
      <c r="CO39" s="52">
        <f>CO24-CO37</f>
        <v/>
      </c>
      <c r="CP39" s="52">
        <f>CP24-CP37</f>
        <v/>
      </c>
      <c r="CQ39" s="52">
        <f>CQ24-CQ37</f>
        <v/>
      </c>
      <c r="CR39" s="52">
        <f>CR24-CR37</f>
        <v/>
      </c>
      <c r="CS39" s="52">
        <f>CS24-CS37</f>
        <v/>
      </c>
      <c r="CT39" s="52">
        <f>CT24-CT37</f>
        <v/>
      </c>
      <c r="CU39" s="52">
        <f>CU24-CU37</f>
        <v/>
      </c>
      <c r="CV39" s="52">
        <f>CV24-CV37</f>
        <v/>
      </c>
      <c r="CW39" s="52">
        <f>CW24-CW37</f>
        <v/>
      </c>
      <c r="CX39" s="52">
        <f>CX24-CX37</f>
        <v/>
      </c>
      <c r="CY39" s="52">
        <f>CY24-CY37</f>
        <v/>
      </c>
      <c r="CZ39" s="52">
        <f>CZ24-CZ37</f>
        <v/>
      </c>
      <c r="DA39" s="52">
        <f>DA24-DA37</f>
        <v/>
      </c>
      <c r="DB39" s="52">
        <f>DB24-DB37</f>
        <v/>
      </c>
      <c r="DC39" s="52">
        <f>DC24-DC37</f>
        <v/>
      </c>
      <c r="DD39" s="52">
        <f>DD24-DD37</f>
        <v/>
      </c>
      <c r="DE39" s="52">
        <f>DE24-DE37</f>
        <v/>
      </c>
      <c r="DF39" s="52">
        <f>DF24-DF37</f>
        <v/>
      </c>
      <c r="DG39" s="52">
        <f>DG24-DG37</f>
        <v/>
      </c>
      <c r="DH39" s="52">
        <f>DH24-DH37</f>
        <v/>
      </c>
      <c r="DI39" s="52">
        <f>DI24-DI37</f>
        <v/>
      </c>
      <c r="DJ39" s="52">
        <f>DJ24-DJ37</f>
        <v/>
      </c>
      <c r="DK39" s="52">
        <f>DK24-DK37</f>
        <v/>
      </c>
      <c r="DL39" s="52">
        <f>DL24-DL37</f>
        <v/>
      </c>
      <c r="DM39" s="52">
        <f>DM24-DM37</f>
        <v/>
      </c>
      <c r="DN39" s="52">
        <f>DN24-DN37</f>
        <v/>
      </c>
      <c r="DO39" s="52">
        <f>DO24-DO37</f>
        <v/>
      </c>
      <c r="DP39" s="52">
        <f>DP24-DP37</f>
        <v/>
      </c>
      <c r="DQ39" s="52">
        <f>DQ24-DQ37</f>
        <v/>
      </c>
      <c r="DR39" s="52">
        <f>DR24-DR37</f>
        <v/>
      </c>
      <c r="DS39" s="52">
        <f>DS24-DS37</f>
        <v/>
      </c>
      <c r="DT39" s="52">
        <f>DT24-DT37</f>
        <v/>
      </c>
      <c r="DU39" s="52">
        <f>DU24-DU37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5" customHeight="1">
      <c r="A1" s="1" t="inlineStr">
        <is>
          <t>KPI DASHBOARD</t>
        </is>
      </c>
    </row>
    <row r="3">
      <c r="A3" s="2" t="inlineStr">
        <is>
          <t>KEY PERFORMANCE INDICATORS (Annual)</t>
        </is>
      </c>
    </row>
    <row r="4">
      <c r="A4" s="12" t="inlineStr">
        <is>
          <t>Metric</t>
        </is>
      </c>
      <c r="B4" s="12" t="inlineStr">
        <is>
          <t>Y1</t>
        </is>
      </c>
      <c r="C4" s="12" t="inlineStr">
        <is>
          <t>Y2</t>
        </is>
      </c>
      <c r="D4" s="12" t="inlineStr">
        <is>
          <t>Y3</t>
        </is>
      </c>
      <c r="E4" s="12" t="inlineStr">
        <is>
          <t>Y4</t>
        </is>
      </c>
      <c r="F4" s="12" t="inlineStr">
        <is>
          <t>Y5</t>
        </is>
      </c>
      <c r="G4" s="12" t="inlineStr">
        <is>
          <t>Y6</t>
        </is>
      </c>
      <c r="H4" s="12" t="inlineStr">
        <is>
          <t>Y7</t>
        </is>
      </c>
      <c r="I4" s="12" t="inlineStr">
        <is>
          <t>Y8</t>
        </is>
      </c>
      <c r="J4" s="12" t="inlineStr">
        <is>
          <t>Y9</t>
        </is>
      </c>
      <c r="K4" s="12" t="inlineStr">
        <is>
          <t>Y10</t>
        </is>
      </c>
    </row>
    <row r="5">
      <c r="A5" s="11" t="inlineStr">
        <is>
          <t>Volume &amp; Revenue</t>
        </is>
      </c>
    </row>
    <row r="6">
      <c r="A6" t="inlineStr">
        <is>
          <t>HL sold (000s)</t>
        </is>
      </c>
      <c r="B6" s="34">
        <f>SUM(Volume_Assumptions!F51:Q51)/1000</f>
        <v/>
      </c>
      <c r="D6" s="34">
        <f>SUM(Volume_Assumptions!R51:]51)/1000</f>
        <v/>
      </c>
      <c r="E6" s="34">
        <f>SUM(Volume_Assumptions!^51:i51)/1000</f>
        <v/>
      </c>
      <c r="F6" s="34">
        <f>SUM(Volume_Assumptions!j51:u51)/1000</f>
        <v/>
      </c>
      <c r="G6" s="34">
        <f>SUM(Volume_Assumptions!v51:51)/1000</f>
        <v/>
      </c>
      <c r="H6" s="34">
        <f>SUM(Volume_Assumptions!51:51)/1000</f>
        <v/>
      </c>
      <c r="I6" s="34">
        <f>SUM(Volume_Assumptions!51:51)/1000</f>
        <v/>
      </c>
      <c r="J6" s="34">
        <f>SUM(Volume_Assumptions!51:¥51)/1000</f>
        <v/>
      </c>
      <c r="K6" s="34">
        <f>SUM(Volume_Assumptions!¦51:±51)/1000</f>
        <v/>
      </c>
      <c r="L6" s="34">
        <f>SUM(Volume_Assumptions!²51:½51)/1000</f>
        <v/>
      </c>
    </row>
    <row r="7">
      <c r="A7" t="inlineStr">
        <is>
          <t>Net revenue ($M)</t>
        </is>
      </c>
      <c r="B7" s="53">
        <f>SUM(PL!F13:Q13)/1000000</f>
        <v/>
      </c>
      <c r="D7" s="53">
        <f>SUM(PL!R13:]13)/1000000</f>
        <v/>
      </c>
      <c r="E7" s="53">
        <f>SUM(PL!^13:i13)/1000000</f>
        <v/>
      </c>
      <c r="F7" s="53">
        <f>SUM(PL!j13:u13)/1000000</f>
        <v/>
      </c>
      <c r="G7" s="53">
        <f>SUM(PL!v13:13)/1000000</f>
        <v/>
      </c>
      <c r="H7" s="53">
        <f>SUM(PL!13:13)/1000000</f>
        <v/>
      </c>
      <c r="I7" s="53">
        <f>SUM(PL!13:13)/1000000</f>
        <v/>
      </c>
      <c r="J7" s="53">
        <f>SUM(PL!13:¥13)/1000000</f>
        <v/>
      </c>
      <c r="K7" s="53">
        <f>SUM(PL!¦13:±13)/1000000</f>
        <v/>
      </c>
      <c r="L7" s="53">
        <f>SUM(PL!²13:½13)/1000000</f>
        <v/>
      </c>
    </row>
    <row r="8">
      <c r="A8" t="inlineStr">
        <is>
          <t>Revenue per HL ($)</t>
        </is>
      </c>
      <c r="B8" s="44">
        <f>(C7*1000000)/(C6*1000)</f>
        <v/>
      </c>
      <c r="D8" s="44">
        <f>(C7*1000000)/(C6*1000)</f>
        <v/>
      </c>
      <c r="E8" s="44">
        <f>(C7*1000000)/(C6*1000)</f>
        <v/>
      </c>
      <c r="F8" s="44">
        <f>(C7*1000000)/(C6*1000)</f>
        <v/>
      </c>
      <c r="G8" s="44">
        <f>(C7*1000000)/(C6*1000)</f>
        <v/>
      </c>
      <c r="H8" s="44">
        <f>(C7*1000000)/(C6*1000)</f>
        <v/>
      </c>
      <c r="I8" s="44">
        <f>(C7*1000000)/(C6*1000)</f>
        <v/>
      </c>
      <c r="J8" s="44">
        <f>(C7*1000000)/(C6*1000)</f>
        <v/>
      </c>
      <c r="K8" s="44">
        <f>(C7*1000000)/(C6*1000)</f>
        <v/>
      </c>
      <c r="L8" s="44">
        <f>(C7*1000000)/(C6*1000)</f>
        <v/>
      </c>
    </row>
    <row r="10">
      <c r="A10" s="11" t="inlineStr">
        <is>
          <t>Profitability</t>
        </is>
      </c>
    </row>
    <row r="11">
      <c r="A11" t="inlineStr">
        <is>
          <t>Gross margin %</t>
        </is>
      </c>
      <c r="B11" s="26">
        <f>SUM(PL!F18:Q18)/SUM(PL!F13:Q13)</f>
        <v/>
      </c>
      <c r="D11" s="26">
        <f>SUM(PL!R18:]18)/SUM(PL!R13:]13)</f>
        <v/>
      </c>
      <c r="E11" s="26">
        <f>SUM(PL!^18:i18)/SUM(PL!^13:i13)</f>
        <v/>
      </c>
      <c r="F11" s="26">
        <f>SUM(PL!j18:u18)/SUM(PL!j13:u13)</f>
        <v/>
      </c>
      <c r="G11" s="26">
        <f>SUM(PL!v18:18)/SUM(PL!v13:13)</f>
        <v/>
      </c>
      <c r="H11" s="26">
        <f>SUM(PL!18:18)/SUM(PL!13:13)</f>
        <v/>
      </c>
      <c r="I11" s="26">
        <f>SUM(PL!18:18)/SUM(PL!13:13)</f>
        <v/>
      </c>
      <c r="J11" s="26">
        <f>SUM(PL!18:¥18)/SUM(PL!13:¥13)</f>
        <v/>
      </c>
      <c r="K11" s="26">
        <f>SUM(PL!¦18:±18)/SUM(PL!¦13:±13)</f>
        <v/>
      </c>
      <c r="L11" s="26">
        <f>SUM(PL!²18:½18)/SUM(PL!²13:½13)</f>
        <v/>
      </c>
    </row>
    <row r="12">
      <c r="A12" t="inlineStr">
        <is>
          <t>EBITDA ($M)</t>
        </is>
      </c>
      <c r="B12" s="53">
        <f>SUM(PL!F26:Q26)/1000000</f>
        <v/>
      </c>
      <c r="D12" s="53">
        <f>SUM(PL!R26:]26)/1000000</f>
        <v/>
      </c>
      <c r="E12" s="53">
        <f>SUM(PL!^26:i26)/1000000</f>
        <v/>
      </c>
      <c r="F12" s="53">
        <f>SUM(PL!j26:u26)/1000000</f>
        <v/>
      </c>
      <c r="G12" s="53">
        <f>SUM(PL!v26:26)/1000000</f>
        <v/>
      </c>
      <c r="H12" s="53">
        <f>SUM(PL!26:26)/1000000</f>
        <v/>
      </c>
      <c r="I12" s="53">
        <f>SUM(PL!26:26)/1000000</f>
        <v/>
      </c>
      <c r="J12" s="53">
        <f>SUM(PL!26:¥26)/1000000</f>
        <v/>
      </c>
      <c r="K12" s="53">
        <f>SUM(PL!¦26:±26)/1000000</f>
        <v/>
      </c>
      <c r="L12" s="53">
        <f>SUM(PL!²26:½26)/1000000</f>
        <v/>
      </c>
    </row>
    <row r="13">
      <c r="A13" t="inlineStr">
        <is>
          <t>EBITDA margin %</t>
        </is>
      </c>
      <c r="B13" s="26">
        <f>SUM(PL!F26:Q26)/SUM(PL!F13:Q13)</f>
        <v/>
      </c>
      <c r="D13" s="26">
        <f>SUM(PL!R26:]26)/SUM(PL!R13:]13)</f>
        <v/>
      </c>
      <c r="E13" s="26">
        <f>SUM(PL!^26:i26)/SUM(PL!^13:i13)</f>
        <v/>
      </c>
      <c r="F13" s="26">
        <f>SUM(PL!j26:u26)/SUM(PL!j13:u13)</f>
        <v/>
      </c>
      <c r="G13" s="26">
        <f>SUM(PL!v26:26)/SUM(PL!v13:13)</f>
        <v/>
      </c>
      <c r="H13" s="26">
        <f>SUM(PL!26:26)/SUM(PL!13:13)</f>
        <v/>
      </c>
      <c r="I13" s="26">
        <f>SUM(PL!26:26)/SUM(PL!13:13)</f>
        <v/>
      </c>
      <c r="J13" s="26">
        <f>SUM(PL!26:¥26)/SUM(PL!13:¥13)</f>
        <v/>
      </c>
      <c r="K13" s="26">
        <f>SUM(PL!¦26:±26)/SUM(PL!¦13:±13)</f>
        <v/>
      </c>
      <c r="L13" s="26">
        <f>SUM(PL!²26:½26)/SUM(PL!²13:½13)</f>
        <v/>
      </c>
    </row>
    <row r="14">
      <c r="A14" t="inlineStr">
        <is>
          <t>Net income ($M)</t>
        </is>
      </c>
      <c r="B14" s="53">
        <f>SUM(PL!F40:Q40)/1000000</f>
        <v/>
      </c>
      <c r="D14" s="53">
        <f>SUM(PL!R40:]40)/1000000</f>
        <v/>
      </c>
      <c r="E14" s="53">
        <f>SUM(PL!^40:i40)/1000000</f>
        <v/>
      </c>
      <c r="F14" s="53">
        <f>SUM(PL!j40:u40)/1000000</f>
        <v/>
      </c>
      <c r="G14" s="53">
        <f>SUM(PL!v40:40)/1000000</f>
        <v/>
      </c>
      <c r="H14" s="53">
        <f>SUM(PL!40:40)/1000000</f>
        <v/>
      </c>
      <c r="I14" s="53">
        <f>SUM(PL!40:40)/1000000</f>
        <v/>
      </c>
      <c r="J14" s="53">
        <f>SUM(PL!40:¥40)/1000000</f>
        <v/>
      </c>
      <c r="K14" s="53">
        <f>SUM(PL!¦40:±40)/1000000</f>
        <v/>
      </c>
      <c r="L14" s="53">
        <f>SUM(PL!²40:½40)/1000000</f>
        <v/>
      </c>
    </row>
    <row r="16">
      <c r="A16" s="11" t="inlineStr">
        <is>
          <t>Leverage</t>
        </is>
      </c>
    </row>
    <row r="17">
      <c r="A17" t="inlineStr">
        <is>
          <t>Total debt ($M)</t>
        </is>
      </c>
      <c r="B17" s="53">
        <f>Debt_Schedule!Q22/1000000</f>
        <v/>
      </c>
      <c r="D17" s="53">
        <f>Debt_Schedule!]22/1000000</f>
        <v/>
      </c>
      <c r="E17" s="53">
        <f>Debt_Schedule!i22/1000000</f>
        <v/>
      </c>
      <c r="F17" s="53">
        <f>Debt_Schedule!u22/1000000</f>
        <v/>
      </c>
      <c r="G17" s="53">
        <f>Debt_Schedule!22/1000000</f>
        <v/>
      </c>
      <c r="H17" s="53">
        <f>Debt_Schedule!22/1000000</f>
        <v/>
      </c>
      <c r="I17" s="53">
        <f>Debt_Schedule!22/1000000</f>
        <v/>
      </c>
      <c r="J17" s="53">
        <f>Debt_Schedule!¥22/1000000</f>
        <v/>
      </c>
      <c r="K17" s="53">
        <f>Debt_Schedule!±22/1000000</f>
        <v/>
      </c>
      <c r="L17" s="53">
        <f>Debt_Schedule!½22/1000000</f>
        <v/>
      </c>
    </row>
    <row r="18">
      <c r="A18" t="inlineStr">
        <is>
          <t>Total equity ($M)</t>
        </is>
      </c>
      <c r="B18" s="53">
        <f>Equity!Q19/1000000</f>
        <v/>
      </c>
      <c r="D18" s="53">
        <f>Equity!]19/1000000</f>
        <v/>
      </c>
      <c r="E18" s="53">
        <f>Equity!i19/1000000</f>
        <v/>
      </c>
      <c r="F18" s="53">
        <f>Equity!u19/1000000</f>
        <v/>
      </c>
      <c r="G18" s="53">
        <f>Equity!19/1000000</f>
        <v/>
      </c>
      <c r="H18" s="53">
        <f>Equity!19/1000000</f>
        <v/>
      </c>
      <c r="I18" s="53">
        <f>Equity!19/1000000</f>
        <v/>
      </c>
      <c r="J18" s="53">
        <f>Equity!¥19/1000000</f>
        <v/>
      </c>
      <c r="K18" s="53">
        <f>Equity!±19/1000000</f>
        <v/>
      </c>
      <c r="L18" s="53">
        <f>Equity!½19/1000000</f>
        <v/>
      </c>
    </row>
    <row r="19">
      <c r="A19" t="inlineStr">
        <is>
          <t>Debt / Equity</t>
        </is>
      </c>
      <c r="B19" s="44">
        <f>C18/C19</f>
        <v/>
      </c>
      <c r="D19" s="44">
        <f>C18/C19</f>
        <v/>
      </c>
      <c r="E19" s="44">
        <f>C18/C19</f>
        <v/>
      </c>
      <c r="F19" s="44">
        <f>C18/C19</f>
        <v/>
      </c>
      <c r="G19" s="44">
        <f>C18/C19</f>
        <v/>
      </c>
      <c r="H19" s="44">
        <f>C18/C19</f>
        <v/>
      </c>
      <c r="I19" s="44">
        <f>C18/C19</f>
        <v/>
      </c>
      <c r="J19" s="44">
        <f>C18/C19</f>
        <v/>
      </c>
      <c r="K19" s="44">
        <f>C18/C19</f>
        <v/>
      </c>
      <c r="L19" s="44">
        <f>C18/C19</f>
        <v/>
      </c>
    </row>
    <row r="21">
      <c r="A21" s="11" t="inlineStr">
        <is>
          <t>Cash</t>
        </is>
      </c>
    </row>
    <row r="22">
      <c r="A22" t="inlineStr">
        <is>
          <t>Min cash balance ($M)</t>
        </is>
      </c>
      <c r="B22" s="53">
        <f>MIN(CashFlow!F31:Q31)/1000000</f>
        <v/>
      </c>
      <c r="D22" s="53">
        <f>MIN(CashRlow!R31:]31)/1000000</f>
        <v/>
      </c>
      <c r="E22" s="53">
        <f>MIN(Cash^low!^31:i31)/1000000</f>
        <v/>
      </c>
      <c r="F22" s="53">
        <f>MIN(Cashjlow!j31:u31)/1000000</f>
        <v/>
      </c>
      <c r="G22" s="53">
        <f>MIN(Cashvlow!v31:31)/1000000</f>
        <v/>
      </c>
      <c r="H22" s="53">
        <f>MIN(Cashlow!31:31)/1000000</f>
        <v/>
      </c>
      <c r="I22" s="53">
        <f>MIN(Cashlow!31:31)/1000000</f>
        <v/>
      </c>
      <c r="J22" s="53">
        <f>MIN(Cashlow!31:¥31)/1000000</f>
        <v/>
      </c>
      <c r="K22" s="53">
        <f>MIN(Cash¦low!¦31:±31)/1000000</f>
        <v/>
      </c>
      <c r="L22" s="53">
        <f>MIN(Cash²low!²31:½31)/1000000</f>
        <v/>
      </c>
    </row>
    <row r="23">
      <c r="A23" t="inlineStr">
        <is>
          <t>Closing cash ($M)</t>
        </is>
      </c>
      <c r="B23" s="53">
        <f>CashFlow!Q31/1000000</f>
        <v/>
      </c>
      <c r="D23" s="53">
        <f>CashRlow!]31/1000000</f>
        <v/>
      </c>
      <c r="E23" s="53">
        <f>Cash^low!i31/1000000</f>
        <v/>
      </c>
      <c r="F23" s="53">
        <f>Cashjlow!u31/1000000</f>
        <v/>
      </c>
      <c r="G23" s="53">
        <f>Cashvlow!31/1000000</f>
        <v/>
      </c>
      <c r="H23" s="53">
        <f>Cashlow!31/1000000</f>
        <v/>
      </c>
      <c r="I23" s="53">
        <f>Cashlow!31/1000000</f>
        <v/>
      </c>
      <c r="J23" s="53">
        <f>Cashlow!¥31/1000000</f>
        <v/>
      </c>
      <c r="K23" s="53">
        <f>Cash¦low!±31/1000000</f>
        <v/>
      </c>
      <c r="L23" s="53">
        <f>Cash²low!½31/1000000</f>
        <v/>
      </c>
    </row>
  </sheetData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</cols>
  <sheetData>
    <row r="1" ht="25" customHeight="1">
      <c r="A1" s="1" t="inlineStr">
        <is>
          <t>MODEL INTEGRITY CHECKS</t>
        </is>
      </c>
    </row>
    <row r="3">
      <c r="A3" s="12" t="inlineStr">
        <is>
          <t>Check Category</t>
        </is>
      </c>
      <c r="B3" s="12" t="inlineStr">
        <is>
          <t>Check Description</t>
        </is>
      </c>
      <c r="C3" s="12" t="inlineStr">
        <is>
          <t>Status</t>
        </is>
      </c>
    </row>
    <row r="4">
      <c r="A4" t="inlineStr">
        <is>
          <t>Balance Sheet</t>
        </is>
      </c>
      <c r="B4" t="inlineStr">
        <is>
          <t>All periods balance?</t>
        </is>
      </c>
      <c r="C4" s="44">
        <f>IF(SUMPRODUCT((BalanceSheet!F39:DY39)^2)&lt;1,"PASS","FAIL")</f>
        <v/>
      </c>
    </row>
    <row r="5">
      <c r="A5" t="inlineStr">
        <is>
          <t>Balance Sheet</t>
        </is>
      </c>
      <c r="B5" t="inlineStr">
        <is>
          <t>Max imbalance ($)</t>
        </is>
      </c>
      <c r="C5" s="44">
        <f>MAX(ABS(BalanceSheet!F39:DY39))</f>
        <v/>
      </c>
    </row>
    <row r="6">
      <c r="A6" t="inlineStr">
        <is>
          <t>Cash</t>
        </is>
      </c>
      <c r="B6" t="inlineStr">
        <is>
          <t>Negative cash in any period?</t>
        </is>
      </c>
      <c r="C6">
        <f>IF(MIN(CashFlow!F31:DY31)&lt;0,"WARNING","OK")</f>
        <v/>
      </c>
    </row>
    <row r="7">
      <c r="A7" t="inlineStr">
        <is>
          <t>Cash</t>
        </is>
      </c>
      <c r="B7" t="inlineStr">
        <is>
          <t>Min cash balance ($M)</t>
        </is>
      </c>
      <c r="C7" s="44">
        <f>MIN(CashFlow!F31:DY31)/1000000</f>
        <v/>
      </c>
    </row>
    <row r="8">
      <c r="A8" t="inlineStr">
        <is>
          <t>Capacity</t>
        </is>
      </c>
      <c r="B8" t="inlineStr">
        <is>
          <t>Over capacity in any period?</t>
        </is>
      </c>
      <c r="C8">
        <f>IF(COUNTIF(Production_Capacity!F26:DY26,"&gt;100%")&gt;0,"WARNING","OK")</f>
        <v/>
      </c>
    </row>
    <row r="9">
      <c r="A9" t="inlineStr">
        <is>
          <t>Capacity</t>
        </is>
      </c>
      <c r="B9" t="inlineStr">
        <is>
          <t>Max utilization %</t>
        </is>
      </c>
      <c r="C9">
        <f>MAX(Production_Capacity!F26:DY26)</f>
        <v/>
      </c>
    </row>
    <row r="10">
      <c r="A10" t="inlineStr">
        <is>
          <t>P&amp;L</t>
        </is>
      </c>
      <c r="B10" t="inlineStr">
        <is>
          <t>Gross margin ever negative?</t>
        </is>
      </c>
      <c r="C10">
        <f>IF(MIN(PL!F19:DY19)&lt;0,"WARNING","OK")</f>
        <v/>
      </c>
    </row>
    <row r="11">
      <c r="A11" t="inlineStr">
        <is>
          <t>Debt</t>
        </is>
      </c>
      <c r="B11" t="inlineStr">
        <is>
          <t>Debt/Equity ever &gt;2.0x?</t>
        </is>
      </c>
      <c r="C11">
        <f>IF(MAX(KPI_Dashboard!B20:K20)&gt;2,"BREACH","PASS")</f>
        <v/>
      </c>
    </row>
    <row r="13">
      <c r="A13" s="2" t="inlineStr">
        <is>
          <t>OVERALL STATUS</t>
        </is>
      </c>
      <c r="C13" s="8">
        <f>IF(COUNTIF(C4:C11,"*FAIL*")&gt;0,"ERRORS FOUND",IF(COUNTIF(C4:C11,"*WARNING*")&gt;0,"WARNINGS","ALL CHECKS PASS"))</f>
        <v/>
      </c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5" customHeight="1">
      <c r="A1" s="1" t="inlineStr">
        <is>
          <t>DOCUMENTATION</t>
        </is>
      </c>
    </row>
    <row r="3">
      <c r="A3" s="2" t="inlineStr">
        <is>
          <t>Model Overview</t>
        </is>
      </c>
    </row>
    <row r="4">
      <c r="A4" s="8" t="inlineStr">
        <is>
          <t>Purpose</t>
        </is>
      </c>
      <c r="B4" t="inlineStr">
        <is>
          <t>Financial model for beer brewery and distribution business in Australia/New Zealand</t>
        </is>
      </c>
    </row>
    <row r="5">
      <c r="A5" s="8" t="inlineStr">
        <is>
          <t>Users</t>
        </is>
      </c>
      <c r="B5" t="inlineStr">
        <is>
          <t>Equity investors, lenders, management, board</t>
        </is>
      </c>
    </row>
    <row r="6">
      <c r="A6" s="8" t="inlineStr">
        <is>
          <t>Projection period</t>
        </is>
      </c>
      <c r="B6" t="inlineStr">
        <is>
          <t>10 years (120 months)</t>
        </is>
      </c>
    </row>
    <row r="7">
      <c r="A7" s="8" t="inlineStr">
        <is>
          <t>Currency</t>
        </is>
      </c>
      <c r="B7" t="inlineStr">
        <is>
          <t>AUD</t>
        </is>
      </c>
    </row>
    <row r="8">
      <c r="A8" s="8" t="inlineStr">
        <is>
          <t>Accounting standard</t>
        </is>
      </c>
      <c r="B8" t="inlineStr">
        <is>
          <t>IFRS</t>
        </is>
      </c>
    </row>
    <row r="10">
      <c r="A10" s="2" t="inlineStr">
        <is>
          <t>Key Assumptions (Base Scenario)</t>
        </is>
      </c>
    </row>
    <row r="11">
      <c r="A11" s="8" t="inlineStr">
        <is>
          <t>Volume growth</t>
        </is>
      </c>
      <c r="B11" t="inlineStr">
        <is>
          <t>3% p.a. compounded</t>
        </is>
      </c>
    </row>
    <row r="12">
      <c r="A12" s="8" t="inlineStr">
        <is>
          <t>Price escalation</t>
        </is>
      </c>
      <c r="B12" t="inlineStr">
        <is>
          <t>2.5% p.a.</t>
        </is>
      </c>
    </row>
    <row r="13">
      <c r="A13" s="8" t="inlineStr">
        <is>
          <t>Materials inflation</t>
        </is>
      </c>
      <c r="B13" t="inlineStr">
        <is>
          <t>2.5% p.a.</t>
        </is>
      </c>
    </row>
    <row r="14">
      <c r="A14" s="8" t="inlineStr">
        <is>
          <t>Wage inflation</t>
        </is>
      </c>
      <c r="B14" t="inlineStr">
        <is>
          <t>3% p.a.</t>
        </is>
      </c>
    </row>
    <row r="15">
      <c r="A15" s="8" t="inlineStr">
        <is>
          <t>Corporate tax rate</t>
        </is>
      </c>
      <c r="B15" t="inlineStr">
        <is>
          <t>30%</t>
        </is>
      </c>
    </row>
    <row r="16">
      <c r="A16" s="8" t="inlineStr">
        <is>
          <t>Excise duty</t>
        </is>
      </c>
      <c r="B16" t="inlineStr">
        <is>
          <t>$58.26 per litre of alcohol</t>
        </is>
      </c>
    </row>
    <row r="17">
      <c r="A17" s="8" t="inlineStr">
        <is>
          <t>Discount rate (WACC)</t>
        </is>
      </c>
      <c r="B17" t="inlineStr">
        <is>
          <t>12%</t>
        </is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50" customWidth="1" min="4" max="4"/>
    <col width="20" customWidth="1" min="5" max="5"/>
  </cols>
  <sheetData>
    <row r="1" ht="25" customHeight="1">
      <c r="A1" s="1" t="inlineStr">
        <is>
          <t>CHANGE LOG</t>
        </is>
      </c>
    </row>
    <row r="3">
      <c r="A3" s="12" t="inlineStr">
        <is>
          <t>Date</t>
        </is>
      </c>
      <c r="B3" s="12" t="inlineStr">
        <is>
          <t>Version</t>
        </is>
      </c>
      <c r="C3" s="12" t="inlineStr">
        <is>
          <t>Author</t>
        </is>
      </c>
      <c r="D3" s="12" t="inlineStr">
        <is>
          <t>Change Description</t>
        </is>
      </c>
      <c r="E3" s="12" t="inlineStr">
        <is>
          <t>Sheets Affected</t>
        </is>
      </c>
    </row>
    <row r="4">
      <c r="A4" t="inlineStr">
        <is>
          <t>16-Nov-2025</t>
        </is>
      </c>
      <c r="B4" t="inlineStr">
        <is>
          <t>1.0</t>
        </is>
      </c>
      <c r="C4" t="inlineStr">
        <is>
          <t>Model Builder</t>
        </is>
      </c>
      <c r="D4" t="inlineStr">
        <is>
          <t>Initial model build - Python-generated</t>
        </is>
      </c>
      <c r="E4" t="inlineStr">
        <is>
          <t>All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2025-11-16T22:42:04Z</dcterms:created>
  <dcterms:modified xsi:type="dcterms:W3CDTF">2025-11-16T22:42:38Z</dcterms:modified>
</cp:coreProperties>
</file>