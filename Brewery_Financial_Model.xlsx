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Control" sheetId="2" state="visible" r:id="rId2"/>
    <sheet name="Assumptions_Global" sheetId="3" state="visible" r:id="rId3"/>
    <sheet name="Product_Matrix" sheetId="4" state="visible" r:id="rId4"/>
    <sheet name="Volume_Assumptions" sheetId="5" state="visible" r:id="rId5"/>
    <sheet name="Pricing_Revenue" sheetId="6" state="visible" r:id="rId6"/>
    <sheet name="Production_Capacity" sheetId="7" state="visible" r:id="rId7"/>
    <sheet name="COGS_Buildup" sheetId="8" state="visible" r:id="rId8"/>
    <sheet name="Logistics_Distribution" sheetId="9" state="visible" r:id="rId9"/>
    <sheet name="SG&amp;A" sheetId="10" state="visible" r:id="rId10"/>
    <sheet name="Capex_Schedule" sheetId="11" state="visible" r:id="rId11"/>
    <sheet name="Working_Capital" sheetId="12" state="visible" r:id="rId12"/>
    <sheet name="Debt_Schedule" sheetId="13" state="visible" r:id="rId13"/>
    <sheet name="Equity" sheetId="14" state="visible" r:id="rId14"/>
    <sheet name="P&amp;L" sheetId="15" state="visible" r:id="rId15"/>
    <sheet name="CashFlow" sheetId="16" state="visible" r:id="rId16"/>
    <sheet name="BalanceSheet" sheetId="17" state="visible" r:id="rId17"/>
    <sheet name="KPI_Dashboard" sheetId="18" state="visible" r:id="rId18"/>
    <sheet name="Checks_Errors" sheetId="19" state="visible" r:id="rId19"/>
    <sheet name="Documentation" sheetId="20" state="visible" r:id="rId20"/>
    <sheet name="Change_Log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mmm-yyyy"/>
    <numFmt numFmtId="166" formatCode="0.000"/>
    <numFmt numFmtId="167" formatCode="0.0%"/>
    <numFmt numFmtId="168" formatCode="$#,##0.00"/>
    <numFmt numFmtId="169" formatCode="0.00000"/>
    <numFmt numFmtId="170" formatCode="$#,##0"/>
  </numFmts>
  <fonts count="10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2"/>
    </font>
    <font>
      <i val="1"/>
    </font>
    <font>
      <b val="1"/>
    </font>
    <font>
      <i val="1"/>
      <sz val="9"/>
    </font>
    <font>
      <b val="1"/>
      <sz val="11"/>
    </font>
    <font>
      <b val="1"/>
      <color rgb="00FFFFFF"/>
    </font>
    <font>
      <sz val="9"/>
    </font>
    <font>
      <color rgb="00808080"/>
      <sz val="9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B4C6E7"/>
        <bgColor rgb="00B4C6E7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4" fontId="0" fillId="3" borderId="0" pivotButton="0" quotePrefix="0" xfId="0"/>
    <xf numFmtId="0" fontId="3" fillId="0" borderId="0" pivotButton="0" quotePrefix="0" xfId="0"/>
    <xf numFmtId="0" fontId="0" fillId="3" borderId="0" pivotButton="0" quotePrefix="0" xfId="0"/>
    <xf numFmtId="165" fontId="0" fillId="4" borderId="0" pivotButton="0" quotePrefix="0" xfId="0"/>
    <xf numFmtId="0" fontId="0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166" fontId="0" fillId="0" borderId="0" pivotButton="0" quotePrefix="0" xfId="0"/>
    <xf numFmtId="0" fontId="6" fillId="0" borderId="0" pivotButton="0" quotePrefix="0" xfId="0"/>
    <xf numFmtId="0" fontId="7" fillId="2" borderId="0" pivotButton="0" quotePrefix="0" xfId="0"/>
    <xf numFmtId="167" fontId="0" fillId="3" borderId="0" pivotButton="0" quotePrefix="0" xfId="0"/>
    <xf numFmtId="167" fontId="0" fillId="4" borderId="0" pivotButton="0" quotePrefix="0" xfId="0"/>
    <xf numFmtId="168" fontId="0" fillId="3" borderId="0" pivotButton="0" quotePrefix="0" xfId="0"/>
    <xf numFmtId="168" fontId="0" fillId="4" borderId="0" pivotButton="0" quotePrefix="0" xfId="0"/>
    <xf numFmtId="167" fontId="0" fillId="0" borderId="0" pivotButton="0" quotePrefix="0" xfId="0"/>
    <xf numFmtId="169" fontId="0" fillId="0" borderId="0" pivotButton="0" quotePrefix="0" xfId="0"/>
    <xf numFmtId="164" fontId="0" fillId="3" borderId="0" pivotButton="0" quotePrefix="0" xfId="0"/>
    <xf numFmtId="165" fontId="0" fillId="4" borderId="0" pivotButton="0" quotePrefix="0" xfId="0"/>
    <xf numFmtId="166" fontId="0" fillId="0" borderId="0" pivotButton="0" quotePrefix="0" xfId="0"/>
    <xf numFmtId="167" fontId="0" fillId="3" borderId="0" pivotButton="0" quotePrefix="0" xfId="0"/>
    <xf numFmtId="167" fontId="0" fillId="4" borderId="0" pivotButton="0" quotePrefix="0" xfId="0"/>
    <xf numFmtId="168" fontId="0" fillId="3" borderId="0" pivotButton="0" quotePrefix="0" xfId="0"/>
    <xf numFmtId="168" fontId="0" fillId="4" borderId="0" pivotButton="0" quotePrefix="0" xfId="0"/>
    <xf numFmtId="167" fontId="0" fillId="0" borderId="0" pivotButton="0" quotePrefix="0" xfId="0"/>
    <xf numFmtId="169" fontId="0" fillId="0" borderId="0" pivotButton="0" quotePrefix="0" xfId="0"/>
    <xf numFmtId="0" fontId="8" fillId="0" borderId="0" pivotButton="0" quotePrefix="0" xfId="0"/>
    <xf numFmtId="17" fontId="4" fillId="0" borderId="0" pivotButton="0" quotePrefix="0" xfId="0"/>
    <xf numFmtId="2" fontId="9" fillId="0" borderId="0" pivotButton="0" quotePrefix="0" xfId="0"/>
    <xf numFmtId="2" fontId="0" fillId="3" borderId="0" pivotButton="0" quotePrefix="0" xfId="0"/>
    <xf numFmtId="2" fontId="4" fillId="0" borderId="0" pivotButton="0" quotePrefix="0" xfId="0"/>
    <xf numFmtId="3" fontId="0" fillId="3" borderId="0" pivotButton="0" quotePrefix="0" xfId="0"/>
    <xf numFmtId="3" fontId="0" fillId="0" borderId="0" pivotButton="0" quotePrefix="0" xfId="0"/>
    <xf numFmtId="0" fontId="4" fillId="5" borderId="0" pivotButton="0" quotePrefix="0" xfId="0"/>
    <xf numFmtId="3" fontId="4" fillId="5" borderId="0" pivotButton="0" quotePrefix="0" xfId="0"/>
    <xf numFmtId="170" fontId="0" fillId="3" borderId="0" pivotButton="0" quotePrefix="0" xfId="0"/>
    <xf numFmtId="9" fontId="0" fillId="3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5" customWidth="1" min="4" max="4"/>
  </cols>
  <sheetData>
    <row r="1">
      <c r="A1" s="1" t="inlineStr">
        <is>
          <t>CONTROL PANEL</t>
        </is>
      </c>
    </row>
    <row r="3">
      <c r="A3" s="2" t="inlineStr">
        <is>
          <t>Model Timeline</t>
        </is>
      </c>
    </row>
    <row r="4">
      <c r="A4" t="inlineStr">
        <is>
          <t>Model start date</t>
        </is>
      </c>
      <c r="B4" s="19" t="n">
        <v>45658</v>
      </c>
      <c r="C4" s="4" t="inlineStr">
        <is>
          <t>← INPUT</t>
        </is>
      </c>
    </row>
    <row r="5">
      <c r="A5" t="inlineStr">
        <is>
          <t>Projection period (months)</t>
        </is>
      </c>
      <c r="B5" s="5" t="n">
        <v>120</v>
      </c>
    </row>
    <row r="6">
      <c r="A6" t="inlineStr">
        <is>
          <t>Model end date</t>
        </is>
      </c>
      <c r="B6" s="20">
        <f>EDATE(B4,B5-1)</f>
        <v/>
      </c>
      <c r="C6" s="4">
        <f>DATE formula</f>
        <v/>
      </c>
    </row>
    <row r="8">
      <c r="A8" s="2" t="inlineStr">
        <is>
          <t>Scenario Selection</t>
        </is>
      </c>
    </row>
    <row r="9">
      <c r="A9" t="inlineStr">
        <is>
          <t>Active scenario</t>
        </is>
      </c>
      <c r="B9" s="5" t="inlineStr">
        <is>
          <t>Base</t>
        </is>
      </c>
      <c r="C9" s="4" t="inlineStr">
        <is>
          <t>← DROPDOWN</t>
        </is>
      </c>
    </row>
    <row r="10">
      <c r="A10" t="inlineStr">
        <is>
          <t>Scenario index</t>
        </is>
      </c>
      <c r="B10" s="7">
        <f>MATCH(B9,{"Base";"Upside";"Downside"},0)</f>
        <v/>
      </c>
      <c r="C10" s="4" t="inlineStr">
        <is>
          <t>Returns 1/2/3</t>
        </is>
      </c>
    </row>
    <row r="12">
      <c r="A12" s="2" t="inlineStr">
        <is>
          <t>Model Settings</t>
        </is>
      </c>
    </row>
    <row r="13">
      <c r="A13" t="inlineStr">
        <is>
          <t>Enable Excel iterations?</t>
        </is>
      </c>
      <c r="B13" s="8" t="inlineStr">
        <is>
          <t>YES</t>
        </is>
      </c>
      <c r="C13" s="4" t="inlineStr">
        <is>
          <t>Manual check</t>
        </is>
      </c>
      <c r="D13" s="9" t="inlineStr">
        <is>
          <t>File→Options→Formulas</t>
        </is>
      </c>
    </row>
    <row r="14">
      <c r="A14" t="inlineStr">
        <is>
          <t>Max iterations</t>
        </is>
      </c>
      <c r="B14" t="n">
        <v>100</v>
      </c>
    </row>
    <row r="15">
      <c r="A15" t="inlineStr">
        <is>
          <t>Max change</t>
        </is>
      </c>
      <c r="B15" s="21" t="n">
        <v>0.001</v>
      </c>
    </row>
  </sheetData>
  <mergeCells count="1">
    <mergeCell ref="A1:D1"/>
  </mergeCells>
  <dataValidations count="1">
    <dataValidation sqref="B9" showDropDown="0" showInputMessage="0" showErrorMessage="0" allowBlank="0" type="list">
      <formula1>"Base,Upside,Downside"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GLOBAL ASSUMPTIONS</t>
        </is>
      </c>
    </row>
    <row r="3">
      <c r="A3" s="11" t="inlineStr">
        <is>
          <t>Inflation &amp; Escalation</t>
        </is>
      </c>
    </row>
    <row r="4">
      <c r="A4" s="12" t="inlineStr">
        <is>
          <t>Assumption</t>
        </is>
      </c>
      <c r="B4" s="12" t="inlineStr">
        <is>
          <t>Base</t>
        </is>
      </c>
      <c r="C4" s="12" t="inlineStr">
        <is>
          <t>Upside</t>
        </is>
      </c>
      <c r="D4" s="12" t="inlineStr">
        <is>
          <t>Downside</t>
        </is>
      </c>
      <c r="E4" s="12" t="inlineStr">
        <is>
          <t>Active</t>
        </is>
      </c>
    </row>
    <row r="5">
      <c r="A5" t="inlineStr">
        <is>
          <t>CPI (general inflation) % p.a.</t>
        </is>
      </c>
      <c r="B5" s="22" t="n">
        <v>0.025</v>
      </c>
      <c r="C5" s="22" t="n">
        <v>0.03</v>
      </c>
      <c r="D5" s="22" t="n">
        <v>0.02</v>
      </c>
      <c r="E5" s="23">
        <f>INDEX(B5:D5,1,Control!$B$10)</f>
        <v/>
      </c>
    </row>
    <row r="6">
      <c r="A6" t="inlineStr">
        <is>
          <t>Wage inflation % p.a.</t>
        </is>
      </c>
      <c r="B6" s="22" t="n">
        <v>0.03</v>
      </c>
      <c r="C6" s="22" t="n">
        <v>0.035</v>
      </c>
      <c r="D6" s="22" t="n">
        <v>0.025</v>
      </c>
      <c r="E6" s="23">
        <f>INDEX(B6:D6,1,Control!$B$10)</f>
        <v/>
      </c>
    </row>
    <row r="7">
      <c r="A7" t="inlineStr">
        <is>
          <t>Materials cost inflation % p.a.</t>
        </is>
      </c>
      <c r="B7" s="22" t="n">
        <v>0.025</v>
      </c>
      <c r="C7" s="22" t="n">
        <v>0.035</v>
      </c>
      <c r="D7" s="22" t="n">
        <v>0.02</v>
      </c>
      <c r="E7" s="23">
        <f>INDEX(B7:D7,1,Control!$B$10)</f>
        <v/>
      </c>
    </row>
    <row r="8">
      <c r="A8" t="inlineStr">
        <is>
          <t>Packaging cost inflation % p.a.</t>
        </is>
      </c>
      <c r="B8" s="22" t="n">
        <v>0.03</v>
      </c>
      <c r="C8" s="22" t="n">
        <v>0.04</v>
      </c>
      <c r="D8" s="22" t="n">
        <v>0.025</v>
      </c>
      <c r="E8" s="23">
        <f>INDEX(B8:D8,1,Control!$B$10)</f>
        <v/>
      </c>
    </row>
    <row r="9">
      <c r="A9" t="inlineStr">
        <is>
          <t>Utilities inflation % p.a.</t>
        </is>
      </c>
      <c r="B9" s="22" t="n">
        <v>0.04</v>
      </c>
      <c r="C9" s="22" t="n">
        <v>0.05</v>
      </c>
      <c r="D9" s="22" t="n">
        <v>0.03</v>
      </c>
      <c r="E9" s="23">
        <f>INDEX(B9:D9,1,Control!$B$10)</f>
        <v/>
      </c>
    </row>
    <row r="10"/>
    <row r="11">
      <c r="A11" s="11" t="inlineStr">
        <is>
          <t>Tax &amp; Regulatory</t>
        </is>
      </c>
    </row>
    <row r="12">
      <c r="A12" t="inlineStr">
        <is>
          <t>Corporate tax rate %</t>
        </is>
      </c>
      <c r="B12" s="22" t="n">
        <v>0.3</v>
      </c>
      <c r="C12" s="22" t="n">
        <v>0.3</v>
      </c>
      <c r="D12" s="22" t="n">
        <v>0.3</v>
      </c>
      <c r="E12" s="23">
        <f>INDEX(B12:D12,1,Control!$B$10)</f>
        <v/>
      </c>
    </row>
    <row r="13">
      <c r="A13" t="inlineStr">
        <is>
          <t>Excise duty ($/LAL)</t>
        </is>
      </c>
      <c r="B13" s="24" t="n">
        <v>58.26</v>
      </c>
      <c r="C13" s="24" t="n">
        <v>58.26</v>
      </c>
      <c r="D13" s="24" t="n">
        <v>58.26</v>
      </c>
      <c r="E13" s="25">
        <f>INDEX(B13:D13,1,Control!$B$10)</f>
        <v/>
      </c>
    </row>
    <row r="14">
      <c r="A14" t="inlineStr">
        <is>
          <t>Excise shock (Year 3+)</t>
        </is>
      </c>
      <c r="B14" s="24" t="n">
        <v>0</v>
      </c>
      <c r="C14" s="24" t="n">
        <v>0</v>
      </c>
      <c r="D14" s="24" t="n">
        <v>0.1</v>
      </c>
      <c r="E14" s="25">
        <f>INDEX(B14:D14,1,Control!$B$10)</f>
        <v/>
      </c>
    </row>
    <row r="15">
      <c r="A15" t="inlineStr">
        <is>
          <t>VAT/GST rate %</t>
        </is>
      </c>
      <c r="B15" s="22" t="n">
        <v>0.1</v>
      </c>
      <c r="C15" s="22" t="n">
        <v>0.1</v>
      </c>
      <c r="D15" s="22" t="n">
        <v>0.1</v>
      </c>
      <c r="E15" s="23">
        <f>INDEX(B15:D15,1,Control!$B$10)</f>
        <v/>
      </c>
    </row>
    <row r="16"/>
    <row r="17">
      <c r="A17" s="11" t="inlineStr">
        <is>
          <t>Discount Rate (for NPV)</t>
        </is>
      </c>
    </row>
    <row r="18">
      <c r="A18" t="inlineStr">
        <is>
          <t>WACC / Discount rate %</t>
        </is>
      </c>
      <c r="B18" s="22" t="n">
        <v>0.12</v>
      </c>
      <c r="C18" s="22" t="n">
        <v>0.11</v>
      </c>
      <c r="D18" s="22" t="n">
        <v>0.13</v>
      </c>
      <c r="E18" s="23">
        <f>INDEX(B18:D18,1,Control!$B$10)</f>
        <v/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15" customWidth="1" min="4" max="4"/>
    <col width="20" customWidth="1" min="5" max="5"/>
  </cols>
  <sheetData>
    <row r="1">
      <c r="A1" s="1" t="inlineStr">
        <is>
          <t>PRODUCT MATRIX</t>
        </is>
      </c>
    </row>
    <row r="3">
      <c r="A3" s="11" t="inlineStr">
        <is>
          <t>Brand List</t>
        </is>
      </c>
    </row>
    <row r="4">
      <c r="A4" s="12" t="inlineStr">
        <is>
          <t>Brand ID</t>
        </is>
      </c>
      <c r="B4" s="12" t="inlineStr">
        <is>
          <t>Brand Name</t>
        </is>
      </c>
      <c r="C4" s="12" t="inlineStr">
        <is>
          <t>Brand Type</t>
        </is>
      </c>
      <c r="D4" s="12" t="inlineStr">
        <is>
          <t>ABV %</t>
        </is>
      </c>
      <c r="E4" s="12" t="inlineStr">
        <is>
          <t>Recipe Type</t>
        </is>
      </c>
    </row>
    <row r="5">
      <c r="A5" t="n">
        <v>1</v>
      </c>
      <c r="B5" t="inlineStr">
        <is>
          <t>SkyBrew</t>
        </is>
      </c>
      <c r="C5" t="inlineStr">
        <is>
          <t>Lager</t>
        </is>
      </c>
      <c r="D5" s="26" t="n">
        <v>0.045</v>
      </c>
      <c r="E5" t="inlineStr">
        <is>
          <t>Core</t>
        </is>
      </c>
    </row>
    <row r="6">
      <c r="A6" t="n">
        <v>2</v>
      </c>
      <c r="B6" t="inlineStr">
        <is>
          <t>AllDark</t>
        </is>
      </c>
      <c r="C6" t="inlineStr">
        <is>
          <t>Stout</t>
        </is>
      </c>
      <c r="D6" s="26" t="n">
        <v>0.058</v>
      </c>
      <c r="E6" t="inlineStr">
        <is>
          <t>Craft</t>
        </is>
      </c>
    </row>
    <row r="7">
      <c r="A7" t="n">
        <v>3</v>
      </c>
      <c r="B7" t="inlineStr">
        <is>
          <t>GoldCoast</t>
        </is>
      </c>
      <c r="C7" t="inlineStr">
        <is>
          <t>Pale Ale</t>
        </is>
      </c>
      <c r="D7" s="26" t="n">
        <v>0.052</v>
      </c>
      <c r="E7" t="inlineStr">
        <is>
          <t>Craft</t>
        </is>
      </c>
    </row>
    <row r="8">
      <c r="A8" t="n">
        <v>4</v>
      </c>
      <c r="B8" t="inlineStr">
        <is>
          <t>CityLight</t>
        </is>
      </c>
      <c r="C8" t="inlineStr">
        <is>
          <t>Light Lager</t>
        </is>
      </c>
      <c r="D8" s="26" t="n">
        <v>0.035</v>
      </c>
      <c r="E8" t="inlineStr">
        <is>
          <t>Core</t>
        </is>
      </c>
    </row>
    <row r="9">
      <c r="A9" t="n">
        <v>5</v>
      </c>
      <c r="B9" t="inlineStr">
        <is>
          <t>HarborIPA</t>
        </is>
      </c>
      <c r="C9" t="inlineStr">
        <is>
          <t>IPA</t>
        </is>
      </c>
      <c r="D9" s="26" t="n">
        <v>0.062</v>
      </c>
      <c r="E9" t="inlineStr">
        <is>
          <t>Premium</t>
        </is>
      </c>
    </row>
    <row r="11">
      <c r="A11" s="11" t="inlineStr">
        <is>
          <t>Pack Type List</t>
        </is>
      </c>
    </row>
    <row r="12">
      <c r="A12" s="12" t="inlineStr">
        <is>
          <t>Pack ID</t>
        </is>
      </c>
      <c r="B12" s="12" t="inlineStr">
        <is>
          <t>Pack Type</t>
        </is>
      </c>
      <c r="C12" s="12" t="inlineStr">
        <is>
          <t>HL per unit</t>
        </is>
      </c>
      <c r="D12" s="12" t="inlineStr">
        <is>
          <t>Packaging</t>
        </is>
      </c>
      <c r="E12" s="12" t="inlineStr">
        <is>
          <t>Returnable?</t>
        </is>
      </c>
    </row>
    <row r="13">
      <c r="A13" t="n">
        <v>1</v>
      </c>
      <c r="B13" t="inlineStr">
        <is>
          <t>Bottles</t>
        </is>
      </c>
      <c r="C13" s="27" t="n">
        <v>0.00033</v>
      </c>
      <c r="D13" t="inlineStr">
        <is>
          <t>Glass 330ml</t>
        </is>
      </c>
      <c r="E13" t="inlineStr">
        <is>
          <t>No</t>
        </is>
      </c>
    </row>
    <row r="14">
      <c r="A14" t="n">
        <v>2</v>
      </c>
      <c r="B14" t="inlineStr">
        <is>
          <t>Cans</t>
        </is>
      </c>
      <c r="C14" s="27" t="n">
        <v>0.00037</v>
      </c>
      <c r="D14" t="inlineStr">
        <is>
          <t>Aluminum 375ml</t>
        </is>
      </c>
      <c r="E14" t="inlineStr">
        <is>
          <t>No</t>
        </is>
      </c>
    </row>
    <row r="15">
      <c r="A15" t="n">
        <v>3</v>
      </c>
      <c r="B15" t="inlineStr">
        <is>
          <t>Kegs</t>
        </is>
      </c>
      <c r="C15" s="27" t="n">
        <v>0.5</v>
      </c>
      <c r="D15" t="inlineStr">
        <is>
          <t>Stainless 50L</t>
        </is>
      </c>
      <c r="E15" t="inlineStr">
        <is>
          <t>Yes</t>
        </is>
      </c>
    </row>
    <row r="17">
      <c r="A17" s="11" t="inlineStr">
        <is>
          <t>Channel List</t>
        </is>
      </c>
    </row>
    <row r="18">
      <c r="A18" s="12" t="inlineStr">
        <is>
          <t>Channel ID</t>
        </is>
      </c>
      <c r="B18" s="12" t="inlineStr">
        <is>
          <t>Channel Name</t>
        </is>
      </c>
      <c r="C18" s="12" t="inlineStr">
        <is>
          <t>Customer Type</t>
        </is>
      </c>
    </row>
    <row r="19">
      <c r="A19" t="n">
        <v>1</v>
      </c>
      <c r="B19" t="inlineStr">
        <is>
          <t>OnTrade</t>
        </is>
      </c>
      <c r="C19" t="inlineStr">
        <is>
          <t>Bars, Restaurants, Pubs</t>
        </is>
      </c>
    </row>
    <row r="20">
      <c r="A20" t="n">
        <v>2</v>
      </c>
      <c r="B20" t="inlineStr">
        <is>
          <t>OffTrade</t>
        </is>
      </c>
      <c r="C20" t="inlineStr">
        <is>
          <t>Retail, Supermarkets, Bottle shops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U5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</cols>
  <sheetData>
    <row r="1">
      <c r="A1" s="1" t="inlineStr">
        <is>
          <t>VOLUME ASSUMPTIONS</t>
        </is>
      </c>
    </row>
    <row r="3">
      <c r="A3" t="inlineStr">
        <is>
          <t>Period</t>
        </is>
      </c>
      <c r="F3" s="28" t="n">
        <v>1</v>
      </c>
      <c r="G3" s="28" t="n">
        <v>2</v>
      </c>
      <c r="H3" s="28" t="n">
        <v>3</v>
      </c>
      <c r="I3" s="28" t="n">
        <v>4</v>
      </c>
      <c r="J3" s="28" t="n">
        <v>5</v>
      </c>
      <c r="K3" s="28" t="n">
        <v>6</v>
      </c>
      <c r="L3" s="28" t="n">
        <v>7</v>
      </c>
      <c r="M3" s="28" t="n">
        <v>8</v>
      </c>
      <c r="N3" s="28" t="n">
        <v>9</v>
      </c>
      <c r="O3" s="28" t="n">
        <v>10</v>
      </c>
      <c r="P3" s="28" t="n">
        <v>11</v>
      </c>
      <c r="Q3" s="28" t="n">
        <v>12</v>
      </c>
      <c r="R3" s="28" t="n">
        <v>13</v>
      </c>
      <c r="S3" s="28" t="n">
        <v>14</v>
      </c>
      <c r="T3" s="28" t="n">
        <v>15</v>
      </c>
      <c r="U3" s="28" t="n">
        <v>16</v>
      </c>
      <c r="V3" s="28" t="n">
        <v>17</v>
      </c>
      <c r="W3" s="28" t="n">
        <v>18</v>
      </c>
      <c r="X3" s="28" t="n">
        <v>19</v>
      </c>
      <c r="Y3" s="28" t="n">
        <v>20</v>
      </c>
      <c r="Z3" s="28" t="n">
        <v>21</v>
      </c>
      <c r="AA3" s="28" t="n">
        <v>22</v>
      </c>
      <c r="AB3" s="28" t="n">
        <v>23</v>
      </c>
      <c r="AC3" s="28" t="n">
        <v>24</v>
      </c>
      <c r="AD3" s="28" t="n">
        <v>25</v>
      </c>
      <c r="AE3" s="28" t="n">
        <v>26</v>
      </c>
      <c r="AF3" s="28" t="n">
        <v>27</v>
      </c>
      <c r="AG3" s="28" t="n">
        <v>28</v>
      </c>
      <c r="AH3" s="28" t="n">
        <v>29</v>
      </c>
      <c r="AI3" s="28" t="n">
        <v>30</v>
      </c>
      <c r="AJ3" s="28" t="n">
        <v>31</v>
      </c>
      <c r="AK3" s="28" t="n">
        <v>32</v>
      </c>
      <c r="AL3" s="28" t="n">
        <v>33</v>
      </c>
      <c r="AM3" s="28" t="n">
        <v>34</v>
      </c>
      <c r="AN3" s="28" t="n">
        <v>35</v>
      </c>
      <c r="AO3" s="28" t="n">
        <v>36</v>
      </c>
      <c r="AP3" s="28" t="n">
        <v>37</v>
      </c>
      <c r="AQ3" s="28" t="n">
        <v>38</v>
      </c>
      <c r="AR3" s="28" t="n">
        <v>39</v>
      </c>
      <c r="AS3" s="28" t="n">
        <v>40</v>
      </c>
      <c r="AT3" s="28" t="n">
        <v>41</v>
      </c>
      <c r="AU3" s="28" t="n">
        <v>42</v>
      </c>
      <c r="AV3" s="28" t="n">
        <v>43</v>
      </c>
      <c r="AW3" s="28" t="n">
        <v>44</v>
      </c>
      <c r="AX3" s="28" t="n">
        <v>45</v>
      </c>
      <c r="AY3" s="28" t="n">
        <v>46</v>
      </c>
      <c r="AZ3" s="28" t="n">
        <v>47</v>
      </c>
      <c r="BA3" s="28" t="n">
        <v>48</v>
      </c>
      <c r="BB3" s="28" t="n">
        <v>49</v>
      </c>
      <c r="BC3" s="28" t="n">
        <v>50</v>
      </c>
      <c r="BD3" s="28" t="n">
        <v>51</v>
      </c>
      <c r="BE3" s="28" t="n">
        <v>52</v>
      </c>
      <c r="BF3" s="28" t="n">
        <v>53</v>
      </c>
      <c r="BG3" s="28" t="n">
        <v>54</v>
      </c>
      <c r="BH3" s="28" t="n">
        <v>55</v>
      </c>
      <c r="BI3" s="28" t="n">
        <v>56</v>
      </c>
      <c r="BJ3" s="28" t="n">
        <v>57</v>
      </c>
      <c r="BK3" s="28" t="n">
        <v>58</v>
      </c>
      <c r="BL3" s="28" t="n">
        <v>59</v>
      </c>
      <c r="BM3" s="28" t="n">
        <v>60</v>
      </c>
      <c r="BN3" s="28" t="n">
        <v>61</v>
      </c>
      <c r="BO3" s="28" t="n">
        <v>62</v>
      </c>
      <c r="BP3" s="28" t="n">
        <v>63</v>
      </c>
      <c r="BQ3" s="28" t="n">
        <v>64</v>
      </c>
      <c r="BR3" s="28" t="n">
        <v>65</v>
      </c>
      <c r="BS3" s="28" t="n">
        <v>66</v>
      </c>
      <c r="BT3" s="28" t="n">
        <v>67</v>
      </c>
      <c r="BU3" s="28" t="n">
        <v>68</v>
      </c>
      <c r="BV3" s="28" t="n">
        <v>69</v>
      </c>
      <c r="BW3" s="28" t="n">
        <v>70</v>
      </c>
      <c r="BX3" s="28" t="n">
        <v>71</v>
      </c>
      <c r="BY3" s="28" t="n">
        <v>72</v>
      </c>
      <c r="BZ3" s="28" t="n">
        <v>73</v>
      </c>
      <c r="CA3" s="28" t="n">
        <v>74</v>
      </c>
      <c r="CB3" s="28" t="n">
        <v>75</v>
      </c>
      <c r="CC3" s="28" t="n">
        <v>76</v>
      </c>
      <c r="CD3" s="28" t="n">
        <v>77</v>
      </c>
      <c r="CE3" s="28" t="n">
        <v>78</v>
      </c>
      <c r="CF3" s="28" t="n">
        <v>79</v>
      </c>
      <c r="CG3" s="28" t="n">
        <v>80</v>
      </c>
      <c r="CH3" s="28" t="n">
        <v>81</v>
      </c>
      <c r="CI3" s="28" t="n">
        <v>82</v>
      </c>
      <c r="CJ3" s="28" t="n">
        <v>83</v>
      </c>
      <c r="CK3" s="28" t="n">
        <v>84</v>
      </c>
      <c r="CL3" s="28" t="n">
        <v>85</v>
      </c>
      <c r="CM3" s="28" t="n">
        <v>86</v>
      </c>
      <c r="CN3" s="28" t="n">
        <v>87</v>
      </c>
      <c r="CO3" s="28" t="n">
        <v>88</v>
      </c>
      <c r="CP3" s="28" t="n">
        <v>89</v>
      </c>
      <c r="CQ3" s="28" t="n">
        <v>90</v>
      </c>
      <c r="CR3" s="28" t="n">
        <v>91</v>
      </c>
      <c r="CS3" s="28" t="n">
        <v>92</v>
      </c>
      <c r="CT3" s="28" t="n">
        <v>93</v>
      </c>
      <c r="CU3" s="28" t="n">
        <v>94</v>
      </c>
      <c r="CV3" s="28" t="n">
        <v>95</v>
      </c>
      <c r="CW3" s="28" t="n">
        <v>96</v>
      </c>
      <c r="CX3" s="28" t="n">
        <v>97</v>
      </c>
      <c r="CY3" s="28" t="n">
        <v>98</v>
      </c>
      <c r="CZ3" s="28" t="n">
        <v>99</v>
      </c>
      <c r="DA3" s="28" t="n">
        <v>100</v>
      </c>
      <c r="DB3" s="28" t="n">
        <v>101</v>
      </c>
      <c r="DC3" s="28" t="n">
        <v>102</v>
      </c>
      <c r="DD3" s="28" t="n">
        <v>103</v>
      </c>
      <c r="DE3" s="28" t="n">
        <v>104</v>
      </c>
      <c r="DF3" s="28" t="n">
        <v>105</v>
      </c>
      <c r="DG3" s="28" t="n">
        <v>106</v>
      </c>
      <c r="DH3" s="28" t="n">
        <v>107</v>
      </c>
      <c r="DI3" s="28" t="n">
        <v>108</v>
      </c>
      <c r="DJ3" s="28" t="n">
        <v>109</v>
      </c>
      <c r="DK3" s="28" t="n">
        <v>110</v>
      </c>
      <c r="DL3" s="28" t="n">
        <v>111</v>
      </c>
      <c r="DM3" s="28" t="n">
        <v>112</v>
      </c>
      <c r="DN3" s="28" t="n">
        <v>113</v>
      </c>
      <c r="DO3" s="28" t="n">
        <v>114</v>
      </c>
      <c r="DP3" s="28" t="n">
        <v>115</v>
      </c>
      <c r="DQ3" s="28" t="n">
        <v>116</v>
      </c>
      <c r="DR3" s="28" t="n">
        <v>117</v>
      </c>
      <c r="DS3" s="28" t="n">
        <v>118</v>
      </c>
      <c r="DT3" s="28" t="n">
        <v>119</v>
      </c>
      <c r="DU3" s="28" t="n">
        <v>120</v>
      </c>
    </row>
    <row r="4">
      <c r="A4" t="inlineStr">
        <is>
          <t>Date</t>
        </is>
      </c>
      <c r="F4" s="29">
        <f>EDATE(Control!$B$4,0)</f>
        <v/>
      </c>
      <c r="G4" s="29">
        <f>EDATE(Control!$B$4,1)</f>
        <v/>
      </c>
      <c r="H4" s="29">
        <f>EDATE(Control!$B$4,2)</f>
        <v/>
      </c>
      <c r="I4" s="29">
        <f>EDATE(Control!$B$4,3)</f>
        <v/>
      </c>
      <c r="J4" s="29">
        <f>EDATE(Control!$B$4,4)</f>
        <v/>
      </c>
      <c r="K4" s="29">
        <f>EDATE(Control!$B$4,5)</f>
        <v/>
      </c>
      <c r="L4" s="29">
        <f>EDATE(Control!$B$4,6)</f>
        <v/>
      </c>
      <c r="M4" s="29">
        <f>EDATE(Control!$B$4,7)</f>
        <v/>
      </c>
      <c r="N4" s="29">
        <f>EDATE(Control!$B$4,8)</f>
        <v/>
      </c>
      <c r="O4" s="29">
        <f>EDATE(Control!$B$4,9)</f>
        <v/>
      </c>
      <c r="P4" s="29">
        <f>EDATE(Control!$B$4,10)</f>
        <v/>
      </c>
      <c r="Q4" s="29">
        <f>EDATE(Control!$B$4,11)</f>
        <v/>
      </c>
      <c r="R4" s="29">
        <f>EDATE(Control!$B$4,12)</f>
        <v/>
      </c>
      <c r="S4" s="29">
        <f>EDATE(Control!$B$4,13)</f>
        <v/>
      </c>
      <c r="T4" s="29">
        <f>EDATE(Control!$B$4,14)</f>
        <v/>
      </c>
      <c r="U4" s="29">
        <f>EDATE(Control!$B$4,15)</f>
        <v/>
      </c>
      <c r="V4" s="29">
        <f>EDATE(Control!$B$4,16)</f>
        <v/>
      </c>
      <c r="W4" s="29">
        <f>EDATE(Control!$B$4,17)</f>
        <v/>
      </c>
      <c r="X4" s="29">
        <f>EDATE(Control!$B$4,18)</f>
        <v/>
      </c>
      <c r="Y4" s="29">
        <f>EDATE(Control!$B$4,19)</f>
        <v/>
      </c>
      <c r="Z4" s="29">
        <f>EDATE(Control!$B$4,20)</f>
        <v/>
      </c>
      <c r="AA4" s="29">
        <f>EDATE(Control!$B$4,21)</f>
        <v/>
      </c>
      <c r="AB4" s="29">
        <f>EDATE(Control!$B$4,22)</f>
        <v/>
      </c>
      <c r="AC4" s="29">
        <f>EDATE(Control!$B$4,23)</f>
        <v/>
      </c>
      <c r="AD4" s="29">
        <f>EDATE(Control!$B$4,24)</f>
        <v/>
      </c>
      <c r="AE4" s="29">
        <f>EDATE(Control!$B$4,25)</f>
        <v/>
      </c>
      <c r="AF4" s="29">
        <f>EDATE(Control!$B$4,26)</f>
        <v/>
      </c>
      <c r="AG4" s="29">
        <f>EDATE(Control!$B$4,27)</f>
        <v/>
      </c>
      <c r="AH4" s="29">
        <f>EDATE(Control!$B$4,28)</f>
        <v/>
      </c>
      <c r="AI4" s="29">
        <f>EDATE(Control!$B$4,29)</f>
        <v/>
      </c>
      <c r="AJ4" s="29">
        <f>EDATE(Control!$B$4,30)</f>
        <v/>
      </c>
      <c r="AK4" s="29">
        <f>EDATE(Control!$B$4,31)</f>
        <v/>
      </c>
      <c r="AL4" s="29">
        <f>EDATE(Control!$B$4,32)</f>
        <v/>
      </c>
      <c r="AM4" s="29">
        <f>EDATE(Control!$B$4,33)</f>
        <v/>
      </c>
      <c r="AN4" s="29">
        <f>EDATE(Control!$B$4,34)</f>
        <v/>
      </c>
      <c r="AO4" s="29">
        <f>EDATE(Control!$B$4,35)</f>
        <v/>
      </c>
      <c r="AP4" s="29">
        <f>EDATE(Control!$B$4,36)</f>
        <v/>
      </c>
      <c r="AQ4" s="29">
        <f>EDATE(Control!$B$4,37)</f>
        <v/>
      </c>
      <c r="AR4" s="29">
        <f>EDATE(Control!$B$4,38)</f>
        <v/>
      </c>
      <c r="AS4" s="29">
        <f>EDATE(Control!$B$4,39)</f>
        <v/>
      </c>
      <c r="AT4" s="29">
        <f>EDATE(Control!$B$4,40)</f>
        <v/>
      </c>
      <c r="AU4" s="29">
        <f>EDATE(Control!$B$4,41)</f>
        <v/>
      </c>
      <c r="AV4" s="29">
        <f>EDATE(Control!$B$4,42)</f>
        <v/>
      </c>
      <c r="AW4" s="29">
        <f>EDATE(Control!$B$4,43)</f>
        <v/>
      </c>
      <c r="AX4" s="29">
        <f>EDATE(Control!$B$4,44)</f>
        <v/>
      </c>
      <c r="AY4" s="29">
        <f>EDATE(Control!$B$4,45)</f>
        <v/>
      </c>
      <c r="AZ4" s="29">
        <f>EDATE(Control!$B$4,46)</f>
        <v/>
      </c>
      <c r="BA4" s="29">
        <f>EDATE(Control!$B$4,47)</f>
        <v/>
      </c>
      <c r="BB4" s="29">
        <f>EDATE(Control!$B$4,48)</f>
        <v/>
      </c>
      <c r="BC4" s="29">
        <f>EDATE(Control!$B$4,49)</f>
        <v/>
      </c>
      <c r="BD4" s="29">
        <f>EDATE(Control!$B$4,50)</f>
        <v/>
      </c>
      <c r="BE4" s="29">
        <f>EDATE(Control!$B$4,51)</f>
        <v/>
      </c>
      <c r="BF4" s="29">
        <f>EDATE(Control!$B$4,52)</f>
        <v/>
      </c>
      <c r="BG4" s="29">
        <f>EDATE(Control!$B$4,53)</f>
        <v/>
      </c>
      <c r="BH4" s="29">
        <f>EDATE(Control!$B$4,54)</f>
        <v/>
      </c>
      <c r="BI4" s="29">
        <f>EDATE(Control!$B$4,55)</f>
        <v/>
      </c>
      <c r="BJ4" s="29">
        <f>EDATE(Control!$B$4,56)</f>
        <v/>
      </c>
      <c r="BK4" s="29">
        <f>EDATE(Control!$B$4,57)</f>
        <v/>
      </c>
      <c r="BL4" s="29">
        <f>EDATE(Control!$B$4,58)</f>
        <v/>
      </c>
      <c r="BM4" s="29">
        <f>EDATE(Control!$B$4,59)</f>
        <v/>
      </c>
      <c r="BN4" s="29">
        <f>EDATE(Control!$B$4,60)</f>
        <v/>
      </c>
      <c r="BO4" s="29">
        <f>EDATE(Control!$B$4,61)</f>
        <v/>
      </c>
      <c r="BP4" s="29">
        <f>EDATE(Control!$B$4,62)</f>
        <v/>
      </c>
      <c r="BQ4" s="29">
        <f>EDATE(Control!$B$4,63)</f>
        <v/>
      </c>
      <c r="BR4" s="29">
        <f>EDATE(Control!$B$4,64)</f>
        <v/>
      </c>
      <c r="BS4" s="29">
        <f>EDATE(Control!$B$4,65)</f>
        <v/>
      </c>
      <c r="BT4" s="29">
        <f>EDATE(Control!$B$4,66)</f>
        <v/>
      </c>
      <c r="BU4" s="29">
        <f>EDATE(Control!$B$4,67)</f>
        <v/>
      </c>
      <c r="BV4" s="29">
        <f>EDATE(Control!$B$4,68)</f>
        <v/>
      </c>
      <c r="BW4" s="29">
        <f>EDATE(Control!$B$4,69)</f>
        <v/>
      </c>
      <c r="BX4" s="29">
        <f>EDATE(Control!$B$4,70)</f>
        <v/>
      </c>
      <c r="BY4" s="29">
        <f>EDATE(Control!$B$4,71)</f>
        <v/>
      </c>
      <c r="BZ4" s="29">
        <f>EDATE(Control!$B$4,72)</f>
        <v/>
      </c>
      <c r="CA4" s="29">
        <f>EDATE(Control!$B$4,73)</f>
        <v/>
      </c>
      <c r="CB4" s="29">
        <f>EDATE(Control!$B$4,74)</f>
        <v/>
      </c>
      <c r="CC4" s="29">
        <f>EDATE(Control!$B$4,75)</f>
        <v/>
      </c>
      <c r="CD4" s="29">
        <f>EDATE(Control!$B$4,76)</f>
        <v/>
      </c>
      <c r="CE4" s="29">
        <f>EDATE(Control!$B$4,77)</f>
        <v/>
      </c>
      <c r="CF4" s="29">
        <f>EDATE(Control!$B$4,78)</f>
        <v/>
      </c>
      <c r="CG4" s="29">
        <f>EDATE(Control!$B$4,79)</f>
        <v/>
      </c>
      <c r="CH4" s="29">
        <f>EDATE(Control!$B$4,80)</f>
        <v/>
      </c>
      <c r="CI4" s="29">
        <f>EDATE(Control!$B$4,81)</f>
        <v/>
      </c>
      <c r="CJ4" s="29">
        <f>EDATE(Control!$B$4,82)</f>
        <v/>
      </c>
      <c r="CK4" s="29">
        <f>EDATE(Control!$B$4,83)</f>
        <v/>
      </c>
      <c r="CL4" s="29">
        <f>EDATE(Control!$B$4,84)</f>
        <v/>
      </c>
      <c r="CM4" s="29">
        <f>EDATE(Control!$B$4,85)</f>
        <v/>
      </c>
      <c r="CN4" s="29">
        <f>EDATE(Control!$B$4,86)</f>
        <v/>
      </c>
      <c r="CO4" s="29">
        <f>EDATE(Control!$B$4,87)</f>
        <v/>
      </c>
      <c r="CP4" s="29">
        <f>EDATE(Control!$B$4,88)</f>
        <v/>
      </c>
      <c r="CQ4" s="29">
        <f>EDATE(Control!$B$4,89)</f>
        <v/>
      </c>
      <c r="CR4" s="29">
        <f>EDATE(Control!$B$4,90)</f>
        <v/>
      </c>
      <c r="CS4" s="29">
        <f>EDATE(Control!$B$4,91)</f>
        <v/>
      </c>
      <c r="CT4" s="29">
        <f>EDATE(Control!$B$4,92)</f>
        <v/>
      </c>
      <c r="CU4" s="29">
        <f>EDATE(Control!$B$4,93)</f>
        <v/>
      </c>
      <c r="CV4" s="29">
        <f>EDATE(Control!$B$4,94)</f>
        <v/>
      </c>
      <c r="CW4" s="29">
        <f>EDATE(Control!$B$4,95)</f>
        <v/>
      </c>
      <c r="CX4" s="29">
        <f>EDATE(Control!$B$4,96)</f>
        <v/>
      </c>
      <c r="CY4" s="29">
        <f>EDATE(Control!$B$4,97)</f>
        <v/>
      </c>
      <c r="CZ4" s="29">
        <f>EDATE(Control!$B$4,98)</f>
        <v/>
      </c>
      <c r="DA4" s="29">
        <f>EDATE(Control!$B$4,99)</f>
        <v/>
      </c>
      <c r="DB4" s="29">
        <f>EDATE(Control!$B$4,100)</f>
        <v/>
      </c>
      <c r="DC4" s="29">
        <f>EDATE(Control!$B$4,101)</f>
        <v/>
      </c>
      <c r="DD4" s="29">
        <f>EDATE(Control!$B$4,102)</f>
        <v/>
      </c>
      <c r="DE4" s="29">
        <f>EDATE(Control!$B$4,103)</f>
        <v/>
      </c>
      <c r="DF4" s="29">
        <f>EDATE(Control!$B$4,104)</f>
        <v/>
      </c>
      <c r="DG4" s="29">
        <f>EDATE(Control!$B$4,105)</f>
        <v/>
      </c>
      <c r="DH4" s="29">
        <f>EDATE(Control!$B$4,106)</f>
        <v/>
      </c>
      <c r="DI4" s="29">
        <f>EDATE(Control!$B$4,107)</f>
        <v/>
      </c>
      <c r="DJ4" s="29">
        <f>EDATE(Control!$B$4,108)</f>
        <v/>
      </c>
      <c r="DK4" s="29">
        <f>EDATE(Control!$B$4,109)</f>
        <v/>
      </c>
      <c r="DL4" s="29">
        <f>EDATE(Control!$B$4,110)</f>
        <v/>
      </c>
      <c r="DM4" s="29">
        <f>EDATE(Control!$B$4,111)</f>
        <v/>
      </c>
      <c r="DN4" s="29">
        <f>EDATE(Control!$B$4,112)</f>
        <v/>
      </c>
      <c r="DO4" s="29">
        <f>EDATE(Control!$B$4,113)</f>
        <v/>
      </c>
      <c r="DP4" s="29">
        <f>EDATE(Control!$B$4,114)</f>
        <v/>
      </c>
      <c r="DQ4" s="29">
        <f>EDATE(Control!$B$4,115)</f>
        <v/>
      </c>
      <c r="DR4" s="29">
        <f>EDATE(Control!$B$4,116)</f>
        <v/>
      </c>
      <c r="DS4" s="29">
        <f>EDATE(Control!$B$4,117)</f>
        <v/>
      </c>
      <c r="DT4" s="29">
        <f>EDATE(Control!$B$4,118)</f>
        <v/>
      </c>
      <c r="DU4" s="29">
        <f>EDATE(Control!$B$4,119)</f>
        <v/>
      </c>
    </row>
    <row r="5">
      <c r="A5" t="inlineStr">
        <is>
          <t>Year</t>
        </is>
      </c>
      <c r="F5" s="30">
        <f>(1-1)/12</f>
        <v/>
      </c>
      <c r="G5" s="30">
        <f>(2-1)/12</f>
        <v/>
      </c>
      <c r="H5" s="30">
        <f>(3-1)/12</f>
        <v/>
      </c>
      <c r="I5" s="30">
        <f>(4-1)/12</f>
        <v/>
      </c>
      <c r="J5" s="30">
        <f>(5-1)/12</f>
        <v/>
      </c>
      <c r="K5" s="30">
        <f>(6-1)/12</f>
        <v/>
      </c>
      <c r="L5" s="30">
        <f>(7-1)/12</f>
        <v/>
      </c>
      <c r="M5" s="30">
        <f>(8-1)/12</f>
        <v/>
      </c>
      <c r="N5" s="30">
        <f>(9-1)/12</f>
        <v/>
      </c>
      <c r="O5" s="30">
        <f>(10-1)/12</f>
        <v/>
      </c>
      <c r="P5" s="30">
        <f>(11-1)/12</f>
        <v/>
      </c>
      <c r="Q5" s="30">
        <f>(12-1)/12</f>
        <v/>
      </c>
      <c r="R5" s="30">
        <f>(13-1)/12</f>
        <v/>
      </c>
      <c r="S5" s="30">
        <f>(14-1)/12</f>
        <v/>
      </c>
      <c r="T5" s="30">
        <f>(15-1)/12</f>
        <v/>
      </c>
      <c r="U5" s="30">
        <f>(16-1)/12</f>
        <v/>
      </c>
      <c r="V5" s="30">
        <f>(17-1)/12</f>
        <v/>
      </c>
      <c r="W5" s="30">
        <f>(18-1)/12</f>
        <v/>
      </c>
      <c r="X5" s="30">
        <f>(19-1)/12</f>
        <v/>
      </c>
      <c r="Y5" s="30">
        <f>(20-1)/12</f>
        <v/>
      </c>
      <c r="Z5" s="30">
        <f>(21-1)/12</f>
        <v/>
      </c>
      <c r="AA5" s="30">
        <f>(22-1)/12</f>
        <v/>
      </c>
      <c r="AB5" s="30">
        <f>(23-1)/12</f>
        <v/>
      </c>
      <c r="AC5" s="30">
        <f>(24-1)/12</f>
        <v/>
      </c>
      <c r="AD5" s="30">
        <f>(25-1)/12</f>
        <v/>
      </c>
      <c r="AE5" s="30">
        <f>(26-1)/12</f>
        <v/>
      </c>
      <c r="AF5" s="30">
        <f>(27-1)/12</f>
        <v/>
      </c>
      <c r="AG5" s="30">
        <f>(28-1)/12</f>
        <v/>
      </c>
      <c r="AH5" s="30">
        <f>(29-1)/12</f>
        <v/>
      </c>
      <c r="AI5" s="30">
        <f>(30-1)/12</f>
        <v/>
      </c>
      <c r="AJ5" s="30">
        <f>(31-1)/12</f>
        <v/>
      </c>
      <c r="AK5" s="30">
        <f>(32-1)/12</f>
        <v/>
      </c>
      <c r="AL5" s="30">
        <f>(33-1)/12</f>
        <v/>
      </c>
      <c r="AM5" s="30">
        <f>(34-1)/12</f>
        <v/>
      </c>
      <c r="AN5" s="30">
        <f>(35-1)/12</f>
        <v/>
      </c>
      <c r="AO5" s="30">
        <f>(36-1)/12</f>
        <v/>
      </c>
      <c r="AP5" s="30">
        <f>(37-1)/12</f>
        <v/>
      </c>
      <c r="AQ5" s="30">
        <f>(38-1)/12</f>
        <v/>
      </c>
      <c r="AR5" s="30">
        <f>(39-1)/12</f>
        <v/>
      </c>
      <c r="AS5" s="30">
        <f>(40-1)/12</f>
        <v/>
      </c>
      <c r="AT5" s="30">
        <f>(41-1)/12</f>
        <v/>
      </c>
      <c r="AU5" s="30">
        <f>(42-1)/12</f>
        <v/>
      </c>
      <c r="AV5" s="30">
        <f>(43-1)/12</f>
        <v/>
      </c>
      <c r="AW5" s="30">
        <f>(44-1)/12</f>
        <v/>
      </c>
      <c r="AX5" s="30">
        <f>(45-1)/12</f>
        <v/>
      </c>
      <c r="AY5" s="30">
        <f>(46-1)/12</f>
        <v/>
      </c>
      <c r="AZ5" s="30">
        <f>(47-1)/12</f>
        <v/>
      </c>
      <c r="BA5" s="30">
        <f>(48-1)/12</f>
        <v/>
      </c>
      <c r="BB5" s="30">
        <f>(49-1)/12</f>
        <v/>
      </c>
      <c r="BC5" s="30">
        <f>(50-1)/12</f>
        <v/>
      </c>
      <c r="BD5" s="30">
        <f>(51-1)/12</f>
        <v/>
      </c>
      <c r="BE5" s="30">
        <f>(52-1)/12</f>
        <v/>
      </c>
      <c r="BF5" s="30">
        <f>(53-1)/12</f>
        <v/>
      </c>
      <c r="BG5" s="30">
        <f>(54-1)/12</f>
        <v/>
      </c>
      <c r="BH5" s="30">
        <f>(55-1)/12</f>
        <v/>
      </c>
      <c r="BI5" s="30">
        <f>(56-1)/12</f>
        <v/>
      </c>
      <c r="BJ5" s="30">
        <f>(57-1)/12</f>
        <v/>
      </c>
      <c r="BK5" s="30">
        <f>(58-1)/12</f>
        <v/>
      </c>
      <c r="BL5" s="30">
        <f>(59-1)/12</f>
        <v/>
      </c>
      <c r="BM5" s="30">
        <f>(60-1)/12</f>
        <v/>
      </c>
      <c r="BN5" s="30">
        <f>(61-1)/12</f>
        <v/>
      </c>
      <c r="BO5" s="30">
        <f>(62-1)/12</f>
        <v/>
      </c>
      <c r="BP5" s="30">
        <f>(63-1)/12</f>
        <v/>
      </c>
      <c r="BQ5" s="30">
        <f>(64-1)/12</f>
        <v/>
      </c>
      <c r="BR5" s="30">
        <f>(65-1)/12</f>
        <v/>
      </c>
      <c r="BS5" s="30">
        <f>(66-1)/12</f>
        <v/>
      </c>
      <c r="BT5" s="30">
        <f>(67-1)/12</f>
        <v/>
      </c>
      <c r="BU5" s="30">
        <f>(68-1)/12</f>
        <v/>
      </c>
      <c r="BV5" s="30">
        <f>(69-1)/12</f>
        <v/>
      </c>
      <c r="BW5" s="30">
        <f>(70-1)/12</f>
        <v/>
      </c>
      <c r="BX5" s="30">
        <f>(71-1)/12</f>
        <v/>
      </c>
      <c r="BY5" s="30">
        <f>(72-1)/12</f>
        <v/>
      </c>
      <c r="BZ5" s="30">
        <f>(73-1)/12</f>
        <v/>
      </c>
      <c r="CA5" s="30">
        <f>(74-1)/12</f>
        <v/>
      </c>
      <c r="CB5" s="30">
        <f>(75-1)/12</f>
        <v/>
      </c>
      <c r="CC5" s="30">
        <f>(76-1)/12</f>
        <v/>
      </c>
      <c r="CD5" s="30">
        <f>(77-1)/12</f>
        <v/>
      </c>
      <c r="CE5" s="30">
        <f>(78-1)/12</f>
        <v/>
      </c>
      <c r="CF5" s="30">
        <f>(79-1)/12</f>
        <v/>
      </c>
      <c r="CG5" s="30">
        <f>(80-1)/12</f>
        <v/>
      </c>
      <c r="CH5" s="30">
        <f>(81-1)/12</f>
        <v/>
      </c>
      <c r="CI5" s="30">
        <f>(82-1)/12</f>
        <v/>
      </c>
      <c r="CJ5" s="30">
        <f>(83-1)/12</f>
        <v/>
      </c>
      <c r="CK5" s="30">
        <f>(84-1)/12</f>
        <v/>
      </c>
      <c r="CL5" s="30">
        <f>(85-1)/12</f>
        <v/>
      </c>
      <c r="CM5" s="30">
        <f>(86-1)/12</f>
        <v/>
      </c>
      <c r="CN5" s="30">
        <f>(87-1)/12</f>
        <v/>
      </c>
      <c r="CO5" s="30">
        <f>(88-1)/12</f>
        <v/>
      </c>
      <c r="CP5" s="30">
        <f>(89-1)/12</f>
        <v/>
      </c>
      <c r="CQ5" s="30">
        <f>(90-1)/12</f>
        <v/>
      </c>
      <c r="CR5" s="30">
        <f>(91-1)/12</f>
        <v/>
      </c>
      <c r="CS5" s="30">
        <f>(92-1)/12</f>
        <v/>
      </c>
      <c r="CT5" s="30">
        <f>(93-1)/12</f>
        <v/>
      </c>
      <c r="CU5" s="30">
        <f>(94-1)/12</f>
        <v/>
      </c>
      <c r="CV5" s="30">
        <f>(95-1)/12</f>
        <v/>
      </c>
      <c r="CW5" s="30">
        <f>(96-1)/12</f>
        <v/>
      </c>
      <c r="CX5" s="30">
        <f>(97-1)/12</f>
        <v/>
      </c>
      <c r="CY5" s="30">
        <f>(98-1)/12</f>
        <v/>
      </c>
      <c r="CZ5" s="30">
        <f>(99-1)/12</f>
        <v/>
      </c>
      <c r="DA5" s="30">
        <f>(100-1)/12</f>
        <v/>
      </c>
      <c r="DB5" s="30">
        <f>(101-1)/12</f>
        <v/>
      </c>
      <c r="DC5" s="30">
        <f>(102-1)/12</f>
        <v/>
      </c>
      <c r="DD5" s="30">
        <f>(103-1)/12</f>
        <v/>
      </c>
      <c r="DE5" s="30">
        <f>(104-1)/12</f>
        <v/>
      </c>
      <c r="DF5" s="30">
        <f>(105-1)/12</f>
        <v/>
      </c>
      <c r="DG5" s="30">
        <f>(106-1)/12</f>
        <v/>
      </c>
      <c r="DH5" s="30">
        <f>(107-1)/12</f>
        <v/>
      </c>
      <c r="DI5" s="30">
        <f>(108-1)/12</f>
        <v/>
      </c>
      <c r="DJ5" s="30">
        <f>(109-1)/12</f>
        <v/>
      </c>
      <c r="DK5" s="30">
        <f>(110-1)/12</f>
        <v/>
      </c>
      <c r="DL5" s="30">
        <f>(111-1)/12</f>
        <v/>
      </c>
      <c r="DM5" s="30">
        <f>(112-1)/12</f>
        <v/>
      </c>
      <c r="DN5" s="30">
        <f>(113-1)/12</f>
        <v/>
      </c>
      <c r="DO5" s="30">
        <f>(114-1)/12</f>
        <v/>
      </c>
      <c r="DP5" s="30">
        <f>(115-1)/12</f>
        <v/>
      </c>
      <c r="DQ5" s="30">
        <f>(116-1)/12</f>
        <v/>
      </c>
      <c r="DR5" s="30">
        <f>(117-1)/12</f>
        <v/>
      </c>
      <c r="DS5" s="30">
        <f>(118-1)/12</f>
        <v/>
      </c>
      <c r="DT5" s="30">
        <f>(119-1)/12</f>
        <v/>
      </c>
      <c r="DU5" s="30">
        <f>(120-1)/12</f>
        <v/>
      </c>
    </row>
    <row r="6">
      <c r="A6" t="inlineStr">
        <is>
          <t>FY</t>
        </is>
      </c>
      <c r="F6" s="8">
        <f>YEAR(F4)</f>
        <v/>
      </c>
      <c r="G6" s="8">
        <f>YEAR(G4)</f>
        <v/>
      </c>
      <c r="H6" s="8">
        <f>YEAR(H4)</f>
        <v/>
      </c>
      <c r="I6" s="8">
        <f>YEAR(I4)</f>
        <v/>
      </c>
      <c r="J6" s="8">
        <f>YEAR(J4)</f>
        <v/>
      </c>
      <c r="K6" s="8">
        <f>YEAR(K4)</f>
        <v/>
      </c>
      <c r="L6" s="8">
        <f>YEAR(L4)</f>
        <v/>
      </c>
      <c r="M6" s="8">
        <f>YEAR(M4)</f>
        <v/>
      </c>
      <c r="N6" s="8">
        <f>YEAR(N4)</f>
        <v/>
      </c>
      <c r="O6" s="8">
        <f>YEAR(O4)</f>
        <v/>
      </c>
      <c r="P6" s="8">
        <f>YEAR(P4)</f>
        <v/>
      </c>
      <c r="Q6" s="8">
        <f>YEAR(Q4)</f>
        <v/>
      </c>
      <c r="R6" s="8">
        <f>YEAR(R4)</f>
        <v/>
      </c>
      <c r="S6" s="8">
        <f>YEAR(S4)</f>
        <v/>
      </c>
      <c r="T6" s="8">
        <f>YEAR(T4)</f>
        <v/>
      </c>
      <c r="U6" s="8">
        <f>YEAR(U4)</f>
        <v/>
      </c>
      <c r="V6" s="8">
        <f>YEAR(V4)</f>
        <v/>
      </c>
      <c r="W6" s="8">
        <f>YEAR(W4)</f>
        <v/>
      </c>
      <c r="X6" s="8">
        <f>YEAR(X4)</f>
        <v/>
      </c>
      <c r="Y6" s="8">
        <f>YEAR(Y4)</f>
        <v/>
      </c>
      <c r="Z6" s="8">
        <f>YEAR(Z4)</f>
        <v/>
      </c>
      <c r="AA6" s="8">
        <f>YEAR(AA4)</f>
        <v/>
      </c>
      <c r="AB6" s="8">
        <f>YEAR(AB4)</f>
        <v/>
      </c>
      <c r="AC6" s="8">
        <f>YEAR(AC4)</f>
        <v/>
      </c>
      <c r="AD6" s="8">
        <f>YEAR(AD4)</f>
        <v/>
      </c>
      <c r="AE6" s="8">
        <f>YEAR(AE4)</f>
        <v/>
      </c>
      <c r="AF6" s="8">
        <f>YEAR(AF4)</f>
        <v/>
      </c>
      <c r="AG6" s="8">
        <f>YEAR(AG4)</f>
        <v/>
      </c>
      <c r="AH6" s="8">
        <f>YEAR(AH4)</f>
        <v/>
      </c>
      <c r="AI6" s="8">
        <f>YEAR(AI4)</f>
        <v/>
      </c>
      <c r="AJ6" s="8">
        <f>YEAR(AJ4)</f>
        <v/>
      </c>
      <c r="AK6" s="8">
        <f>YEAR(AK4)</f>
        <v/>
      </c>
      <c r="AL6" s="8">
        <f>YEAR(AL4)</f>
        <v/>
      </c>
      <c r="AM6" s="8">
        <f>YEAR(AM4)</f>
        <v/>
      </c>
      <c r="AN6" s="8">
        <f>YEAR(AN4)</f>
        <v/>
      </c>
      <c r="AO6" s="8">
        <f>YEAR(AO4)</f>
        <v/>
      </c>
      <c r="AP6" s="8">
        <f>YEAR(AP4)</f>
        <v/>
      </c>
      <c r="AQ6" s="8">
        <f>YEAR(AQ4)</f>
        <v/>
      </c>
      <c r="AR6" s="8">
        <f>YEAR(AR4)</f>
        <v/>
      </c>
      <c r="AS6" s="8">
        <f>YEAR(AS4)</f>
        <v/>
      </c>
      <c r="AT6" s="8">
        <f>YEAR(AT4)</f>
        <v/>
      </c>
      <c r="AU6" s="8">
        <f>YEAR(AU4)</f>
        <v/>
      </c>
      <c r="AV6" s="8">
        <f>YEAR(AV4)</f>
        <v/>
      </c>
      <c r="AW6" s="8">
        <f>YEAR(AW4)</f>
        <v/>
      </c>
      <c r="AX6" s="8">
        <f>YEAR(AX4)</f>
        <v/>
      </c>
      <c r="AY6" s="8">
        <f>YEAR(AY4)</f>
        <v/>
      </c>
      <c r="AZ6" s="8">
        <f>YEAR(AZ4)</f>
        <v/>
      </c>
      <c r="BA6" s="8">
        <f>YEAR(BA4)</f>
        <v/>
      </c>
      <c r="BB6" s="8">
        <f>YEAR(BB4)</f>
        <v/>
      </c>
      <c r="BC6" s="8">
        <f>YEAR(BC4)</f>
        <v/>
      </c>
      <c r="BD6" s="8">
        <f>YEAR(BD4)</f>
        <v/>
      </c>
      <c r="BE6" s="8">
        <f>YEAR(BE4)</f>
        <v/>
      </c>
      <c r="BF6" s="8">
        <f>YEAR(BF4)</f>
        <v/>
      </c>
      <c r="BG6" s="8">
        <f>YEAR(BG4)</f>
        <v/>
      </c>
      <c r="BH6" s="8">
        <f>YEAR(BH4)</f>
        <v/>
      </c>
      <c r="BI6" s="8">
        <f>YEAR(BI4)</f>
        <v/>
      </c>
      <c r="BJ6" s="8">
        <f>YEAR(BJ4)</f>
        <v/>
      </c>
      <c r="BK6" s="8">
        <f>YEAR(BK4)</f>
        <v/>
      </c>
      <c r="BL6" s="8">
        <f>YEAR(BL4)</f>
        <v/>
      </c>
      <c r="BM6" s="8">
        <f>YEAR(BM4)</f>
        <v/>
      </c>
      <c r="BN6" s="8">
        <f>YEAR(BN4)</f>
        <v/>
      </c>
      <c r="BO6" s="8">
        <f>YEAR(BO4)</f>
        <v/>
      </c>
      <c r="BP6" s="8">
        <f>YEAR(BP4)</f>
        <v/>
      </c>
      <c r="BQ6" s="8">
        <f>YEAR(BQ4)</f>
        <v/>
      </c>
      <c r="BR6" s="8">
        <f>YEAR(BR4)</f>
        <v/>
      </c>
      <c r="BS6" s="8">
        <f>YEAR(BS4)</f>
        <v/>
      </c>
      <c r="BT6" s="8">
        <f>YEAR(BT4)</f>
        <v/>
      </c>
      <c r="BU6" s="8">
        <f>YEAR(BU4)</f>
        <v/>
      </c>
      <c r="BV6" s="8">
        <f>YEAR(BV4)</f>
        <v/>
      </c>
      <c r="BW6" s="8">
        <f>YEAR(BW4)</f>
        <v/>
      </c>
      <c r="BX6" s="8">
        <f>YEAR(BX4)</f>
        <v/>
      </c>
      <c r="BY6" s="8">
        <f>YEAR(BY4)</f>
        <v/>
      </c>
      <c r="BZ6" s="8">
        <f>YEAR(BZ4)</f>
        <v/>
      </c>
      <c r="CA6" s="8">
        <f>YEAR(CA4)</f>
        <v/>
      </c>
      <c r="CB6" s="8">
        <f>YEAR(CB4)</f>
        <v/>
      </c>
      <c r="CC6" s="8">
        <f>YEAR(CC4)</f>
        <v/>
      </c>
      <c r="CD6" s="8">
        <f>YEAR(CD4)</f>
        <v/>
      </c>
      <c r="CE6" s="8">
        <f>YEAR(CE4)</f>
        <v/>
      </c>
      <c r="CF6" s="8">
        <f>YEAR(CF4)</f>
        <v/>
      </c>
      <c r="CG6" s="8">
        <f>YEAR(CG4)</f>
        <v/>
      </c>
      <c r="CH6" s="8">
        <f>YEAR(CH4)</f>
        <v/>
      </c>
      <c r="CI6" s="8">
        <f>YEAR(CI4)</f>
        <v/>
      </c>
      <c r="CJ6" s="8">
        <f>YEAR(CJ4)</f>
        <v/>
      </c>
      <c r="CK6" s="8">
        <f>YEAR(CK4)</f>
        <v/>
      </c>
      <c r="CL6" s="8">
        <f>YEAR(CL4)</f>
        <v/>
      </c>
      <c r="CM6" s="8">
        <f>YEAR(CM4)</f>
        <v/>
      </c>
      <c r="CN6" s="8">
        <f>YEAR(CN4)</f>
        <v/>
      </c>
      <c r="CO6" s="8">
        <f>YEAR(CO4)</f>
        <v/>
      </c>
      <c r="CP6" s="8">
        <f>YEAR(CP4)</f>
        <v/>
      </c>
      <c r="CQ6" s="8">
        <f>YEAR(CQ4)</f>
        <v/>
      </c>
      <c r="CR6" s="8">
        <f>YEAR(CR4)</f>
        <v/>
      </c>
      <c r="CS6" s="8">
        <f>YEAR(CS4)</f>
        <v/>
      </c>
      <c r="CT6" s="8">
        <f>YEAR(CT4)</f>
        <v/>
      </c>
      <c r="CU6" s="8">
        <f>YEAR(CU4)</f>
        <v/>
      </c>
      <c r="CV6" s="8">
        <f>YEAR(CV4)</f>
        <v/>
      </c>
      <c r="CW6" s="8">
        <f>YEAR(CW4)</f>
        <v/>
      </c>
      <c r="CX6" s="8">
        <f>YEAR(CX4)</f>
        <v/>
      </c>
      <c r="CY6" s="8">
        <f>YEAR(CY4)</f>
        <v/>
      </c>
      <c r="CZ6" s="8">
        <f>YEAR(CZ4)</f>
        <v/>
      </c>
      <c r="DA6" s="8">
        <f>YEAR(DA4)</f>
        <v/>
      </c>
      <c r="DB6" s="8">
        <f>YEAR(DB4)</f>
        <v/>
      </c>
      <c r="DC6" s="8">
        <f>YEAR(DC4)</f>
        <v/>
      </c>
      <c r="DD6" s="8">
        <f>YEAR(DD4)</f>
        <v/>
      </c>
      <c r="DE6" s="8">
        <f>YEAR(DE4)</f>
        <v/>
      </c>
      <c r="DF6" s="8">
        <f>YEAR(DF4)</f>
        <v/>
      </c>
      <c r="DG6" s="8">
        <f>YEAR(DG4)</f>
        <v/>
      </c>
      <c r="DH6" s="8">
        <f>YEAR(DH4)</f>
        <v/>
      </c>
      <c r="DI6" s="8">
        <f>YEAR(DI4)</f>
        <v/>
      </c>
      <c r="DJ6" s="8">
        <f>YEAR(DJ4)</f>
        <v/>
      </c>
      <c r="DK6" s="8">
        <f>YEAR(DK4)</f>
        <v/>
      </c>
      <c r="DL6" s="8">
        <f>YEAR(DL4)</f>
        <v/>
      </c>
      <c r="DM6" s="8">
        <f>YEAR(DM4)</f>
        <v/>
      </c>
      <c r="DN6" s="8">
        <f>YEAR(DN4)</f>
        <v/>
      </c>
      <c r="DO6" s="8">
        <f>YEAR(DO4)</f>
        <v/>
      </c>
      <c r="DP6" s="8">
        <f>YEAR(DP4)</f>
        <v/>
      </c>
      <c r="DQ6" s="8">
        <f>YEAR(DQ4)</f>
        <v/>
      </c>
      <c r="DR6" s="8">
        <f>YEAR(DR4)</f>
        <v/>
      </c>
      <c r="DS6" s="8">
        <f>YEAR(DS4)</f>
        <v/>
      </c>
      <c r="DT6" s="8">
        <f>YEAR(DT4)</f>
        <v/>
      </c>
      <c r="DU6" s="8">
        <f>YEAR(DU4)</f>
        <v/>
      </c>
    </row>
    <row r="7">
      <c r="A7" t="inlineStr">
        <is>
          <t>Quarter</t>
        </is>
      </c>
      <c r="F7" s="8">
        <f>"Q"&amp;ROUNDUP(MONTH(F4)/3,0)</f>
        <v/>
      </c>
      <c r="G7" s="8">
        <f>"Q"&amp;ROUNDUP(MONTH(G4)/3,0)</f>
        <v/>
      </c>
      <c r="H7" s="8">
        <f>"Q"&amp;ROUNDUP(MONTH(H4)/3,0)</f>
        <v/>
      </c>
      <c r="I7" s="8">
        <f>"Q"&amp;ROUNDUP(MONTH(I4)/3,0)</f>
        <v/>
      </c>
      <c r="J7" s="8">
        <f>"Q"&amp;ROUNDUP(MONTH(J4)/3,0)</f>
        <v/>
      </c>
      <c r="K7" s="8">
        <f>"Q"&amp;ROUNDUP(MONTH(K4)/3,0)</f>
        <v/>
      </c>
      <c r="L7" s="8">
        <f>"Q"&amp;ROUNDUP(MONTH(L4)/3,0)</f>
        <v/>
      </c>
      <c r="M7" s="8">
        <f>"Q"&amp;ROUNDUP(MONTH(M4)/3,0)</f>
        <v/>
      </c>
      <c r="N7" s="8">
        <f>"Q"&amp;ROUNDUP(MONTH(N4)/3,0)</f>
        <v/>
      </c>
      <c r="O7" s="8">
        <f>"Q"&amp;ROUNDUP(MONTH(O4)/3,0)</f>
        <v/>
      </c>
      <c r="P7" s="8">
        <f>"Q"&amp;ROUNDUP(MONTH(P4)/3,0)</f>
        <v/>
      </c>
      <c r="Q7" s="8">
        <f>"Q"&amp;ROUNDUP(MONTH(Q4)/3,0)</f>
        <v/>
      </c>
      <c r="R7" s="8">
        <f>"Q"&amp;ROUNDUP(MONTH(R4)/3,0)</f>
        <v/>
      </c>
      <c r="S7" s="8">
        <f>"Q"&amp;ROUNDUP(MONTH(S4)/3,0)</f>
        <v/>
      </c>
      <c r="T7" s="8">
        <f>"Q"&amp;ROUNDUP(MONTH(T4)/3,0)</f>
        <v/>
      </c>
      <c r="U7" s="8">
        <f>"Q"&amp;ROUNDUP(MONTH(U4)/3,0)</f>
        <v/>
      </c>
      <c r="V7" s="8">
        <f>"Q"&amp;ROUNDUP(MONTH(V4)/3,0)</f>
        <v/>
      </c>
      <c r="W7" s="8">
        <f>"Q"&amp;ROUNDUP(MONTH(W4)/3,0)</f>
        <v/>
      </c>
      <c r="X7" s="8">
        <f>"Q"&amp;ROUNDUP(MONTH(X4)/3,0)</f>
        <v/>
      </c>
      <c r="Y7" s="8">
        <f>"Q"&amp;ROUNDUP(MONTH(Y4)/3,0)</f>
        <v/>
      </c>
      <c r="Z7" s="8">
        <f>"Q"&amp;ROUNDUP(MONTH(Z4)/3,0)</f>
        <v/>
      </c>
      <c r="AA7" s="8">
        <f>"Q"&amp;ROUNDUP(MONTH(AA4)/3,0)</f>
        <v/>
      </c>
      <c r="AB7" s="8">
        <f>"Q"&amp;ROUNDUP(MONTH(AB4)/3,0)</f>
        <v/>
      </c>
      <c r="AC7" s="8">
        <f>"Q"&amp;ROUNDUP(MONTH(AC4)/3,0)</f>
        <v/>
      </c>
      <c r="AD7" s="8">
        <f>"Q"&amp;ROUNDUP(MONTH(AD4)/3,0)</f>
        <v/>
      </c>
      <c r="AE7" s="8">
        <f>"Q"&amp;ROUNDUP(MONTH(AE4)/3,0)</f>
        <v/>
      </c>
      <c r="AF7" s="8">
        <f>"Q"&amp;ROUNDUP(MONTH(AF4)/3,0)</f>
        <v/>
      </c>
      <c r="AG7" s="8">
        <f>"Q"&amp;ROUNDUP(MONTH(AG4)/3,0)</f>
        <v/>
      </c>
      <c r="AH7" s="8">
        <f>"Q"&amp;ROUNDUP(MONTH(AH4)/3,0)</f>
        <v/>
      </c>
      <c r="AI7" s="8">
        <f>"Q"&amp;ROUNDUP(MONTH(AI4)/3,0)</f>
        <v/>
      </c>
      <c r="AJ7" s="8">
        <f>"Q"&amp;ROUNDUP(MONTH(AJ4)/3,0)</f>
        <v/>
      </c>
      <c r="AK7" s="8">
        <f>"Q"&amp;ROUNDUP(MONTH(AK4)/3,0)</f>
        <v/>
      </c>
      <c r="AL7" s="8">
        <f>"Q"&amp;ROUNDUP(MONTH(AL4)/3,0)</f>
        <v/>
      </c>
      <c r="AM7" s="8">
        <f>"Q"&amp;ROUNDUP(MONTH(AM4)/3,0)</f>
        <v/>
      </c>
      <c r="AN7" s="8">
        <f>"Q"&amp;ROUNDUP(MONTH(AN4)/3,0)</f>
        <v/>
      </c>
      <c r="AO7" s="8">
        <f>"Q"&amp;ROUNDUP(MONTH(AO4)/3,0)</f>
        <v/>
      </c>
      <c r="AP7" s="8">
        <f>"Q"&amp;ROUNDUP(MONTH(AP4)/3,0)</f>
        <v/>
      </c>
      <c r="AQ7" s="8">
        <f>"Q"&amp;ROUNDUP(MONTH(AQ4)/3,0)</f>
        <v/>
      </c>
      <c r="AR7" s="8">
        <f>"Q"&amp;ROUNDUP(MONTH(AR4)/3,0)</f>
        <v/>
      </c>
      <c r="AS7" s="8">
        <f>"Q"&amp;ROUNDUP(MONTH(AS4)/3,0)</f>
        <v/>
      </c>
      <c r="AT7" s="8">
        <f>"Q"&amp;ROUNDUP(MONTH(AT4)/3,0)</f>
        <v/>
      </c>
      <c r="AU7" s="8">
        <f>"Q"&amp;ROUNDUP(MONTH(AU4)/3,0)</f>
        <v/>
      </c>
      <c r="AV7" s="8">
        <f>"Q"&amp;ROUNDUP(MONTH(AV4)/3,0)</f>
        <v/>
      </c>
      <c r="AW7" s="8">
        <f>"Q"&amp;ROUNDUP(MONTH(AW4)/3,0)</f>
        <v/>
      </c>
      <c r="AX7" s="8">
        <f>"Q"&amp;ROUNDUP(MONTH(AX4)/3,0)</f>
        <v/>
      </c>
      <c r="AY7" s="8">
        <f>"Q"&amp;ROUNDUP(MONTH(AY4)/3,0)</f>
        <v/>
      </c>
      <c r="AZ7" s="8">
        <f>"Q"&amp;ROUNDUP(MONTH(AZ4)/3,0)</f>
        <v/>
      </c>
      <c r="BA7" s="8">
        <f>"Q"&amp;ROUNDUP(MONTH(BA4)/3,0)</f>
        <v/>
      </c>
      <c r="BB7" s="8">
        <f>"Q"&amp;ROUNDUP(MONTH(BB4)/3,0)</f>
        <v/>
      </c>
      <c r="BC7" s="8">
        <f>"Q"&amp;ROUNDUP(MONTH(BC4)/3,0)</f>
        <v/>
      </c>
      <c r="BD7" s="8">
        <f>"Q"&amp;ROUNDUP(MONTH(BD4)/3,0)</f>
        <v/>
      </c>
      <c r="BE7" s="8">
        <f>"Q"&amp;ROUNDUP(MONTH(BE4)/3,0)</f>
        <v/>
      </c>
      <c r="BF7" s="8">
        <f>"Q"&amp;ROUNDUP(MONTH(BF4)/3,0)</f>
        <v/>
      </c>
      <c r="BG7" s="8">
        <f>"Q"&amp;ROUNDUP(MONTH(BG4)/3,0)</f>
        <v/>
      </c>
      <c r="BH7" s="8">
        <f>"Q"&amp;ROUNDUP(MONTH(BH4)/3,0)</f>
        <v/>
      </c>
      <c r="BI7" s="8">
        <f>"Q"&amp;ROUNDUP(MONTH(BI4)/3,0)</f>
        <v/>
      </c>
      <c r="BJ7" s="8">
        <f>"Q"&amp;ROUNDUP(MONTH(BJ4)/3,0)</f>
        <v/>
      </c>
      <c r="BK7" s="8">
        <f>"Q"&amp;ROUNDUP(MONTH(BK4)/3,0)</f>
        <v/>
      </c>
      <c r="BL7" s="8">
        <f>"Q"&amp;ROUNDUP(MONTH(BL4)/3,0)</f>
        <v/>
      </c>
      <c r="BM7" s="8">
        <f>"Q"&amp;ROUNDUP(MONTH(BM4)/3,0)</f>
        <v/>
      </c>
      <c r="BN7" s="8">
        <f>"Q"&amp;ROUNDUP(MONTH(BN4)/3,0)</f>
        <v/>
      </c>
      <c r="BO7" s="8">
        <f>"Q"&amp;ROUNDUP(MONTH(BO4)/3,0)</f>
        <v/>
      </c>
      <c r="BP7" s="8">
        <f>"Q"&amp;ROUNDUP(MONTH(BP4)/3,0)</f>
        <v/>
      </c>
      <c r="BQ7" s="8">
        <f>"Q"&amp;ROUNDUP(MONTH(BQ4)/3,0)</f>
        <v/>
      </c>
      <c r="BR7" s="8">
        <f>"Q"&amp;ROUNDUP(MONTH(BR4)/3,0)</f>
        <v/>
      </c>
      <c r="BS7" s="8">
        <f>"Q"&amp;ROUNDUP(MONTH(BS4)/3,0)</f>
        <v/>
      </c>
      <c r="BT7" s="8">
        <f>"Q"&amp;ROUNDUP(MONTH(BT4)/3,0)</f>
        <v/>
      </c>
      <c r="BU7" s="8">
        <f>"Q"&amp;ROUNDUP(MONTH(BU4)/3,0)</f>
        <v/>
      </c>
      <c r="BV7" s="8">
        <f>"Q"&amp;ROUNDUP(MONTH(BV4)/3,0)</f>
        <v/>
      </c>
      <c r="BW7" s="8">
        <f>"Q"&amp;ROUNDUP(MONTH(BW4)/3,0)</f>
        <v/>
      </c>
      <c r="BX7" s="8">
        <f>"Q"&amp;ROUNDUP(MONTH(BX4)/3,0)</f>
        <v/>
      </c>
      <c r="BY7" s="8">
        <f>"Q"&amp;ROUNDUP(MONTH(BY4)/3,0)</f>
        <v/>
      </c>
      <c r="BZ7" s="8">
        <f>"Q"&amp;ROUNDUP(MONTH(BZ4)/3,0)</f>
        <v/>
      </c>
      <c r="CA7" s="8">
        <f>"Q"&amp;ROUNDUP(MONTH(CA4)/3,0)</f>
        <v/>
      </c>
      <c r="CB7" s="8">
        <f>"Q"&amp;ROUNDUP(MONTH(CB4)/3,0)</f>
        <v/>
      </c>
      <c r="CC7" s="8">
        <f>"Q"&amp;ROUNDUP(MONTH(CC4)/3,0)</f>
        <v/>
      </c>
      <c r="CD7" s="8">
        <f>"Q"&amp;ROUNDUP(MONTH(CD4)/3,0)</f>
        <v/>
      </c>
      <c r="CE7" s="8">
        <f>"Q"&amp;ROUNDUP(MONTH(CE4)/3,0)</f>
        <v/>
      </c>
      <c r="CF7" s="8">
        <f>"Q"&amp;ROUNDUP(MONTH(CF4)/3,0)</f>
        <v/>
      </c>
      <c r="CG7" s="8">
        <f>"Q"&amp;ROUNDUP(MONTH(CG4)/3,0)</f>
        <v/>
      </c>
      <c r="CH7" s="8">
        <f>"Q"&amp;ROUNDUP(MONTH(CH4)/3,0)</f>
        <v/>
      </c>
      <c r="CI7" s="8">
        <f>"Q"&amp;ROUNDUP(MONTH(CI4)/3,0)</f>
        <v/>
      </c>
      <c r="CJ7" s="8">
        <f>"Q"&amp;ROUNDUP(MONTH(CJ4)/3,0)</f>
        <v/>
      </c>
      <c r="CK7" s="8">
        <f>"Q"&amp;ROUNDUP(MONTH(CK4)/3,0)</f>
        <v/>
      </c>
      <c r="CL7" s="8">
        <f>"Q"&amp;ROUNDUP(MONTH(CL4)/3,0)</f>
        <v/>
      </c>
      <c r="CM7" s="8">
        <f>"Q"&amp;ROUNDUP(MONTH(CM4)/3,0)</f>
        <v/>
      </c>
      <c r="CN7" s="8">
        <f>"Q"&amp;ROUNDUP(MONTH(CN4)/3,0)</f>
        <v/>
      </c>
      <c r="CO7" s="8">
        <f>"Q"&amp;ROUNDUP(MONTH(CO4)/3,0)</f>
        <v/>
      </c>
      <c r="CP7" s="8">
        <f>"Q"&amp;ROUNDUP(MONTH(CP4)/3,0)</f>
        <v/>
      </c>
      <c r="CQ7" s="8">
        <f>"Q"&amp;ROUNDUP(MONTH(CQ4)/3,0)</f>
        <v/>
      </c>
      <c r="CR7" s="8">
        <f>"Q"&amp;ROUNDUP(MONTH(CR4)/3,0)</f>
        <v/>
      </c>
      <c r="CS7" s="8">
        <f>"Q"&amp;ROUNDUP(MONTH(CS4)/3,0)</f>
        <v/>
      </c>
      <c r="CT7" s="8">
        <f>"Q"&amp;ROUNDUP(MONTH(CT4)/3,0)</f>
        <v/>
      </c>
      <c r="CU7" s="8">
        <f>"Q"&amp;ROUNDUP(MONTH(CU4)/3,0)</f>
        <v/>
      </c>
      <c r="CV7" s="8">
        <f>"Q"&amp;ROUNDUP(MONTH(CV4)/3,0)</f>
        <v/>
      </c>
      <c r="CW7" s="8">
        <f>"Q"&amp;ROUNDUP(MONTH(CW4)/3,0)</f>
        <v/>
      </c>
      <c r="CX7" s="8">
        <f>"Q"&amp;ROUNDUP(MONTH(CX4)/3,0)</f>
        <v/>
      </c>
      <c r="CY7" s="8">
        <f>"Q"&amp;ROUNDUP(MONTH(CY4)/3,0)</f>
        <v/>
      </c>
      <c r="CZ7" s="8">
        <f>"Q"&amp;ROUNDUP(MONTH(CZ4)/3,0)</f>
        <v/>
      </c>
      <c r="DA7" s="8">
        <f>"Q"&amp;ROUNDUP(MONTH(DA4)/3,0)</f>
        <v/>
      </c>
      <c r="DB7" s="8">
        <f>"Q"&amp;ROUNDUP(MONTH(DB4)/3,0)</f>
        <v/>
      </c>
      <c r="DC7" s="8">
        <f>"Q"&amp;ROUNDUP(MONTH(DC4)/3,0)</f>
        <v/>
      </c>
      <c r="DD7" s="8">
        <f>"Q"&amp;ROUNDUP(MONTH(DD4)/3,0)</f>
        <v/>
      </c>
      <c r="DE7" s="8">
        <f>"Q"&amp;ROUNDUP(MONTH(DE4)/3,0)</f>
        <v/>
      </c>
      <c r="DF7" s="8">
        <f>"Q"&amp;ROUNDUP(MONTH(DF4)/3,0)</f>
        <v/>
      </c>
      <c r="DG7" s="8">
        <f>"Q"&amp;ROUNDUP(MONTH(DG4)/3,0)</f>
        <v/>
      </c>
      <c r="DH7" s="8">
        <f>"Q"&amp;ROUNDUP(MONTH(DH4)/3,0)</f>
        <v/>
      </c>
      <c r="DI7" s="8">
        <f>"Q"&amp;ROUNDUP(MONTH(DI4)/3,0)</f>
        <v/>
      </c>
      <c r="DJ7" s="8">
        <f>"Q"&amp;ROUNDUP(MONTH(DJ4)/3,0)</f>
        <v/>
      </c>
      <c r="DK7" s="8">
        <f>"Q"&amp;ROUNDUP(MONTH(DK4)/3,0)</f>
        <v/>
      </c>
      <c r="DL7" s="8">
        <f>"Q"&amp;ROUNDUP(MONTH(DL4)/3,0)</f>
        <v/>
      </c>
      <c r="DM7" s="8">
        <f>"Q"&amp;ROUNDUP(MONTH(DM4)/3,0)</f>
        <v/>
      </c>
      <c r="DN7" s="8">
        <f>"Q"&amp;ROUNDUP(MONTH(DN4)/3,0)</f>
        <v/>
      </c>
      <c r="DO7" s="8">
        <f>"Q"&amp;ROUNDUP(MONTH(DO4)/3,0)</f>
        <v/>
      </c>
      <c r="DP7" s="8">
        <f>"Q"&amp;ROUNDUP(MONTH(DP4)/3,0)</f>
        <v/>
      </c>
      <c r="DQ7" s="8">
        <f>"Q"&amp;ROUNDUP(MONTH(DQ4)/3,0)</f>
        <v/>
      </c>
      <c r="DR7" s="8">
        <f>"Q"&amp;ROUNDUP(MONTH(DR4)/3,0)</f>
        <v/>
      </c>
      <c r="DS7" s="8">
        <f>"Q"&amp;ROUNDUP(MONTH(DS4)/3,0)</f>
        <v/>
      </c>
      <c r="DT7" s="8">
        <f>"Q"&amp;ROUNDUP(MONTH(DT4)/3,0)</f>
        <v/>
      </c>
      <c r="DU7" s="8">
        <f>"Q"&amp;ROUNDUP(MONTH(DU4)/3,0)</f>
        <v/>
      </c>
    </row>
    <row r="10">
      <c r="A10" s="11" t="inlineStr">
        <is>
          <t>Seasonality Factors</t>
        </is>
      </c>
    </row>
    <row r="11">
      <c r="A11" t="inlineStr">
        <is>
          <t>Month (1-12)</t>
        </is>
      </c>
      <c r="B11" t="n">
        <v>1</v>
      </c>
      <c r="C11" t="n">
        <v>2</v>
      </c>
      <c r="D11" t="n">
        <v>3</v>
      </c>
      <c r="E11" t="n">
        <v>4</v>
      </c>
      <c r="F11" t="n">
        <v>5</v>
      </c>
      <c r="G11" t="n">
        <v>6</v>
      </c>
      <c r="H11" t="n">
        <v>7</v>
      </c>
      <c r="I11" t="n">
        <v>8</v>
      </c>
      <c r="J11" t="n">
        <v>9</v>
      </c>
      <c r="K11" t="n">
        <v>10</v>
      </c>
      <c r="L11" t="n">
        <v>11</v>
      </c>
      <c r="M11" t="n">
        <v>12</v>
      </c>
    </row>
    <row r="12">
      <c r="A12" t="inlineStr">
        <is>
          <t>Month name</t>
        </is>
      </c>
      <c r="B12" t="inlineStr">
        <is>
          <t>Jan</t>
        </is>
      </c>
      <c r="C12" t="inlineStr">
        <is>
          <t>Feb</t>
        </is>
      </c>
      <c r="D12" t="inlineStr">
        <is>
          <t>Mar</t>
        </is>
      </c>
      <c r="E12" t="inlineStr">
        <is>
          <t>Apr</t>
        </is>
      </c>
      <c r="F12" t="inlineStr">
        <is>
          <t>May</t>
        </is>
      </c>
      <c r="G12" t="inlineStr">
        <is>
          <t>Jun</t>
        </is>
      </c>
      <c r="H12" t="inlineStr">
        <is>
          <t>Jul</t>
        </is>
      </c>
      <c r="I12" t="inlineStr">
        <is>
          <t>Aug</t>
        </is>
      </c>
      <c r="J12" t="inlineStr">
        <is>
          <t>Sep</t>
        </is>
      </c>
      <c r="K12" t="inlineStr">
        <is>
          <t>Oct</t>
        </is>
      </c>
      <c r="L12" t="inlineStr">
        <is>
          <t>Nov</t>
        </is>
      </c>
      <c r="M12" t="inlineStr">
        <is>
          <t>Dec</t>
        </is>
      </c>
    </row>
    <row r="13">
      <c r="A13" t="inlineStr">
        <is>
          <t>Seasonality factor</t>
        </is>
      </c>
      <c r="B13" s="31" t="n">
        <v>1.2</v>
      </c>
      <c r="C13" s="31" t="n">
        <v>1.15</v>
      </c>
      <c r="D13" s="31" t="n">
        <v>1.05</v>
      </c>
      <c r="E13" s="31" t="n">
        <v>0.95</v>
      </c>
      <c r="F13" s="31" t="n">
        <v>0.9</v>
      </c>
      <c r="G13" s="31" t="n">
        <v>0.85</v>
      </c>
      <c r="H13" s="31" t="n">
        <v>0.85</v>
      </c>
      <c r="I13" s="31" t="n">
        <v>0.88</v>
      </c>
      <c r="J13" s="31" t="n">
        <v>0.95</v>
      </c>
      <c r="K13" s="31" t="n">
        <v>1</v>
      </c>
      <c r="L13" s="31" t="n">
        <v>1.1</v>
      </c>
      <c r="M13" s="31" t="n">
        <v>1.12</v>
      </c>
    </row>
    <row r="14">
      <c r="A14" t="inlineStr">
        <is>
          <t>Check sum</t>
        </is>
      </c>
      <c r="B14" s="32">
        <f>SUM(B13:M13)</f>
        <v/>
      </c>
      <c r="C14" s="9" t="inlineStr">
        <is>
          <t>(must = 12.00)</t>
        </is>
      </c>
    </row>
    <row r="18">
      <c r="A18" s="12" t="inlineStr">
        <is>
          <t>Brand-Pack-Channel</t>
        </is>
      </c>
      <c r="B18" s="12" t="inlineStr">
        <is>
          <t>Year 1 Base (HL p.a.)</t>
        </is>
      </c>
      <c r="C18" s="12" t="inlineStr">
        <is>
          <t>Growth % Base</t>
        </is>
      </c>
      <c r="D18" s="12" t="inlineStr">
        <is>
          <t>Upside</t>
        </is>
      </c>
      <c r="E18" s="12" t="inlineStr">
        <is>
          <t>Downside</t>
        </is>
      </c>
    </row>
    <row r="19">
      <c r="A19" t="inlineStr">
        <is>
          <t>SkyBrew-Bottles-OnTrade</t>
        </is>
      </c>
      <c r="B19" s="33" t="n">
        <v>50000</v>
      </c>
      <c r="C19" s="22" t="n">
        <v>0.03</v>
      </c>
      <c r="D19" s="22" t="n">
        <v>0.05</v>
      </c>
      <c r="E19" s="22" t="n">
        <v>0.01</v>
      </c>
      <c r="F19" s="34">
        <f>($B19/12)*(1+INDEX($C19:$E19,1,Control!$B$10))^F5*INDEX($B$13:$M$13,1,MOD(1-1,12)+1)</f>
        <v/>
      </c>
      <c r="G19" s="34">
        <f>($B19/12)*(1+INDEX($C19:$E19,1,Control!$B$10))^G5*INDEX($B$13:$M$13,1,MOD(2-1,12)+1)</f>
        <v/>
      </c>
      <c r="H19" s="34">
        <f>($B19/12)*(1+INDEX($C19:$E19,1,Control!$B$10))^H5*INDEX($B$13:$M$13,1,MOD(3-1,12)+1)</f>
        <v/>
      </c>
      <c r="I19" s="34">
        <f>($B19/12)*(1+INDEX($C19:$E19,1,Control!$B$10))^I5*INDEX($B$13:$M$13,1,MOD(4-1,12)+1)</f>
        <v/>
      </c>
      <c r="J19" s="34">
        <f>($B19/12)*(1+INDEX($C19:$E19,1,Control!$B$10))^J5*INDEX($B$13:$M$13,1,MOD(5-1,12)+1)</f>
        <v/>
      </c>
      <c r="K19" s="34">
        <f>($B19/12)*(1+INDEX($C19:$E19,1,Control!$B$10))^K5*INDEX($B$13:$M$13,1,MOD(6-1,12)+1)</f>
        <v/>
      </c>
      <c r="L19" s="34">
        <f>($B19/12)*(1+INDEX($C19:$E19,1,Control!$B$10))^L5*INDEX($B$13:$M$13,1,MOD(7-1,12)+1)</f>
        <v/>
      </c>
      <c r="M19" s="34">
        <f>($B19/12)*(1+INDEX($C19:$E19,1,Control!$B$10))^M5*INDEX($B$13:$M$13,1,MOD(8-1,12)+1)</f>
        <v/>
      </c>
      <c r="N19" s="34">
        <f>($B19/12)*(1+INDEX($C19:$E19,1,Control!$B$10))^N5*INDEX($B$13:$M$13,1,MOD(9-1,12)+1)</f>
        <v/>
      </c>
      <c r="O19" s="34">
        <f>($B19/12)*(1+INDEX($C19:$E19,1,Control!$B$10))^O5*INDEX($B$13:$M$13,1,MOD(10-1,12)+1)</f>
        <v/>
      </c>
      <c r="P19" s="34">
        <f>($B19/12)*(1+INDEX($C19:$E19,1,Control!$B$10))^P5*INDEX($B$13:$M$13,1,MOD(11-1,12)+1)</f>
        <v/>
      </c>
      <c r="Q19" s="34">
        <f>($B19/12)*(1+INDEX($C19:$E19,1,Control!$B$10))^Q5*INDEX($B$13:$M$13,1,MOD(12-1,12)+1)</f>
        <v/>
      </c>
      <c r="R19" s="34">
        <f>($B19/12)*(1+INDEX($C19:$E19,1,Control!$B$10))^R5*INDEX($B$13:$M$13,1,MOD(13-1,12)+1)</f>
        <v/>
      </c>
      <c r="S19" s="34">
        <f>($B19/12)*(1+INDEX($C19:$E19,1,Control!$B$10))^S5*INDEX($B$13:$M$13,1,MOD(14-1,12)+1)</f>
        <v/>
      </c>
      <c r="T19" s="34">
        <f>($B19/12)*(1+INDEX($C19:$E19,1,Control!$B$10))^T5*INDEX($B$13:$M$13,1,MOD(15-1,12)+1)</f>
        <v/>
      </c>
      <c r="U19" s="34">
        <f>($B19/12)*(1+INDEX($C19:$E19,1,Control!$B$10))^U5*INDEX($B$13:$M$13,1,MOD(16-1,12)+1)</f>
        <v/>
      </c>
      <c r="V19" s="34">
        <f>($B19/12)*(1+INDEX($C19:$E19,1,Control!$B$10))^V5*INDEX($B$13:$M$13,1,MOD(17-1,12)+1)</f>
        <v/>
      </c>
      <c r="W19" s="34">
        <f>($B19/12)*(1+INDEX($C19:$E19,1,Control!$B$10))^W5*INDEX($B$13:$M$13,1,MOD(18-1,12)+1)</f>
        <v/>
      </c>
      <c r="X19" s="34">
        <f>($B19/12)*(1+INDEX($C19:$E19,1,Control!$B$10))^X5*INDEX($B$13:$M$13,1,MOD(19-1,12)+1)</f>
        <v/>
      </c>
      <c r="Y19" s="34">
        <f>($B19/12)*(1+INDEX($C19:$E19,1,Control!$B$10))^Y5*INDEX($B$13:$M$13,1,MOD(20-1,12)+1)</f>
        <v/>
      </c>
      <c r="Z19" s="34">
        <f>($B19/12)*(1+INDEX($C19:$E19,1,Control!$B$10))^Z5*INDEX($B$13:$M$13,1,MOD(21-1,12)+1)</f>
        <v/>
      </c>
      <c r="AA19" s="34">
        <f>($B19/12)*(1+INDEX($C19:$E19,1,Control!$B$10))^AA5*INDEX($B$13:$M$13,1,MOD(22-1,12)+1)</f>
        <v/>
      </c>
      <c r="AB19" s="34">
        <f>($B19/12)*(1+INDEX($C19:$E19,1,Control!$B$10))^AB5*INDEX($B$13:$M$13,1,MOD(23-1,12)+1)</f>
        <v/>
      </c>
      <c r="AC19" s="34">
        <f>($B19/12)*(1+INDEX($C19:$E19,1,Control!$B$10))^AC5*INDEX($B$13:$M$13,1,MOD(24-1,12)+1)</f>
        <v/>
      </c>
      <c r="AD19" s="34">
        <f>($B19/12)*(1+INDEX($C19:$E19,1,Control!$B$10))^AD5*INDEX($B$13:$M$13,1,MOD(25-1,12)+1)</f>
        <v/>
      </c>
      <c r="AE19" s="34">
        <f>($B19/12)*(1+INDEX($C19:$E19,1,Control!$B$10))^AE5*INDEX($B$13:$M$13,1,MOD(26-1,12)+1)</f>
        <v/>
      </c>
      <c r="AF19" s="34">
        <f>($B19/12)*(1+INDEX($C19:$E19,1,Control!$B$10))^AF5*INDEX($B$13:$M$13,1,MOD(27-1,12)+1)</f>
        <v/>
      </c>
      <c r="AG19" s="34">
        <f>($B19/12)*(1+INDEX($C19:$E19,1,Control!$B$10))^AG5*INDEX($B$13:$M$13,1,MOD(28-1,12)+1)</f>
        <v/>
      </c>
      <c r="AH19" s="34">
        <f>($B19/12)*(1+INDEX($C19:$E19,1,Control!$B$10))^AH5*INDEX($B$13:$M$13,1,MOD(29-1,12)+1)</f>
        <v/>
      </c>
      <c r="AI19" s="34">
        <f>($B19/12)*(1+INDEX($C19:$E19,1,Control!$B$10))^AI5*INDEX($B$13:$M$13,1,MOD(30-1,12)+1)</f>
        <v/>
      </c>
      <c r="AJ19" s="34">
        <f>($B19/12)*(1+INDEX($C19:$E19,1,Control!$B$10))^AJ5*INDEX($B$13:$M$13,1,MOD(31-1,12)+1)</f>
        <v/>
      </c>
      <c r="AK19" s="34">
        <f>($B19/12)*(1+INDEX($C19:$E19,1,Control!$B$10))^AK5*INDEX($B$13:$M$13,1,MOD(32-1,12)+1)</f>
        <v/>
      </c>
      <c r="AL19" s="34">
        <f>($B19/12)*(1+INDEX($C19:$E19,1,Control!$B$10))^AL5*INDEX($B$13:$M$13,1,MOD(33-1,12)+1)</f>
        <v/>
      </c>
      <c r="AM19" s="34">
        <f>($B19/12)*(1+INDEX($C19:$E19,1,Control!$B$10))^AM5*INDEX($B$13:$M$13,1,MOD(34-1,12)+1)</f>
        <v/>
      </c>
      <c r="AN19" s="34">
        <f>($B19/12)*(1+INDEX($C19:$E19,1,Control!$B$10))^AN5*INDEX($B$13:$M$13,1,MOD(35-1,12)+1)</f>
        <v/>
      </c>
      <c r="AO19" s="34">
        <f>($B19/12)*(1+INDEX($C19:$E19,1,Control!$B$10))^AO5*INDEX($B$13:$M$13,1,MOD(36-1,12)+1)</f>
        <v/>
      </c>
      <c r="AP19" s="34">
        <f>($B19/12)*(1+INDEX($C19:$E19,1,Control!$B$10))^AP5*INDEX($B$13:$M$13,1,MOD(37-1,12)+1)</f>
        <v/>
      </c>
      <c r="AQ19" s="34">
        <f>($B19/12)*(1+INDEX($C19:$E19,1,Control!$B$10))^AQ5*INDEX($B$13:$M$13,1,MOD(38-1,12)+1)</f>
        <v/>
      </c>
      <c r="AR19" s="34">
        <f>($B19/12)*(1+INDEX($C19:$E19,1,Control!$B$10))^AR5*INDEX($B$13:$M$13,1,MOD(39-1,12)+1)</f>
        <v/>
      </c>
      <c r="AS19" s="34">
        <f>($B19/12)*(1+INDEX($C19:$E19,1,Control!$B$10))^AS5*INDEX($B$13:$M$13,1,MOD(40-1,12)+1)</f>
        <v/>
      </c>
      <c r="AT19" s="34">
        <f>($B19/12)*(1+INDEX($C19:$E19,1,Control!$B$10))^AT5*INDEX($B$13:$M$13,1,MOD(41-1,12)+1)</f>
        <v/>
      </c>
      <c r="AU19" s="34">
        <f>($B19/12)*(1+INDEX($C19:$E19,1,Control!$B$10))^AU5*INDEX($B$13:$M$13,1,MOD(42-1,12)+1)</f>
        <v/>
      </c>
      <c r="AV19" s="34">
        <f>($B19/12)*(1+INDEX($C19:$E19,1,Control!$B$10))^AV5*INDEX($B$13:$M$13,1,MOD(43-1,12)+1)</f>
        <v/>
      </c>
      <c r="AW19" s="34">
        <f>($B19/12)*(1+INDEX($C19:$E19,1,Control!$B$10))^AW5*INDEX($B$13:$M$13,1,MOD(44-1,12)+1)</f>
        <v/>
      </c>
      <c r="AX19" s="34">
        <f>($B19/12)*(1+INDEX($C19:$E19,1,Control!$B$10))^AX5*INDEX($B$13:$M$13,1,MOD(45-1,12)+1)</f>
        <v/>
      </c>
      <c r="AY19" s="34">
        <f>($B19/12)*(1+INDEX($C19:$E19,1,Control!$B$10))^AY5*INDEX($B$13:$M$13,1,MOD(46-1,12)+1)</f>
        <v/>
      </c>
      <c r="AZ19" s="34">
        <f>($B19/12)*(1+INDEX($C19:$E19,1,Control!$B$10))^AZ5*INDEX($B$13:$M$13,1,MOD(47-1,12)+1)</f>
        <v/>
      </c>
      <c r="BA19" s="34">
        <f>($B19/12)*(1+INDEX($C19:$E19,1,Control!$B$10))^BA5*INDEX($B$13:$M$13,1,MOD(48-1,12)+1)</f>
        <v/>
      </c>
      <c r="BB19" s="34">
        <f>($B19/12)*(1+INDEX($C19:$E19,1,Control!$B$10))^BB5*INDEX($B$13:$M$13,1,MOD(49-1,12)+1)</f>
        <v/>
      </c>
      <c r="BC19" s="34">
        <f>($B19/12)*(1+INDEX($C19:$E19,1,Control!$B$10))^BC5*INDEX($B$13:$M$13,1,MOD(50-1,12)+1)</f>
        <v/>
      </c>
      <c r="BD19" s="34">
        <f>($B19/12)*(1+INDEX($C19:$E19,1,Control!$B$10))^BD5*INDEX($B$13:$M$13,1,MOD(51-1,12)+1)</f>
        <v/>
      </c>
      <c r="BE19" s="34">
        <f>($B19/12)*(1+INDEX($C19:$E19,1,Control!$B$10))^BE5*INDEX($B$13:$M$13,1,MOD(52-1,12)+1)</f>
        <v/>
      </c>
      <c r="BF19" s="34">
        <f>($B19/12)*(1+INDEX($C19:$E19,1,Control!$B$10))^BF5*INDEX($B$13:$M$13,1,MOD(53-1,12)+1)</f>
        <v/>
      </c>
      <c r="BG19" s="34">
        <f>($B19/12)*(1+INDEX($C19:$E19,1,Control!$B$10))^BG5*INDEX($B$13:$M$13,1,MOD(54-1,12)+1)</f>
        <v/>
      </c>
      <c r="BH19" s="34">
        <f>($B19/12)*(1+INDEX($C19:$E19,1,Control!$B$10))^BH5*INDEX($B$13:$M$13,1,MOD(55-1,12)+1)</f>
        <v/>
      </c>
      <c r="BI19" s="34">
        <f>($B19/12)*(1+INDEX($C19:$E19,1,Control!$B$10))^BI5*INDEX($B$13:$M$13,1,MOD(56-1,12)+1)</f>
        <v/>
      </c>
      <c r="BJ19" s="34">
        <f>($B19/12)*(1+INDEX($C19:$E19,1,Control!$B$10))^BJ5*INDEX($B$13:$M$13,1,MOD(57-1,12)+1)</f>
        <v/>
      </c>
      <c r="BK19" s="34">
        <f>($B19/12)*(1+INDEX($C19:$E19,1,Control!$B$10))^BK5*INDEX($B$13:$M$13,1,MOD(58-1,12)+1)</f>
        <v/>
      </c>
      <c r="BL19" s="34">
        <f>($B19/12)*(1+INDEX($C19:$E19,1,Control!$B$10))^BL5*INDEX($B$13:$M$13,1,MOD(59-1,12)+1)</f>
        <v/>
      </c>
      <c r="BM19" s="34">
        <f>($B19/12)*(1+INDEX($C19:$E19,1,Control!$B$10))^BM5*INDEX($B$13:$M$13,1,MOD(60-1,12)+1)</f>
        <v/>
      </c>
      <c r="BN19" s="34">
        <f>($B19/12)*(1+INDEX($C19:$E19,1,Control!$B$10))^BN5*INDEX($B$13:$M$13,1,MOD(61-1,12)+1)</f>
        <v/>
      </c>
      <c r="BO19" s="34">
        <f>($B19/12)*(1+INDEX($C19:$E19,1,Control!$B$10))^BO5*INDEX($B$13:$M$13,1,MOD(62-1,12)+1)</f>
        <v/>
      </c>
      <c r="BP19" s="34">
        <f>($B19/12)*(1+INDEX($C19:$E19,1,Control!$B$10))^BP5*INDEX($B$13:$M$13,1,MOD(63-1,12)+1)</f>
        <v/>
      </c>
      <c r="BQ19" s="34">
        <f>($B19/12)*(1+INDEX($C19:$E19,1,Control!$B$10))^BQ5*INDEX($B$13:$M$13,1,MOD(64-1,12)+1)</f>
        <v/>
      </c>
      <c r="BR19" s="34">
        <f>($B19/12)*(1+INDEX($C19:$E19,1,Control!$B$10))^BR5*INDEX($B$13:$M$13,1,MOD(65-1,12)+1)</f>
        <v/>
      </c>
      <c r="BS19" s="34">
        <f>($B19/12)*(1+INDEX($C19:$E19,1,Control!$B$10))^BS5*INDEX($B$13:$M$13,1,MOD(66-1,12)+1)</f>
        <v/>
      </c>
      <c r="BT19" s="34">
        <f>($B19/12)*(1+INDEX($C19:$E19,1,Control!$B$10))^BT5*INDEX($B$13:$M$13,1,MOD(67-1,12)+1)</f>
        <v/>
      </c>
      <c r="BU19" s="34">
        <f>($B19/12)*(1+INDEX($C19:$E19,1,Control!$B$10))^BU5*INDEX($B$13:$M$13,1,MOD(68-1,12)+1)</f>
        <v/>
      </c>
      <c r="BV19" s="34">
        <f>($B19/12)*(1+INDEX($C19:$E19,1,Control!$B$10))^BV5*INDEX($B$13:$M$13,1,MOD(69-1,12)+1)</f>
        <v/>
      </c>
      <c r="BW19" s="34">
        <f>($B19/12)*(1+INDEX($C19:$E19,1,Control!$B$10))^BW5*INDEX($B$13:$M$13,1,MOD(70-1,12)+1)</f>
        <v/>
      </c>
      <c r="BX19" s="34">
        <f>($B19/12)*(1+INDEX($C19:$E19,1,Control!$B$10))^BX5*INDEX($B$13:$M$13,1,MOD(71-1,12)+1)</f>
        <v/>
      </c>
      <c r="BY19" s="34">
        <f>($B19/12)*(1+INDEX($C19:$E19,1,Control!$B$10))^BY5*INDEX($B$13:$M$13,1,MOD(72-1,12)+1)</f>
        <v/>
      </c>
      <c r="BZ19" s="34">
        <f>($B19/12)*(1+INDEX($C19:$E19,1,Control!$B$10))^BZ5*INDEX($B$13:$M$13,1,MOD(73-1,12)+1)</f>
        <v/>
      </c>
      <c r="CA19" s="34">
        <f>($B19/12)*(1+INDEX($C19:$E19,1,Control!$B$10))^CA5*INDEX($B$13:$M$13,1,MOD(74-1,12)+1)</f>
        <v/>
      </c>
      <c r="CB19" s="34">
        <f>($B19/12)*(1+INDEX($C19:$E19,1,Control!$B$10))^CB5*INDEX($B$13:$M$13,1,MOD(75-1,12)+1)</f>
        <v/>
      </c>
      <c r="CC19" s="34">
        <f>($B19/12)*(1+INDEX($C19:$E19,1,Control!$B$10))^CC5*INDEX($B$13:$M$13,1,MOD(76-1,12)+1)</f>
        <v/>
      </c>
      <c r="CD19" s="34">
        <f>($B19/12)*(1+INDEX($C19:$E19,1,Control!$B$10))^CD5*INDEX($B$13:$M$13,1,MOD(77-1,12)+1)</f>
        <v/>
      </c>
      <c r="CE19" s="34">
        <f>($B19/12)*(1+INDEX($C19:$E19,1,Control!$B$10))^CE5*INDEX($B$13:$M$13,1,MOD(78-1,12)+1)</f>
        <v/>
      </c>
      <c r="CF19" s="34">
        <f>($B19/12)*(1+INDEX($C19:$E19,1,Control!$B$10))^CF5*INDEX($B$13:$M$13,1,MOD(79-1,12)+1)</f>
        <v/>
      </c>
      <c r="CG19" s="34">
        <f>($B19/12)*(1+INDEX($C19:$E19,1,Control!$B$10))^CG5*INDEX($B$13:$M$13,1,MOD(80-1,12)+1)</f>
        <v/>
      </c>
      <c r="CH19" s="34">
        <f>($B19/12)*(1+INDEX($C19:$E19,1,Control!$B$10))^CH5*INDEX($B$13:$M$13,1,MOD(81-1,12)+1)</f>
        <v/>
      </c>
      <c r="CI19" s="34">
        <f>($B19/12)*(1+INDEX($C19:$E19,1,Control!$B$10))^CI5*INDEX($B$13:$M$13,1,MOD(82-1,12)+1)</f>
        <v/>
      </c>
      <c r="CJ19" s="34">
        <f>($B19/12)*(1+INDEX($C19:$E19,1,Control!$B$10))^CJ5*INDEX($B$13:$M$13,1,MOD(83-1,12)+1)</f>
        <v/>
      </c>
      <c r="CK19" s="34">
        <f>($B19/12)*(1+INDEX($C19:$E19,1,Control!$B$10))^CK5*INDEX($B$13:$M$13,1,MOD(84-1,12)+1)</f>
        <v/>
      </c>
      <c r="CL19" s="34">
        <f>($B19/12)*(1+INDEX($C19:$E19,1,Control!$B$10))^CL5*INDEX($B$13:$M$13,1,MOD(85-1,12)+1)</f>
        <v/>
      </c>
      <c r="CM19" s="34">
        <f>($B19/12)*(1+INDEX($C19:$E19,1,Control!$B$10))^CM5*INDEX($B$13:$M$13,1,MOD(86-1,12)+1)</f>
        <v/>
      </c>
      <c r="CN19" s="34">
        <f>($B19/12)*(1+INDEX($C19:$E19,1,Control!$B$10))^CN5*INDEX($B$13:$M$13,1,MOD(87-1,12)+1)</f>
        <v/>
      </c>
      <c r="CO19" s="34">
        <f>($B19/12)*(1+INDEX($C19:$E19,1,Control!$B$10))^CO5*INDEX($B$13:$M$13,1,MOD(88-1,12)+1)</f>
        <v/>
      </c>
      <c r="CP19" s="34">
        <f>($B19/12)*(1+INDEX($C19:$E19,1,Control!$B$10))^CP5*INDEX($B$13:$M$13,1,MOD(89-1,12)+1)</f>
        <v/>
      </c>
      <c r="CQ19" s="34">
        <f>($B19/12)*(1+INDEX($C19:$E19,1,Control!$B$10))^CQ5*INDEX($B$13:$M$13,1,MOD(90-1,12)+1)</f>
        <v/>
      </c>
      <c r="CR19" s="34">
        <f>($B19/12)*(1+INDEX($C19:$E19,1,Control!$B$10))^CR5*INDEX($B$13:$M$13,1,MOD(91-1,12)+1)</f>
        <v/>
      </c>
      <c r="CS19" s="34">
        <f>($B19/12)*(1+INDEX($C19:$E19,1,Control!$B$10))^CS5*INDEX($B$13:$M$13,1,MOD(92-1,12)+1)</f>
        <v/>
      </c>
      <c r="CT19" s="34">
        <f>($B19/12)*(1+INDEX($C19:$E19,1,Control!$B$10))^CT5*INDEX($B$13:$M$13,1,MOD(93-1,12)+1)</f>
        <v/>
      </c>
      <c r="CU19" s="34">
        <f>($B19/12)*(1+INDEX($C19:$E19,1,Control!$B$10))^CU5*INDEX($B$13:$M$13,1,MOD(94-1,12)+1)</f>
        <v/>
      </c>
      <c r="CV19" s="34">
        <f>($B19/12)*(1+INDEX($C19:$E19,1,Control!$B$10))^CV5*INDEX($B$13:$M$13,1,MOD(95-1,12)+1)</f>
        <v/>
      </c>
      <c r="CW19" s="34">
        <f>($B19/12)*(1+INDEX($C19:$E19,1,Control!$B$10))^CW5*INDEX($B$13:$M$13,1,MOD(96-1,12)+1)</f>
        <v/>
      </c>
      <c r="CX19" s="34">
        <f>($B19/12)*(1+INDEX($C19:$E19,1,Control!$B$10))^CX5*INDEX($B$13:$M$13,1,MOD(97-1,12)+1)</f>
        <v/>
      </c>
      <c r="CY19" s="34">
        <f>($B19/12)*(1+INDEX($C19:$E19,1,Control!$B$10))^CY5*INDEX($B$13:$M$13,1,MOD(98-1,12)+1)</f>
        <v/>
      </c>
      <c r="CZ19" s="34">
        <f>($B19/12)*(1+INDEX($C19:$E19,1,Control!$B$10))^CZ5*INDEX($B$13:$M$13,1,MOD(99-1,12)+1)</f>
        <v/>
      </c>
      <c r="DA19" s="34">
        <f>($B19/12)*(1+INDEX($C19:$E19,1,Control!$B$10))^DA5*INDEX($B$13:$M$13,1,MOD(100-1,12)+1)</f>
        <v/>
      </c>
      <c r="DB19" s="34">
        <f>($B19/12)*(1+INDEX($C19:$E19,1,Control!$B$10))^DB5*INDEX($B$13:$M$13,1,MOD(101-1,12)+1)</f>
        <v/>
      </c>
      <c r="DC19" s="34">
        <f>($B19/12)*(1+INDEX($C19:$E19,1,Control!$B$10))^DC5*INDEX($B$13:$M$13,1,MOD(102-1,12)+1)</f>
        <v/>
      </c>
      <c r="DD19" s="34">
        <f>($B19/12)*(1+INDEX($C19:$E19,1,Control!$B$10))^DD5*INDEX($B$13:$M$13,1,MOD(103-1,12)+1)</f>
        <v/>
      </c>
      <c r="DE19" s="34">
        <f>($B19/12)*(1+INDEX($C19:$E19,1,Control!$B$10))^DE5*INDEX($B$13:$M$13,1,MOD(104-1,12)+1)</f>
        <v/>
      </c>
      <c r="DF19" s="34">
        <f>($B19/12)*(1+INDEX($C19:$E19,1,Control!$B$10))^DF5*INDEX($B$13:$M$13,1,MOD(105-1,12)+1)</f>
        <v/>
      </c>
      <c r="DG19" s="34">
        <f>($B19/12)*(1+INDEX($C19:$E19,1,Control!$B$10))^DG5*INDEX($B$13:$M$13,1,MOD(106-1,12)+1)</f>
        <v/>
      </c>
      <c r="DH19" s="34">
        <f>($B19/12)*(1+INDEX($C19:$E19,1,Control!$B$10))^DH5*INDEX($B$13:$M$13,1,MOD(107-1,12)+1)</f>
        <v/>
      </c>
      <c r="DI19" s="34">
        <f>($B19/12)*(1+INDEX($C19:$E19,1,Control!$B$10))^DI5*INDEX($B$13:$M$13,1,MOD(108-1,12)+1)</f>
        <v/>
      </c>
      <c r="DJ19" s="34">
        <f>($B19/12)*(1+INDEX($C19:$E19,1,Control!$B$10))^DJ5*INDEX($B$13:$M$13,1,MOD(109-1,12)+1)</f>
        <v/>
      </c>
      <c r="DK19" s="34">
        <f>($B19/12)*(1+INDEX($C19:$E19,1,Control!$B$10))^DK5*INDEX($B$13:$M$13,1,MOD(110-1,12)+1)</f>
        <v/>
      </c>
      <c r="DL19" s="34">
        <f>($B19/12)*(1+INDEX($C19:$E19,1,Control!$B$10))^DL5*INDEX($B$13:$M$13,1,MOD(111-1,12)+1)</f>
        <v/>
      </c>
      <c r="DM19" s="34">
        <f>($B19/12)*(1+INDEX($C19:$E19,1,Control!$B$10))^DM5*INDEX($B$13:$M$13,1,MOD(112-1,12)+1)</f>
        <v/>
      </c>
      <c r="DN19" s="34">
        <f>($B19/12)*(1+INDEX($C19:$E19,1,Control!$B$10))^DN5*INDEX($B$13:$M$13,1,MOD(113-1,12)+1)</f>
        <v/>
      </c>
      <c r="DO19" s="34">
        <f>($B19/12)*(1+INDEX($C19:$E19,1,Control!$B$10))^DO5*INDEX($B$13:$M$13,1,MOD(114-1,12)+1)</f>
        <v/>
      </c>
      <c r="DP19" s="34">
        <f>($B19/12)*(1+INDEX($C19:$E19,1,Control!$B$10))^DP5*INDEX($B$13:$M$13,1,MOD(115-1,12)+1)</f>
        <v/>
      </c>
      <c r="DQ19" s="34">
        <f>($B19/12)*(1+INDEX($C19:$E19,1,Control!$B$10))^DQ5*INDEX($B$13:$M$13,1,MOD(116-1,12)+1)</f>
        <v/>
      </c>
      <c r="DR19" s="34">
        <f>($B19/12)*(1+INDEX($C19:$E19,1,Control!$B$10))^DR5*INDEX($B$13:$M$13,1,MOD(117-1,12)+1)</f>
        <v/>
      </c>
      <c r="DS19" s="34">
        <f>($B19/12)*(1+INDEX($C19:$E19,1,Control!$B$10))^DS5*INDEX($B$13:$M$13,1,MOD(118-1,12)+1)</f>
        <v/>
      </c>
      <c r="DT19" s="34">
        <f>($B19/12)*(1+INDEX($C19:$E19,1,Control!$B$10))^DT5*INDEX($B$13:$M$13,1,MOD(119-1,12)+1)</f>
        <v/>
      </c>
      <c r="DU19" s="34">
        <f>($B19/12)*(1+INDEX($C19:$E19,1,Control!$B$10))^DU5*INDEX($B$13:$M$13,1,MOD(120-1,12)+1)</f>
        <v/>
      </c>
    </row>
    <row r="20">
      <c r="A20" t="inlineStr">
        <is>
          <t>SkyBrew-Bottles-OffTrade</t>
        </is>
      </c>
      <c r="B20" s="33" t="n">
        <v>80000</v>
      </c>
      <c r="C20" s="22" t="n">
        <v>0.03</v>
      </c>
      <c r="D20" s="22" t="n">
        <v>0.05</v>
      </c>
      <c r="E20" s="22" t="n">
        <v>0.01</v>
      </c>
      <c r="F20" s="34">
        <f>($B20/12)*(1+INDEX($C20:$E20,1,Control!$B$10))^F5*INDEX($B$13:$M$13,1,MOD(1-1,12)+1)</f>
        <v/>
      </c>
      <c r="G20" s="34">
        <f>($B20/12)*(1+INDEX($C20:$E20,1,Control!$B$10))^G5*INDEX($B$13:$M$13,1,MOD(2-1,12)+1)</f>
        <v/>
      </c>
      <c r="H20" s="34">
        <f>($B20/12)*(1+INDEX($C20:$E20,1,Control!$B$10))^H5*INDEX($B$13:$M$13,1,MOD(3-1,12)+1)</f>
        <v/>
      </c>
      <c r="I20" s="34">
        <f>($B20/12)*(1+INDEX($C20:$E20,1,Control!$B$10))^I5*INDEX($B$13:$M$13,1,MOD(4-1,12)+1)</f>
        <v/>
      </c>
      <c r="J20" s="34">
        <f>($B20/12)*(1+INDEX($C20:$E20,1,Control!$B$10))^J5*INDEX($B$13:$M$13,1,MOD(5-1,12)+1)</f>
        <v/>
      </c>
      <c r="K20" s="34">
        <f>($B20/12)*(1+INDEX($C20:$E20,1,Control!$B$10))^K5*INDEX($B$13:$M$13,1,MOD(6-1,12)+1)</f>
        <v/>
      </c>
      <c r="L20" s="34">
        <f>($B20/12)*(1+INDEX($C20:$E20,1,Control!$B$10))^L5*INDEX($B$13:$M$13,1,MOD(7-1,12)+1)</f>
        <v/>
      </c>
      <c r="M20" s="34">
        <f>($B20/12)*(1+INDEX($C20:$E20,1,Control!$B$10))^M5*INDEX($B$13:$M$13,1,MOD(8-1,12)+1)</f>
        <v/>
      </c>
      <c r="N20" s="34">
        <f>($B20/12)*(1+INDEX($C20:$E20,1,Control!$B$10))^N5*INDEX($B$13:$M$13,1,MOD(9-1,12)+1)</f>
        <v/>
      </c>
      <c r="O20" s="34">
        <f>($B20/12)*(1+INDEX($C20:$E20,1,Control!$B$10))^O5*INDEX($B$13:$M$13,1,MOD(10-1,12)+1)</f>
        <v/>
      </c>
      <c r="P20" s="34">
        <f>($B20/12)*(1+INDEX($C20:$E20,1,Control!$B$10))^P5*INDEX($B$13:$M$13,1,MOD(11-1,12)+1)</f>
        <v/>
      </c>
      <c r="Q20" s="34">
        <f>($B20/12)*(1+INDEX($C20:$E20,1,Control!$B$10))^Q5*INDEX($B$13:$M$13,1,MOD(12-1,12)+1)</f>
        <v/>
      </c>
      <c r="R20" s="34">
        <f>($B20/12)*(1+INDEX($C20:$E20,1,Control!$B$10))^R5*INDEX($B$13:$M$13,1,MOD(13-1,12)+1)</f>
        <v/>
      </c>
      <c r="S20" s="34">
        <f>($B20/12)*(1+INDEX($C20:$E20,1,Control!$B$10))^S5*INDEX($B$13:$M$13,1,MOD(14-1,12)+1)</f>
        <v/>
      </c>
      <c r="T20" s="34">
        <f>($B20/12)*(1+INDEX($C20:$E20,1,Control!$B$10))^T5*INDEX($B$13:$M$13,1,MOD(15-1,12)+1)</f>
        <v/>
      </c>
      <c r="U20" s="34">
        <f>($B20/12)*(1+INDEX($C20:$E20,1,Control!$B$10))^U5*INDEX($B$13:$M$13,1,MOD(16-1,12)+1)</f>
        <v/>
      </c>
      <c r="V20" s="34">
        <f>($B20/12)*(1+INDEX($C20:$E20,1,Control!$B$10))^V5*INDEX($B$13:$M$13,1,MOD(17-1,12)+1)</f>
        <v/>
      </c>
      <c r="W20" s="34">
        <f>($B20/12)*(1+INDEX($C20:$E20,1,Control!$B$10))^W5*INDEX($B$13:$M$13,1,MOD(18-1,12)+1)</f>
        <v/>
      </c>
      <c r="X20" s="34">
        <f>($B20/12)*(1+INDEX($C20:$E20,1,Control!$B$10))^X5*INDEX($B$13:$M$13,1,MOD(19-1,12)+1)</f>
        <v/>
      </c>
      <c r="Y20" s="34">
        <f>($B20/12)*(1+INDEX($C20:$E20,1,Control!$B$10))^Y5*INDEX($B$13:$M$13,1,MOD(20-1,12)+1)</f>
        <v/>
      </c>
      <c r="Z20" s="34">
        <f>($B20/12)*(1+INDEX($C20:$E20,1,Control!$B$10))^Z5*INDEX($B$13:$M$13,1,MOD(21-1,12)+1)</f>
        <v/>
      </c>
      <c r="AA20" s="34">
        <f>($B20/12)*(1+INDEX($C20:$E20,1,Control!$B$10))^AA5*INDEX($B$13:$M$13,1,MOD(22-1,12)+1)</f>
        <v/>
      </c>
      <c r="AB20" s="34">
        <f>($B20/12)*(1+INDEX($C20:$E20,1,Control!$B$10))^AB5*INDEX($B$13:$M$13,1,MOD(23-1,12)+1)</f>
        <v/>
      </c>
      <c r="AC20" s="34">
        <f>($B20/12)*(1+INDEX($C20:$E20,1,Control!$B$10))^AC5*INDEX($B$13:$M$13,1,MOD(24-1,12)+1)</f>
        <v/>
      </c>
      <c r="AD20" s="34">
        <f>($B20/12)*(1+INDEX($C20:$E20,1,Control!$B$10))^AD5*INDEX($B$13:$M$13,1,MOD(25-1,12)+1)</f>
        <v/>
      </c>
      <c r="AE20" s="34">
        <f>($B20/12)*(1+INDEX($C20:$E20,1,Control!$B$10))^AE5*INDEX($B$13:$M$13,1,MOD(26-1,12)+1)</f>
        <v/>
      </c>
      <c r="AF20" s="34">
        <f>($B20/12)*(1+INDEX($C20:$E20,1,Control!$B$10))^AF5*INDEX($B$13:$M$13,1,MOD(27-1,12)+1)</f>
        <v/>
      </c>
      <c r="AG20" s="34">
        <f>($B20/12)*(1+INDEX($C20:$E20,1,Control!$B$10))^AG5*INDEX($B$13:$M$13,1,MOD(28-1,12)+1)</f>
        <v/>
      </c>
      <c r="AH20" s="34">
        <f>($B20/12)*(1+INDEX($C20:$E20,1,Control!$B$10))^AH5*INDEX($B$13:$M$13,1,MOD(29-1,12)+1)</f>
        <v/>
      </c>
      <c r="AI20" s="34">
        <f>($B20/12)*(1+INDEX($C20:$E20,1,Control!$B$10))^AI5*INDEX($B$13:$M$13,1,MOD(30-1,12)+1)</f>
        <v/>
      </c>
      <c r="AJ20" s="34">
        <f>($B20/12)*(1+INDEX($C20:$E20,1,Control!$B$10))^AJ5*INDEX($B$13:$M$13,1,MOD(31-1,12)+1)</f>
        <v/>
      </c>
      <c r="AK20" s="34">
        <f>($B20/12)*(1+INDEX($C20:$E20,1,Control!$B$10))^AK5*INDEX($B$13:$M$13,1,MOD(32-1,12)+1)</f>
        <v/>
      </c>
      <c r="AL20" s="34">
        <f>($B20/12)*(1+INDEX($C20:$E20,1,Control!$B$10))^AL5*INDEX($B$13:$M$13,1,MOD(33-1,12)+1)</f>
        <v/>
      </c>
      <c r="AM20" s="34">
        <f>($B20/12)*(1+INDEX($C20:$E20,1,Control!$B$10))^AM5*INDEX($B$13:$M$13,1,MOD(34-1,12)+1)</f>
        <v/>
      </c>
      <c r="AN20" s="34">
        <f>($B20/12)*(1+INDEX($C20:$E20,1,Control!$B$10))^AN5*INDEX($B$13:$M$13,1,MOD(35-1,12)+1)</f>
        <v/>
      </c>
      <c r="AO20" s="34">
        <f>($B20/12)*(1+INDEX($C20:$E20,1,Control!$B$10))^AO5*INDEX($B$13:$M$13,1,MOD(36-1,12)+1)</f>
        <v/>
      </c>
      <c r="AP20" s="34">
        <f>($B20/12)*(1+INDEX($C20:$E20,1,Control!$B$10))^AP5*INDEX($B$13:$M$13,1,MOD(37-1,12)+1)</f>
        <v/>
      </c>
      <c r="AQ20" s="34">
        <f>($B20/12)*(1+INDEX($C20:$E20,1,Control!$B$10))^AQ5*INDEX($B$13:$M$13,1,MOD(38-1,12)+1)</f>
        <v/>
      </c>
      <c r="AR20" s="34">
        <f>($B20/12)*(1+INDEX($C20:$E20,1,Control!$B$10))^AR5*INDEX($B$13:$M$13,1,MOD(39-1,12)+1)</f>
        <v/>
      </c>
      <c r="AS20" s="34">
        <f>($B20/12)*(1+INDEX($C20:$E20,1,Control!$B$10))^AS5*INDEX($B$13:$M$13,1,MOD(40-1,12)+1)</f>
        <v/>
      </c>
      <c r="AT20" s="34">
        <f>($B20/12)*(1+INDEX($C20:$E20,1,Control!$B$10))^AT5*INDEX($B$13:$M$13,1,MOD(41-1,12)+1)</f>
        <v/>
      </c>
      <c r="AU20" s="34">
        <f>($B20/12)*(1+INDEX($C20:$E20,1,Control!$B$10))^AU5*INDEX($B$13:$M$13,1,MOD(42-1,12)+1)</f>
        <v/>
      </c>
      <c r="AV20" s="34">
        <f>($B20/12)*(1+INDEX($C20:$E20,1,Control!$B$10))^AV5*INDEX($B$13:$M$13,1,MOD(43-1,12)+1)</f>
        <v/>
      </c>
      <c r="AW20" s="34">
        <f>($B20/12)*(1+INDEX($C20:$E20,1,Control!$B$10))^AW5*INDEX($B$13:$M$13,1,MOD(44-1,12)+1)</f>
        <v/>
      </c>
      <c r="AX20" s="34">
        <f>($B20/12)*(1+INDEX($C20:$E20,1,Control!$B$10))^AX5*INDEX($B$13:$M$13,1,MOD(45-1,12)+1)</f>
        <v/>
      </c>
      <c r="AY20" s="34">
        <f>($B20/12)*(1+INDEX($C20:$E20,1,Control!$B$10))^AY5*INDEX($B$13:$M$13,1,MOD(46-1,12)+1)</f>
        <v/>
      </c>
      <c r="AZ20" s="34">
        <f>($B20/12)*(1+INDEX($C20:$E20,1,Control!$B$10))^AZ5*INDEX($B$13:$M$13,1,MOD(47-1,12)+1)</f>
        <v/>
      </c>
      <c r="BA20" s="34">
        <f>($B20/12)*(1+INDEX($C20:$E20,1,Control!$B$10))^BA5*INDEX($B$13:$M$13,1,MOD(48-1,12)+1)</f>
        <v/>
      </c>
      <c r="BB20" s="34">
        <f>($B20/12)*(1+INDEX($C20:$E20,1,Control!$B$10))^BB5*INDEX($B$13:$M$13,1,MOD(49-1,12)+1)</f>
        <v/>
      </c>
      <c r="BC20" s="34">
        <f>($B20/12)*(1+INDEX($C20:$E20,1,Control!$B$10))^BC5*INDEX($B$13:$M$13,1,MOD(50-1,12)+1)</f>
        <v/>
      </c>
      <c r="BD20" s="34">
        <f>($B20/12)*(1+INDEX($C20:$E20,1,Control!$B$10))^BD5*INDEX($B$13:$M$13,1,MOD(51-1,12)+1)</f>
        <v/>
      </c>
      <c r="BE20" s="34">
        <f>($B20/12)*(1+INDEX($C20:$E20,1,Control!$B$10))^BE5*INDEX($B$13:$M$13,1,MOD(52-1,12)+1)</f>
        <v/>
      </c>
      <c r="BF20" s="34">
        <f>($B20/12)*(1+INDEX($C20:$E20,1,Control!$B$10))^BF5*INDEX($B$13:$M$13,1,MOD(53-1,12)+1)</f>
        <v/>
      </c>
      <c r="BG20" s="34">
        <f>($B20/12)*(1+INDEX($C20:$E20,1,Control!$B$10))^BG5*INDEX($B$13:$M$13,1,MOD(54-1,12)+1)</f>
        <v/>
      </c>
      <c r="BH20" s="34">
        <f>($B20/12)*(1+INDEX($C20:$E20,1,Control!$B$10))^BH5*INDEX($B$13:$M$13,1,MOD(55-1,12)+1)</f>
        <v/>
      </c>
      <c r="BI20" s="34">
        <f>($B20/12)*(1+INDEX($C20:$E20,1,Control!$B$10))^BI5*INDEX($B$13:$M$13,1,MOD(56-1,12)+1)</f>
        <v/>
      </c>
      <c r="BJ20" s="34">
        <f>($B20/12)*(1+INDEX($C20:$E20,1,Control!$B$10))^BJ5*INDEX($B$13:$M$13,1,MOD(57-1,12)+1)</f>
        <v/>
      </c>
      <c r="BK20" s="34">
        <f>($B20/12)*(1+INDEX($C20:$E20,1,Control!$B$10))^BK5*INDEX($B$13:$M$13,1,MOD(58-1,12)+1)</f>
        <v/>
      </c>
      <c r="BL20" s="34">
        <f>($B20/12)*(1+INDEX($C20:$E20,1,Control!$B$10))^BL5*INDEX($B$13:$M$13,1,MOD(59-1,12)+1)</f>
        <v/>
      </c>
      <c r="BM20" s="34">
        <f>($B20/12)*(1+INDEX($C20:$E20,1,Control!$B$10))^BM5*INDEX($B$13:$M$13,1,MOD(60-1,12)+1)</f>
        <v/>
      </c>
      <c r="BN20" s="34">
        <f>($B20/12)*(1+INDEX($C20:$E20,1,Control!$B$10))^BN5*INDEX($B$13:$M$13,1,MOD(61-1,12)+1)</f>
        <v/>
      </c>
      <c r="BO20" s="34">
        <f>($B20/12)*(1+INDEX($C20:$E20,1,Control!$B$10))^BO5*INDEX($B$13:$M$13,1,MOD(62-1,12)+1)</f>
        <v/>
      </c>
      <c r="BP20" s="34">
        <f>($B20/12)*(1+INDEX($C20:$E20,1,Control!$B$10))^BP5*INDEX($B$13:$M$13,1,MOD(63-1,12)+1)</f>
        <v/>
      </c>
      <c r="BQ20" s="34">
        <f>($B20/12)*(1+INDEX($C20:$E20,1,Control!$B$10))^BQ5*INDEX($B$13:$M$13,1,MOD(64-1,12)+1)</f>
        <v/>
      </c>
      <c r="BR20" s="34">
        <f>($B20/12)*(1+INDEX($C20:$E20,1,Control!$B$10))^BR5*INDEX($B$13:$M$13,1,MOD(65-1,12)+1)</f>
        <v/>
      </c>
      <c r="BS20" s="34">
        <f>($B20/12)*(1+INDEX($C20:$E20,1,Control!$B$10))^BS5*INDEX($B$13:$M$13,1,MOD(66-1,12)+1)</f>
        <v/>
      </c>
      <c r="BT20" s="34">
        <f>($B20/12)*(1+INDEX($C20:$E20,1,Control!$B$10))^BT5*INDEX($B$13:$M$13,1,MOD(67-1,12)+1)</f>
        <v/>
      </c>
      <c r="BU20" s="34">
        <f>($B20/12)*(1+INDEX($C20:$E20,1,Control!$B$10))^BU5*INDEX($B$13:$M$13,1,MOD(68-1,12)+1)</f>
        <v/>
      </c>
      <c r="BV20" s="34">
        <f>($B20/12)*(1+INDEX($C20:$E20,1,Control!$B$10))^BV5*INDEX($B$13:$M$13,1,MOD(69-1,12)+1)</f>
        <v/>
      </c>
      <c r="BW20" s="34">
        <f>($B20/12)*(1+INDEX($C20:$E20,1,Control!$B$10))^BW5*INDEX($B$13:$M$13,1,MOD(70-1,12)+1)</f>
        <v/>
      </c>
      <c r="BX20" s="34">
        <f>($B20/12)*(1+INDEX($C20:$E20,1,Control!$B$10))^BX5*INDEX($B$13:$M$13,1,MOD(71-1,12)+1)</f>
        <v/>
      </c>
      <c r="BY20" s="34">
        <f>($B20/12)*(1+INDEX($C20:$E20,1,Control!$B$10))^BY5*INDEX($B$13:$M$13,1,MOD(72-1,12)+1)</f>
        <v/>
      </c>
      <c r="BZ20" s="34">
        <f>($B20/12)*(1+INDEX($C20:$E20,1,Control!$B$10))^BZ5*INDEX($B$13:$M$13,1,MOD(73-1,12)+1)</f>
        <v/>
      </c>
      <c r="CA20" s="34">
        <f>($B20/12)*(1+INDEX($C20:$E20,1,Control!$B$10))^CA5*INDEX($B$13:$M$13,1,MOD(74-1,12)+1)</f>
        <v/>
      </c>
      <c r="CB20" s="34">
        <f>($B20/12)*(1+INDEX($C20:$E20,1,Control!$B$10))^CB5*INDEX($B$13:$M$13,1,MOD(75-1,12)+1)</f>
        <v/>
      </c>
      <c r="CC20" s="34">
        <f>($B20/12)*(1+INDEX($C20:$E20,1,Control!$B$10))^CC5*INDEX($B$13:$M$13,1,MOD(76-1,12)+1)</f>
        <v/>
      </c>
      <c r="CD20" s="34">
        <f>($B20/12)*(1+INDEX($C20:$E20,1,Control!$B$10))^CD5*INDEX($B$13:$M$13,1,MOD(77-1,12)+1)</f>
        <v/>
      </c>
      <c r="CE20" s="34">
        <f>($B20/12)*(1+INDEX($C20:$E20,1,Control!$B$10))^CE5*INDEX($B$13:$M$13,1,MOD(78-1,12)+1)</f>
        <v/>
      </c>
      <c r="CF20" s="34">
        <f>($B20/12)*(1+INDEX($C20:$E20,1,Control!$B$10))^CF5*INDEX($B$13:$M$13,1,MOD(79-1,12)+1)</f>
        <v/>
      </c>
      <c r="CG20" s="34">
        <f>($B20/12)*(1+INDEX($C20:$E20,1,Control!$B$10))^CG5*INDEX($B$13:$M$13,1,MOD(80-1,12)+1)</f>
        <v/>
      </c>
      <c r="CH20" s="34">
        <f>($B20/12)*(1+INDEX($C20:$E20,1,Control!$B$10))^CH5*INDEX($B$13:$M$13,1,MOD(81-1,12)+1)</f>
        <v/>
      </c>
      <c r="CI20" s="34">
        <f>($B20/12)*(1+INDEX($C20:$E20,1,Control!$B$10))^CI5*INDEX($B$13:$M$13,1,MOD(82-1,12)+1)</f>
        <v/>
      </c>
      <c r="CJ20" s="34">
        <f>($B20/12)*(1+INDEX($C20:$E20,1,Control!$B$10))^CJ5*INDEX($B$13:$M$13,1,MOD(83-1,12)+1)</f>
        <v/>
      </c>
      <c r="CK20" s="34">
        <f>($B20/12)*(1+INDEX($C20:$E20,1,Control!$B$10))^CK5*INDEX($B$13:$M$13,1,MOD(84-1,12)+1)</f>
        <v/>
      </c>
      <c r="CL20" s="34">
        <f>($B20/12)*(1+INDEX($C20:$E20,1,Control!$B$10))^CL5*INDEX($B$13:$M$13,1,MOD(85-1,12)+1)</f>
        <v/>
      </c>
      <c r="CM20" s="34">
        <f>($B20/12)*(1+INDEX($C20:$E20,1,Control!$B$10))^CM5*INDEX($B$13:$M$13,1,MOD(86-1,12)+1)</f>
        <v/>
      </c>
      <c r="CN20" s="34">
        <f>($B20/12)*(1+INDEX($C20:$E20,1,Control!$B$10))^CN5*INDEX($B$13:$M$13,1,MOD(87-1,12)+1)</f>
        <v/>
      </c>
      <c r="CO20" s="34">
        <f>($B20/12)*(1+INDEX($C20:$E20,1,Control!$B$10))^CO5*INDEX($B$13:$M$13,1,MOD(88-1,12)+1)</f>
        <v/>
      </c>
      <c r="CP20" s="34">
        <f>($B20/12)*(1+INDEX($C20:$E20,1,Control!$B$10))^CP5*INDEX($B$13:$M$13,1,MOD(89-1,12)+1)</f>
        <v/>
      </c>
      <c r="CQ20" s="34">
        <f>($B20/12)*(1+INDEX($C20:$E20,1,Control!$B$10))^CQ5*INDEX($B$13:$M$13,1,MOD(90-1,12)+1)</f>
        <v/>
      </c>
      <c r="CR20" s="34">
        <f>($B20/12)*(1+INDEX($C20:$E20,1,Control!$B$10))^CR5*INDEX($B$13:$M$13,1,MOD(91-1,12)+1)</f>
        <v/>
      </c>
      <c r="CS20" s="34">
        <f>($B20/12)*(1+INDEX($C20:$E20,1,Control!$B$10))^CS5*INDEX($B$13:$M$13,1,MOD(92-1,12)+1)</f>
        <v/>
      </c>
      <c r="CT20" s="34">
        <f>($B20/12)*(1+INDEX($C20:$E20,1,Control!$B$10))^CT5*INDEX($B$13:$M$13,1,MOD(93-1,12)+1)</f>
        <v/>
      </c>
      <c r="CU20" s="34">
        <f>($B20/12)*(1+INDEX($C20:$E20,1,Control!$B$10))^CU5*INDEX($B$13:$M$13,1,MOD(94-1,12)+1)</f>
        <v/>
      </c>
      <c r="CV20" s="34">
        <f>($B20/12)*(1+INDEX($C20:$E20,1,Control!$B$10))^CV5*INDEX($B$13:$M$13,1,MOD(95-1,12)+1)</f>
        <v/>
      </c>
      <c r="CW20" s="34">
        <f>($B20/12)*(1+INDEX($C20:$E20,1,Control!$B$10))^CW5*INDEX($B$13:$M$13,1,MOD(96-1,12)+1)</f>
        <v/>
      </c>
      <c r="CX20" s="34">
        <f>($B20/12)*(1+INDEX($C20:$E20,1,Control!$B$10))^CX5*INDEX($B$13:$M$13,1,MOD(97-1,12)+1)</f>
        <v/>
      </c>
      <c r="CY20" s="34">
        <f>($B20/12)*(1+INDEX($C20:$E20,1,Control!$B$10))^CY5*INDEX($B$13:$M$13,1,MOD(98-1,12)+1)</f>
        <v/>
      </c>
      <c r="CZ20" s="34">
        <f>($B20/12)*(1+INDEX($C20:$E20,1,Control!$B$10))^CZ5*INDEX($B$13:$M$13,1,MOD(99-1,12)+1)</f>
        <v/>
      </c>
      <c r="DA20" s="34">
        <f>($B20/12)*(1+INDEX($C20:$E20,1,Control!$B$10))^DA5*INDEX($B$13:$M$13,1,MOD(100-1,12)+1)</f>
        <v/>
      </c>
      <c r="DB20" s="34">
        <f>($B20/12)*(1+INDEX($C20:$E20,1,Control!$B$10))^DB5*INDEX($B$13:$M$13,1,MOD(101-1,12)+1)</f>
        <v/>
      </c>
      <c r="DC20" s="34">
        <f>($B20/12)*(1+INDEX($C20:$E20,1,Control!$B$10))^DC5*INDEX($B$13:$M$13,1,MOD(102-1,12)+1)</f>
        <v/>
      </c>
      <c r="DD20" s="34">
        <f>($B20/12)*(1+INDEX($C20:$E20,1,Control!$B$10))^DD5*INDEX($B$13:$M$13,1,MOD(103-1,12)+1)</f>
        <v/>
      </c>
      <c r="DE20" s="34">
        <f>($B20/12)*(1+INDEX($C20:$E20,1,Control!$B$10))^DE5*INDEX($B$13:$M$13,1,MOD(104-1,12)+1)</f>
        <v/>
      </c>
      <c r="DF20" s="34">
        <f>($B20/12)*(1+INDEX($C20:$E20,1,Control!$B$10))^DF5*INDEX($B$13:$M$13,1,MOD(105-1,12)+1)</f>
        <v/>
      </c>
      <c r="DG20" s="34">
        <f>($B20/12)*(1+INDEX($C20:$E20,1,Control!$B$10))^DG5*INDEX($B$13:$M$13,1,MOD(106-1,12)+1)</f>
        <v/>
      </c>
      <c r="DH20" s="34">
        <f>($B20/12)*(1+INDEX($C20:$E20,1,Control!$B$10))^DH5*INDEX($B$13:$M$13,1,MOD(107-1,12)+1)</f>
        <v/>
      </c>
      <c r="DI20" s="34">
        <f>($B20/12)*(1+INDEX($C20:$E20,1,Control!$B$10))^DI5*INDEX($B$13:$M$13,1,MOD(108-1,12)+1)</f>
        <v/>
      </c>
      <c r="DJ20" s="34">
        <f>($B20/12)*(1+INDEX($C20:$E20,1,Control!$B$10))^DJ5*INDEX($B$13:$M$13,1,MOD(109-1,12)+1)</f>
        <v/>
      </c>
      <c r="DK20" s="34">
        <f>($B20/12)*(1+INDEX($C20:$E20,1,Control!$B$10))^DK5*INDEX($B$13:$M$13,1,MOD(110-1,12)+1)</f>
        <v/>
      </c>
      <c r="DL20" s="34">
        <f>($B20/12)*(1+INDEX($C20:$E20,1,Control!$B$10))^DL5*INDEX($B$13:$M$13,1,MOD(111-1,12)+1)</f>
        <v/>
      </c>
      <c r="DM20" s="34">
        <f>($B20/12)*(1+INDEX($C20:$E20,1,Control!$B$10))^DM5*INDEX($B$13:$M$13,1,MOD(112-1,12)+1)</f>
        <v/>
      </c>
      <c r="DN20" s="34">
        <f>($B20/12)*(1+INDEX($C20:$E20,1,Control!$B$10))^DN5*INDEX($B$13:$M$13,1,MOD(113-1,12)+1)</f>
        <v/>
      </c>
      <c r="DO20" s="34">
        <f>($B20/12)*(1+INDEX($C20:$E20,1,Control!$B$10))^DO5*INDEX($B$13:$M$13,1,MOD(114-1,12)+1)</f>
        <v/>
      </c>
      <c r="DP20" s="34">
        <f>($B20/12)*(1+INDEX($C20:$E20,1,Control!$B$10))^DP5*INDEX($B$13:$M$13,1,MOD(115-1,12)+1)</f>
        <v/>
      </c>
      <c r="DQ20" s="34">
        <f>($B20/12)*(1+INDEX($C20:$E20,1,Control!$B$10))^DQ5*INDEX($B$13:$M$13,1,MOD(116-1,12)+1)</f>
        <v/>
      </c>
      <c r="DR20" s="34">
        <f>($B20/12)*(1+INDEX($C20:$E20,1,Control!$B$10))^DR5*INDEX($B$13:$M$13,1,MOD(117-1,12)+1)</f>
        <v/>
      </c>
      <c r="DS20" s="34">
        <f>($B20/12)*(1+INDEX($C20:$E20,1,Control!$B$10))^DS5*INDEX($B$13:$M$13,1,MOD(118-1,12)+1)</f>
        <v/>
      </c>
      <c r="DT20" s="34">
        <f>($B20/12)*(1+INDEX($C20:$E20,1,Control!$B$10))^DT5*INDEX($B$13:$M$13,1,MOD(119-1,12)+1)</f>
        <v/>
      </c>
      <c r="DU20" s="34">
        <f>($B20/12)*(1+INDEX($C20:$E20,1,Control!$B$10))^DU5*INDEX($B$13:$M$13,1,MOD(120-1,12)+1)</f>
        <v/>
      </c>
    </row>
    <row r="21">
      <c r="A21" t="inlineStr">
        <is>
          <t>SkyBrew-Cans-OnTrade</t>
        </is>
      </c>
      <c r="B21" s="33" t="n">
        <v>20000</v>
      </c>
      <c r="C21" s="22" t="n">
        <v>0.03</v>
      </c>
      <c r="D21" s="22" t="n">
        <v>0.05</v>
      </c>
      <c r="E21" s="22" t="n">
        <v>0.01</v>
      </c>
      <c r="F21" s="34">
        <f>($B21/12)*(1+INDEX($C21:$E21,1,Control!$B$10))^F5*INDEX($B$13:$M$13,1,MOD(1-1,12)+1)</f>
        <v/>
      </c>
      <c r="G21" s="34">
        <f>($B21/12)*(1+INDEX($C21:$E21,1,Control!$B$10))^G5*INDEX($B$13:$M$13,1,MOD(2-1,12)+1)</f>
        <v/>
      </c>
      <c r="H21" s="34">
        <f>($B21/12)*(1+INDEX($C21:$E21,1,Control!$B$10))^H5*INDEX($B$13:$M$13,1,MOD(3-1,12)+1)</f>
        <v/>
      </c>
      <c r="I21" s="34">
        <f>($B21/12)*(1+INDEX($C21:$E21,1,Control!$B$10))^I5*INDEX($B$13:$M$13,1,MOD(4-1,12)+1)</f>
        <v/>
      </c>
      <c r="J21" s="34">
        <f>($B21/12)*(1+INDEX($C21:$E21,1,Control!$B$10))^J5*INDEX($B$13:$M$13,1,MOD(5-1,12)+1)</f>
        <v/>
      </c>
      <c r="K21" s="34">
        <f>($B21/12)*(1+INDEX($C21:$E21,1,Control!$B$10))^K5*INDEX($B$13:$M$13,1,MOD(6-1,12)+1)</f>
        <v/>
      </c>
      <c r="L21" s="34">
        <f>($B21/12)*(1+INDEX($C21:$E21,1,Control!$B$10))^L5*INDEX($B$13:$M$13,1,MOD(7-1,12)+1)</f>
        <v/>
      </c>
      <c r="M21" s="34">
        <f>($B21/12)*(1+INDEX($C21:$E21,1,Control!$B$10))^M5*INDEX($B$13:$M$13,1,MOD(8-1,12)+1)</f>
        <v/>
      </c>
      <c r="N21" s="34">
        <f>($B21/12)*(1+INDEX($C21:$E21,1,Control!$B$10))^N5*INDEX($B$13:$M$13,1,MOD(9-1,12)+1)</f>
        <v/>
      </c>
      <c r="O21" s="34">
        <f>($B21/12)*(1+INDEX($C21:$E21,1,Control!$B$10))^O5*INDEX($B$13:$M$13,1,MOD(10-1,12)+1)</f>
        <v/>
      </c>
      <c r="P21" s="34">
        <f>($B21/12)*(1+INDEX($C21:$E21,1,Control!$B$10))^P5*INDEX($B$13:$M$13,1,MOD(11-1,12)+1)</f>
        <v/>
      </c>
      <c r="Q21" s="34">
        <f>($B21/12)*(1+INDEX($C21:$E21,1,Control!$B$10))^Q5*INDEX($B$13:$M$13,1,MOD(12-1,12)+1)</f>
        <v/>
      </c>
      <c r="R21" s="34">
        <f>($B21/12)*(1+INDEX($C21:$E21,1,Control!$B$10))^R5*INDEX($B$13:$M$13,1,MOD(13-1,12)+1)</f>
        <v/>
      </c>
      <c r="S21" s="34">
        <f>($B21/12)*(1+INDEX($C21:$E21,1,Control!$B$10))^S5*INDEX($B$13:$M$13,1,MOD(14-1,12)+1)</f>
        <v/>
      </c>
      <c r="T21" s="34">
        <f>($B21/12)*(1+INDEX($C21:$E21,1,Control!$B$10))^T5*INDEX($B$13:$M$13,1,MOD(15-1,12)+1)</f>
        <v/>
      </c>
      <c r="U21" s="34">
        <f>($B21/12)*(1+INDEX($C21:$E21,1,Control!$B$10))^U5*INDEX($B$13:$M$13,1,MOD(16-1,12)+1)</f>
        <v/>
      </c>
      <c r="V21" s="34">
        <f>($B21/12)*(1+INDEX($C21:$E21,1,Control!$B$10))^V5*INDEX($B$13:$M$13,1,MOD(17-1,12)+1)</f>
        <v/>
      </c>
      <c r="W21" s="34">
        <f>($B21/12)*(1+INDEX($C21:$E21,1,Control!$B$10))^W5*INDEX($B$13:$M$13,1,MOD(18-1,12)+1)</f>
        <v/>
      </c>
      <c r="X21" s="34">
        <f>($B21/12)*(1+INDEX($C21:$E21,1,Control!$B$10))^X5*INDEX($B$13:$M$13,1,MOD(19-1,12)+1)</f>
        <v/>
      </c>
      <c r="Y21" s="34">
        <f>($B21/12)*(1+INDEX($C21:$E21,1,Control!$B$10))^Y5*INDEX($B$13:$M$13,1,MOD(20-1,12)+1)</f>
        <v/>
      </c>
      <c r="Z21" s="34">
        <f>($B21/12)*(1+INDEX($C21:$E21,1,Control!$B$10))^Z5*INDEX($B$13:$M$13,1,MOD(21-1,12)+1)</f>
        <v/>
      </c>
      <c r="AA21" s="34">
        <f>($B21/12)*(1+INDEX($C21:$E21,1,Control!$B$10))^AA5*INDEX($B$13:$M$13,1,MOD(22-1,12)+1)</f>
        <v/>
      </c>
      <c r="AB21" s="34">
        <f>($B21/12)*(1+INDEX($C21:$E21,1,Control!$B$10))^AB5*INDEX($B$13:$M$13,1,MOD(23-1,12)+1)</f>
        <v/>
      </c>
      <c r="AC21" s="34">
        <f>($B21/12)*(1+INDEX($C21:$E21,1,Control!$B$10))^AC5*INDEX($B$13:$M$13,1,MOD(24-1,12)+1)</f>
        <v/>
      </c>
      <c r="AD21" s="34">
        <f>($B21/12)*(1+INDEX($C21:$E21,1,Control!$B$10))^AD5*INDEX($B$13:$M$13,1,MOD(25-1,12)+1)</f>
        <v/>
      </c>
      <c r="AE21" s="34">
        <f>($B21/12)*(1+INDEX($C21:$E21,1,Control!$B$10))^AE5*INDEX($B$13:$M$13,1,MOD(26-1,12)+1)</f>
        <v/>
      </c>
      <c r="AF21" s="34">
        <f>($B21/12)*(1+INDEX($C21:$E21,1,Control!$B$10))^AF5*INDEX($B$13:$M$13,1,MOD(27-1,12)+1)</f>
        <v/>
      </c>
      <c r="AG21" s="34">
        <f>($B21/12)*(1+INDEX($C21:$E21,1,Control!$B$10))^AG5*INDEX($B$13:$M$13,1,MOD(28-1,12)+1)</f>
        <v/>
      </c>
      <c r="AH21" s="34">
        <f>($B21/12)*(1+INDEX($C21:$E21,1,Control!$B$10))^AH5*INDEX($B$13:$M$13,1,MOD(29-1,12)+1)</f>
        <v/>
      </c>
      <c r="AI21" s="34">
        <f>($B21/12)*(1+INDEX($C21:$E21,1,Control!$B$10))^AI5*INDEX($B$13:$M$13,1,MOD(30-1,12)+1)</f>
        <v/>
      </c>
      <c r="AJ21" s="34">
        <f>($B21/12)*(1+INDEX($C21:$E21,1,Control!$B$10))^AJ5*INDEX($B$13:$M$13,1,MOD(31-1,12)+1)</f>
        <v/>
      </c>
      <c r="AK21" s="34">
        <f>($B21/12)*(1+INDEX($C21:$E21,1,Control!$B$10))^AK5*INDEX($B$13:$M$13,1,MOD(32-1,12)+1)</f>
        <v/>
      </c>
      <c r="AL21" s="34">
        <f>($B21/12)*(1+INDEX($C21:$E21,1,Control!$B$10))^AL5*INDEX($B$13:$M$13,1,MOD(33-1,12)+1)</f>
        <v/>
      </c>
      <c r="AM21" s="34">
        <f>($B21/12)*(1+INDEX($C21:$E21,1,Control!$B$10))^AM5*INDEX($B$13:$M$13,1,MOD(34-1,12)+1)</f>
        <v/>
      </c>
      <c r="AN21" s="34">
        <f>($B21/12)*(1+INDEX($C21:$E21,1,Control!$B$10))^AN5*INDEX($B$13:$M$13,1,MOD(35-1,12)+1)</f>
        <v/>
      </c>
      <c r="AO21" s="34">
        <f>($B21/12)*(1+INDEX($C21:$E21,1,Control!$B$10))^AO5*INDEX($B$13:$M$13,1,MOD(36-1,12)+1)</f>
        <v/>
      </c>
      <c r="AP21" s="34">
        <f>($B21/12)*(1+INDEX($C21:$E21,1,Control!$B$10))^AP5*INDEX($B$13:$M$13,1,MOD(37-1,12)+1)</f>
        <v/>
      </c>
      <c r="AQ21" s="34">
        <f>($B21/12)*(1+INDEX($C21:$E21,1,Control!$B$10))^AQ5*INDEX($B$13:$M$13,1,MOD(38-1,12)+1)</f>
        <v/>
      </c>
      <c r="AR21" s="34">
        <f>($B21/12)*(1+INDEX($C21:$E21,1,Control!$B$10))^AR5*INDEX($B$13:$M$13,1,MOD(39-1,12)+1)</f>
        <v/>
      </c>
      <c r="AS21" s="34">
        <f>($B21/12)*(1+INDEX($C21:$E21,1,Control!$B$10))^AS5*INDEX($B$13:$M$13,1,MOD(40-1,12)+1)</f>
        <v/>
      </c>
      <c r="AT21" s="34">
        <f>($B21/12)*(1+INDEX($C21:$E21,1,Control!$B$10))^AT5*INDEX($B$13:$M$13,1,MOD(41-1,12)+1)</f>
        <v/>
      </c>
      <c r="AU21" s="34">
        <f>($B21/12)*(1+INDEX($C21:$E21,1,Control!$B$10))^AU5*INDEX($B$13:$M$13,1,MOD(42-1,12)+1)</f>
        <v/>
      </c>
      <c r="AV21" s="34">
        <f>($B21/12)*(1+INDEX($C21:$E21,1,Control!$B$10))^AV5*INDEX($B$13:$M$13,1,MOD(43-1,12)+1)</f>
        <v/>
      </c>
      <c r="AW21" s="34">
        <f>($B21/12)*(1+INDEX($C21:$E21,1,Control!$B$10))^AW5*INDEX($B$13:$M$13,1,MOD(44-1,12)+1)</f>
        <v/>
      </c>
      <c r="AX21" s="34">
        <f>($B21/12)*(1+INDEX($C21:$E21,1,Control!$B$10))^AX5*INDEX($B$13:$M$13,1,MOD(45-1,12)+1)</f>
        <v/>
      </c>
      <c r="AY21" s="34">
        <f>($B21/12)*(1+INDEX($C21:$E21,1,Control!$B$10))^AY5*INDEX($B$13:$M$13,1,MOD(46-1,12)+1)</f>
        <v/>
      </c>
      <c r="AZ21" s="34">
        <f>($B21/12)*(1+INDEX($C21:$E21,1,Control!$B$10))^AZ5*INDEX($B$13:$M$13,1,MOD(47-1,12)+1)</f>
        <v/>
      </c>
      <c r="BA21" s="34">
        <f>($B21/12)*(1+INDEX($C21:$E21,1,Control!$B$10))^BA5*INDEX($B$13:$M$13,1,MOD(48-1,12)+1)</f>
        <v/>
      </c>
      <c r="BB21" s="34">
        <f>($B21/12)*(1+INDEX($C21:$E21,1,Control!$B$10))^BB5*INDEX($B$13:$M$13,1,MOD(49-1,12)+1)</f>
        <v/>
      </c>
      <c r="BC21" s="34">
        <f>($B21/12)*(1+INDEX($C21:$E21,1,Control!$B$10))^BC5*INDEX($B$13:$M$13,1,MOD(50-1,12)+1)</f>
        <v/>
      </c>
      <c r="BD21" s="34">
        <f>($B21/12)*(1+INDEX($C21:$E21,1,Control!$B$10))^BD5*INDEX($B$13:$M$13,1,MOD(51-1,12)+1)</f>
        <v/>
      </c>
      <c r="BE21" s="34">
        <f>($B21/12)*(1+INDEX($C21:$E21,1,Control!$B$10))^BE5*INDEX($B$13:$M$13,1,MOD(52-1,12)+1)</f>
        <v/>
      </c>
      <c r="BF21" s="34">
        <f>($B21/12)*(1+INDEX($C21:$E21,1,Control!$B$10))^BF5*INDEX($B$13:$M$13,1,MOD(53-1,12)+1)</f>
        <v/>
      </c>
      <c r="BG21" s="34">
        <f>($B21/12)*(1+INDEX($C21:$E21,1,Control!$B$10))^BG5*INDEX($B$13:$M$13,1,MOD(54-1,12)+1)</f>
        <v/>
      </c>
      <c r="BH21" s="34">
        <f>($B21/12)*(1+INDEX($C21:$E21,1,Control!$B$10))^BH5*INDEX($B$13:$M$13,1,MOD(55-1,12)+1)</f>
        <v/>
      </c>
      <c r="BI21" s="34">
        <f>($B21/12)*(1+INDEX($C21:$E21,1,Control!$B$10))^BI5*INDEX($B$13:$M$13,1,MOD(56-1,12)+1)</f>
        <v/>
      </c>
      <c r="BJ21" s="34">
        <f>($B21/12)*(1+INDEX($C21:$E21,1,Control!$B$10))^BJ5*INDEX($B$13:$M$13,1,MOD(57-1,12)+1)</f>
        <v/>
      </c>
      <c r="BK21" s="34">
        <f>($B21/12)*(1+INDEX($C21:$E21,1,Control!$B$10))^BK5*INDEX($B$13:$M$13,1,MOD(58-1,12)+1)</f>
        <v/>
      </c>
      <c r="BL21" s="34">
        <f>($B21/12)*(1+INDEX($C21:$E21,1,Control!$B$10))^BL5*INDEX($B$13:$M$13,1,MOD(59-1,12)+1)</f>
        <v/>
      </c>
      <c r="BM21" s="34">
        <f>($B21/12)*(1+INDEX($C21:$E21,1,Control!$B$10))^BM5*INDEX($B$13:$M$13,1,MOD(60-1,12)+1)</f>
        <v/>
      </c>
      <c r="BN21" s="34">
        <f>($B21/12)*(1+INDEX($C21:$E21,1,Control!$B$10))^BN5*INDEX($B$13:$M$13,1,MOD(61-1,12)+1)</f>
        <v/>
      </c>
      <c r="BO21" s="34">
        <f>($B21/12)*(1+INDEX($C21:$E21,1,Control!$B$10))^BO5*INDEX($B$13:$M$13,1,MOD(62-1,12)+1)</f>
        <v/>
      </c>
      <c r="BP21" s="34">
        <f>($B21/12)*(1+INDEX($C21:$E21,1,Control!$B$10))^BP5*INDEX($B$13:$M$13,1,MOD(63-1,12)+1)</f>
        <v/>
      </c>
      <c r="BQ21" s="34">
        <f>($B21/12)*(1+INDEX($C21:$E21,1,Control!$B$10))^BQ5*INDEX($B$13:$M$13,1,MOD(64-1,12)+1)</f>
        <v/>
      </c>
      <c r="BR21" s="34">
        <f>($B21/12)*(1+INDEX($C21:$E21,1,Control!$B$10))^BR5*INDEX($B$13:$M$13,1,MOD(65-1,12)+1)</f>
        <v/>
      </c>
      <c r="BS21" s="34">
        <f>($B21/12)*(1+INDEX($C21:$E21,1,Control!$B$10))^BS5*INDEX($B$13:$M$13,1,MOD(66-1,12)+1)</f>
        <v/>
      </c>
      <c r="BT21" s="34">
        <f>($B21/12)*(1+INDEX($C21:$E21,1,Control!$B$10))^BT5*INDEX($B$13:$M$13,1,MOD(67-1,12)+1)</f>
        <v/>
      </c>
      <c r="BU21" s="34">
        <f>($B21/12)*(1+INDEX($C21:$E21,1,Control!$B$10))^BU5*INDEX($B$13:$M$13,1,MOD(68-1,12)+1)</f>
        <v/>
      </c>
      <c r="BV21" s="34">
        <f>($B21/12)*(1+INDEX($C21:$E21,1,Control!$B$10))^BV5*INDEX($B$13:$M$13,1,MOD(69-1,12)+1)</f>
        <v/>
      </c>
      <c r="BW21" s="34">
        <f>($B21/12)*(1+INDEX($C21:$E21,1,Control!$B$10))^BW5*INDEX($B$13:$M$13,1,MOD(70-1,12)+1)</f>
        <v/>
      </c>
      <c r="BX21" s="34">
        <f>($B21/12)*(1+INDEX($C21:$E21,1,Control!$B$10))^BX5*INDEX($B$13:$M$13,1,MOD(71-1,12)+1)</f>
        <v/>
      </c>
      <c r="BY21" s="34">
        <f>($B21/12)*(1+INDEX($C21:$E21,1,Control!$B$10))^BY5*INDEX($B$13:$M$13,1,MOD(72-1,12)+1)</f>
        <v/>
      </c>
      <c r="BZ21" s="34">
        <f>($B21/12)*(1+INDEX($C21:$E21,1,Control!$B$10))^BZ5*INDEX($B$13:$M$13,1,MOD(73-1,12)+1)</f>
        <v/>
      </c>
      <c r="CA21" s="34">
        <f>($B21/12)*(1+INDEX($C21:$E21,1,Control!$B$10))^CA5*INDEX($B$13:$M$13,1,MOD(74-1,12)+1)</f>
        <v/>
      </c>
      <c r="CB21" s="34">
        <f>($B21/12)*(1+INDEX($C21:$E21,1,Control!$B$10))^CB5*INDEX($B$13:$M$13,1,MOD(75-1,12)+1)</f>
        <v/>
      </c>
      <c r="CC21" s="34">
        <f>($B21/12)*(1+INDEX($C21:$E21,1,Control!$B$10))^CC5*INDEX($B$13:$M$13,1,MOD(76-1,12)+1)</f>
        <v/>
      </c>
      <c r="CD21" s="34">
        <f>($B21/12)*(1+INDEX($C21:$E21,1,Control!$B$10))^CD5*INDEX($B$13:$M$13,1,MOD(77-1,12)+1)</f>
        <v/>
      </c>
      <c r="CE21" s="34">
        <f>($B21/12)*(1+INDEX($C21:$E21,1,Control!$B$10))^CE5*INDEX($B$13:$M$13,1,MOD(78-1,12)+1)</f>
        <v/>
      </c>
      <c r="CF21" s="34">
        <f>($B21/12)*(1+INDEX($C21:$E21,1,Control!$B$10))^CF5*INDEX($B$13:$M$13,1,MOD(79-1,12)+1)</f>
        <v/>
      </c>
      <c r="CG21" s="34">
        <f>($B21/12)*(1+INDEX($C21:$E21,1,Control!$B$10))^CG5*INDEX($B$13:$M$13,1,MOD(80-1,12)+1)</f>
        <v/>
      </c>
      <c r="CH21" s="34">
        <f>($B21/12)*(1+INDEX($C21:$E21,1,Control!$B$10))^CH5*INDEX($B$13:$M$13,1,MOD(81-1,12)+1)</f>
        <v/>
      </c>
      <c r="CI21" s="34">
        <f>($B21/12)*(1+INDEX($C21:$E21,1,Control!$B$10))^CI5*INDEX($B$13:$M$13,1,MOD(82-1,12)+1)</f>
        <v/>
      </c>
      <c r="CJ21" s="34">
        <f>($B21/12)*(1+INDEX($C21:$E21,1,Control!$B$10))^CJ5*INDEX($B$13:$M$13,1,MOD(83-1,12)+1)</f>
        <v/>
      </c>
      <c r="CK21" s="34">
        <f>($B21/12)*(1+INDEX($C21:$E21,1,Control!$B$10))^CK5*INDEX($B$13:$M$13,1,MOD(84-1,12)+1)</f>
        <v/>
      </c>
      <c r="CL21" s="34">
        <f>($B21/12)*(1+INDEX($C21:$E21,1,Control!$B$10))^CL5*INDEX($B$13:$M$13,1,MOD(85-1,12)+1)</f>
        <v/>
      </c>
      <c r="CM21" s="34">
        <f>($B21/12)*(1+INDEX($C21:$E21,1,Control!$B$10))^CM5*INDEX($B$13:$M$13,1,MOD(86-1,12)+1)</f>
        <v/>
      </c>
      <c r="CN21" s="34">
        <f>($B21/12)*(1+INDEX($C21:$E21,1,Control!$B$10))^CN5*INDEX($B$13:$M$13,1,MOD(87-1,12)+1)</f>
        <v/>
      </c>
      <c r="CO21" s="34">
        <f>($B21/12)*(1+INDEX($C21:$E21,1,Control!$B$10))^CO5*INDEX($B$13:$M$13,1,MOD(88-1,12)+1)</f>
        <v/>
      </c>
      <c r="CP21" s="34">
        <f>($B21/12)*(1+INDEX($C21:$E21,1,Control!$B$10))^CP5*INDEX($B$13:$M$13,1,MOD(89-1,12)+1)</f>
        <v/>
      </c>
      <c r="CQ21" s="34">
        <f>($B21/12)*(1+INDEX($C21:$E21,1,Control!$B$10))^CQ5*INDEX($B$13:$M$13,1,MOD(90-1,12)+1)</f>
        <v/>
      </c>
      <c r="CR21" s="34">
        <f>($B21/12)*(1+INDEX($C21:$E21,1,Control!$B$10))^CR5*INDEX($B$13:$M$13,1,MOD(91-1,12)+1)</f>
        <v/>
      </c>
      <c r="CS21" s="34">
        <f>($B21/12)*(1+INDEX($C21:$E21,1,Control!$B$10))^CS5*INDEX($B$13:$M$13,1,MOD(92-1,12)+1)</f>
        <v/>
      </c>
      <c r="CT21" s="34">
        <f>($B21/12)*(1+INDEX($C21:$E21,1,Control!$B$10))^CT5*INDEX($B$13:$M$13,1,MOD(93-1,12)+1)</f>
        <v/>
      </c>
      <c r="CU21" s="34">
        <f>($B21/12)*(1+INDEX($C21:$E21,1,Control!$B$10))^CU5*INDEX($B$13:$M$13,1,MOD(94-1,12)+1)</f>
        <v/>
      </c>
      <c r="CV21" s="34">
        <f>($B21/12)*(1+INDEX($C21:$E21,1,Control!$B$10))^CV5*INDEX($B$13:$M$13,1,MOD(95-1,12)+1)</f>
        <v/>
      </c>
      <c r="CW21" s="34">
        <f>($B21/12)*(1+INDEX($C21:$E21,1,Control!$B$10))^CW5*INDEX($B$13:$M$13,1,MOD(96-1,12)+1)</f>
        <v/>
      </c>
      <c r="CX21" s="34">
        <f>($B21/12)*(1+INDEX($C21:$E21,1,Control!$B$10))^CX5*INDEX($B$13:$M$13,1,MOD(97-1,12)+1)</f>
        <v/>
      </c>
      <c r="CY21" s="34">
        <f>($B21/12)*(1+INDEX($C21:$E21,1,Control!$B$10))^CY5*INDEX($B$13:$M$13,1,MOD(98-1,12)+1)</f>
        <v/>
      </c>
      <c r="CZ21" s="34">
        <f>($B21/12)*(1+INDEX($C21:$E21,1,Control!$B$10))^CZ5*INDEX($B$13:$M$13,1,MOD(99-1,12)+1)</f>
        <v/>
      </c>
      <c r="DA21" s="34">
        <f>($B21/12)*(1+INDEX($C21:$E21,1,Control!$B$10))^DA5*INDEX($B$13:$M$13,1,MOD(100-1,12)+1)</f>
        <v/>
      </c>
      <c r="DB21" s="34">
        <f>($B21/12)*(1+INDEX($C21:$E21,1,Control!$B$10))^DB5*INDEX($B$13:$M$13,1,MOD(101-1,12)+1)</f>
        <v/>
      </c>
      <c r="DC21" s="34">
        <f>($B21/12)*(1+INDEX($C21:$E21,1,Control!$B$10))^DC5*INDEX($B$13:$M$13,1,MOD(102-1,12)+1)</f>
        <v/>
      </c>
      <c r="DD21" s="34">
        <f>($B21/12)*(1+INDEX($C21:$E21,1,Control!$B$10))^DD5*INDEX($B$13:$M$13,1,MOD(103-1,12)+1)</f>
        <v/>
      </c>
      <c r="DE21" s="34">
        <f>($B21/12)*(1+INDEX($C21:$E21,1,Control!$B$10))^DE5*INDEX($B$13:$M$13,1,MOD(104-1,12)+1)</f>
        <v/>
      </c>
      <c r="DF21" s="34">
        <f>($B21/12)*(1+INDEX($C21:$E21,1,Control!$B$10))^DF5*INDEX($B$13:$M$13,1,MOD(105-1,12)+1)</f>
        <v/>
      </c>
      <c r="DG21" s="34">
        <f>($B21/12)*(1+INDEX($C21:$E21,1,Control!$B$10))^DG5*INDEX($B$13:$M$13,1,MOD(106-1,12)+1)</f>
        <v/>
      </c>
      <c r="DH21" s="34">
        <f>($B21/12)*(1+INDEX($C21:$E21,1,Control!$B$10))^DH5*INDEX($B$13:$M$13,1,MOD(107-1,12)+1)</f>
        <v/>
      </c>
      <c r="DI21" s="34">
        <f>($B21/12)*(1+INDEX($C21:$E21,1,Control!$B$10))^DI5*INDEX($B$13:$M$13,1,MOD(108-1,12)+1)</f>
        <v/>
      </c>
      <c r="DJ21" s="34">
        <f>($B21/12)*(1+INDEX($C21:$E21,1,Control!$B$10))^DJ5*INDEX($B$13:$M$13,1,MOD(109-1,12)+1)</f>
        <v/>
      </c>
      <c r="DK21" s="34">
        <f>($B21/12)*(1+INDEX($C21:$E21,1,Control!$B$10))^DK5*INDEX($B$13:$M$13,1,MOD(110-1,12)+1)</f>
        <v/>
      </c>
      <c r="DL21" s="34">
        <f>($B21/12)*(1+INDEX($C21:$E21,1,Control!$B$10))^DL5*INDEX($B$13:$M$13,1,MOD(111-1,12)+1)</f>
        <v/>
      </c>
      <c r="DM21" s="34">
        <f>($B21/12)*(1+INDEX($C21:$E21,1,Control!$B$10))^DM5*INDEX($B$13:$M$13,1,MOD(112-1,12)+1)</f>
        <v/>
      </c>
      <c r="DN21" s="34">
        <f>($B21/12)*(1+INDEX($C21:$E21,1,Control!$B$10))^DN5*INDEX($B$13:$M$13,1,MOD(113-1,12)+1)</f>
        <v/>
      </c>
      <c r="DO21" s="34">
        <f>($B21/12)*(1+INDEX($C21:$E21,1,Control!$B$10))^DO5*INDEX($B$13:$M$13,1,MOD(114-1,12)+1)</f>
        <v/>
      </c>
      <c r="DP21" s="34">
        <f>($B21/12)*(1+INDEX($C21:$E21,1,Control!$B$10))^DP5*INDEX($B$13:$M$13,1,MOD(115-1,12)+1)</f>
        <v/>
      </c>
      <c r="DQ21" s="34">
        <f>($B21/12)*(1+INDEX($C21:$E21,1,Control!$B$10))^DQ5*INDEX($B$13:$M$13,1,MOD(116-1,12)+1)</f>
        <v/>
      </c>
      <c r="DR21" s="34">
        <f>($B21/12)*(1+INDEX($C21:$E21,1,Control!$B$10))^DR5*INDEX($B$13:$M$13,1,MOD(117-1,12)+1)</f>
        <v/>
      </c>
      <c r="DS21" s="34">
        <f>($B21/12)*(1+INDEX($C21:$E21,1,Control!$B$10))^DS5*INDEX($B$13:$M$13,1,MOD(118-1,12)+1)</f>
        <v/>
      </c>
      <c r="DT21" s="34">
        <f>($B21/12)*(1+INDEX($C21:$E21,1,Control!$B$10))^DT5*INDEX($B$13:$M$13,1,MOD(119-1,12)+1)</f>
        <v/>
      </c>
      <c r="DU21" s="34">
        <f>($B21/12)*(1+INDEX($C21:$E21,1,Control!$B$10))^DU5*INDEX($B$13:$M$13,1,MOD(120-1,12)+1)</f>
        <v/>
      </c>
    </row>
    <row r="22">
      <c r="A22" t="inlineStr">
        <is>
          <t>SkyBrew-Cans-OffTrade</t>
        </is>
      </c>
      <c r="B22" s="33" t="n">
        <v>100000</v>
      </c>
      <c r="C22" s="22" t="n">
        <v>0.03</v>
      </c>
      <c r="D22" s="22" t="n">
        <v>0.05</v>
      </c>
      <c r="E22" s="22" t="n">
        <v>0.01</v>
      </c>
      <c r="F22" s="34">
        <f>($B22/12)*(1+INDEX($C22:$E22,1,Control!$B$10))^F5*INDEX($B$13:$M$13,1,MOD(1-1,12)+1)</f>
        <v/>
      </c>
      <c r="G22" s="34">
        <f>($B22/12)*(1+INDEX($C22:$E22,1,Control!$B$10))^G5*INDEX($B$13:$M$13,1,MOD(2-1,12)+1)</f>
        <v/>
      </c>
      <c r="H22" s="34">
        <f>($B22/12)*(1+INDEX($C22:$E22,1,Control!$B$10))^H5*INDEX($B$13:$M$13,1,MOD(3-1,12)+1)</f>
        <v/>
      </c>
      <c r="I22" s="34">
        <f>($B22/12)*(1+INDEX($C22:$E22,1,Control!$B$10))^I5*INDEX($B$13:$M$13,1,MOD(4-1,12)+1)</f>
        <v/>
      </c>
      <c r="J22" s="34">
        <f>($B22/12)*(1+INDEX($C22:$E22,1,Control!$B$10))^J5*INDEX($B$13:$M$13,1,MOD(5-1,12)+1)</f>
        <v/>
      </c>
      <c r="K22" s="34">
        <f>($B22/12)*(1+INDEX($C22:$E22,1,Control!$B$10))^K5*INDEX($B$13:$M$13,1,MOD(6-1,12)+1)</f>
        <v/>
      </c>
      <c r="L22" s="34">
        <f>($B22/12)*(1+INDEX($C22:$E22,1,Control!$B$10))^L5*INDEX($B$13:$M$13,1,MOD(7-1,12)+1)</f>
        <v/>
      </c>
      <c r="M22" s="34">
        <f>($B22/12)*(1+INDEX($C22:$E22,1,Control!$B$10))^M5*INDEX($B$13:$M$13,1,MOD(8-1,12)+1)</f>
        <v/>
      </c>
      <c r="N22" s="34">
        <f>($B22/12)*(1+INDEX($C22:$E22,1,Control!$B$10))^N5*INDEX($B$13:$M$13,1,MOD(9-1,12)+1)</f>
        <v/>
      </c>
      <c r="O22" s="34">
        <f>($B22/12)*(1+INDEX($C22:$E22,1,Control!$B$10))^O5*INDEX($B$13:$M$13,1,MOD(10-1,12)+1)</f>
        <v/>
      </c>
      <c r="P22" s="34">
        <f>($B22/12)*(1+INDEX($C22:$E22,1,Control!$B$10))^P5*INDEX($B$13:$M$13,1,MOD(11-1,12)+1)</f>
        <v/>
      </c>
      <c r="Q22" s="34">
        <f>($B22/12)*(1+INDEX($C22:$E22,1,Control!$B$10))^Q5*INDEX($B$13:$M$13,1,MOD(12-1,12)+1)</f>
        <v/>
      </c>
      <c r="R22" s="34">
        <f>($B22/12)*(1+INDEX($C22:$E22,1,Control!$B$10))^R5*INDEX($B$13:$M$13,1,MOD(13-1,12)+1)</f>
        <v/>
      </c>
      <c r="S22" s="34">
        <f>($B22/12)*(1+INDEX($C22:$E22,1,Control!$B$10))^S5*INDEX($B$13:$M$13,1,MOD(14-1,12)+1)</f>
        <v/>
      </c>
      <c r="T22" s="34">
        <f>($B22/12)*(1+INDEX($C22:$E22,1,Control!$B$10))^T5*INDEX($B$13:$M$13,1,MOD(15-1,12)+1)</f>
        <v/>
      </c>
      <c r="U22" s="34">
        <f>($B22/12)*(1+INDEX($C22:$E22,1,Control!$B$10))^U5*INDEX($B$13:$M$13,1,MOD(16-1,12)+1)</f>
        <v/>
      </c>
      <c r="V22" s="34">
        <f>($B22/12)*(1+INDEX($C22:$E22,1,Control!$B$10))^V5*INDEX($B$13:$M$13,1,MOD(17-1,12)+1)</f>
        <v/>
      </c>
      <c r="W22" s="34">
        <f>($B22/12)*(1+INDEX($C22:$E22,1,Control!$B$10))^W5*INDEX($B$13:$M$13,1,MOD(18-1,12)+1)</f>
        <v/>
      </c>
      <c r="X22" s="34">
        <f>($B22/12)*(1+INDEX($C22:$E22,1,Control!$B$10))^X5*INDEX($B$13:$M$13,1,MOD(19-1,12)+1)</f>
        <v/>
      </c>
      <c r="Y22" s="34">
        <f>($B22/12)*(1+INDEX($C22:$E22,1,Control!$B$10))^Y5*INDEX($B$13:$M$13,1,MOD(20-1,12)+1)</f>
        <v/>
      </c>
      <c r="Z22" s="34">
        <f>($B22/12)*(1+INDEX($C22:$E22,1,Control!$B$10))^Z5*INDEX($B$13:$M$13,1,MOD(21-1,12)+1)</f>
        <v/>
      </c>
      <c r="AA22" s="34">
        <f>($B22/12)*(1+INDEX($C22:$E22,1,Control!$B$10))^AA5*INDEX($B$13:$M$13,1,MOD(22-1,12)+1)</f>
        <v/>
      </c>
      <c r="AB22" s="34">
        <f>($B22/12)*(1+INDEX($C22:$E22,1,Control!$B$10))^AB5*INDEX($B$13:$M$13,1,MOD(23-1,12)+1)</f>
        <v/>
      </c>
      <c r="AC22" s="34">
        <f>($B22/12)*(1+INDEX($C22:$E22,1,Control!$B$10))^AC5*INDEX($B$13:$M$13,1,MOD(24-1,12)+1)</f>
        <v/>
      </c>
      <c r="AD22" s="34">
        <f>($B22/12)*(1+INDEX($C22:$E22,1,Control!$B$10))^AD5*INDEX($B$13:$M$13,1,MOD(25-1,12)+1)</f>
        <v/>
      </c>
      <c r="AE22" s="34">
        <f>($B22/12)*(1+INDEX($C22:$E22,1,Control!$B$10))^AE5*INDEX($B$13:$M$13,1,MOD(26-1,12)+1)</f>
        <v/>
      </c>
      <c r="AF22" s="34">
        <f>($B22/12)*(1+INDEX($C22:$E22,1,Control!$B$10))^AF5*INDEX($B$13:$M$13,1,MOD(27-1,12)+1)</f>
        <v/>
      </c>
      <c r="AG22" s="34">
        <f>($B22/12)*(1+INDEX($C22:$E22,1,Control!$B$10))^AG5*INDEX($B$13:$M$13,1,MOD(28-1,12)+1)</f>
        <v/>
      </c>
      <c r="AH22" s="34">
        <f>($B22/12)*(1+INDEX($C22:$E22,1,Control!$B$10))^AH5*INDEX($B$13:$M$13,1,MOD(29-1,12)+1)</f>
        <v/>
      </c>
      <c r="AI22" s="34">
        <f>($B22/12)*(1+INDEX($C22:$E22,1,Control!$B$10))^AI5*INDEX($B$13:$M$13,1,MOD(30-1,12)+1)</f>
        <v/>
      </c>
      <c r="AJ22" s="34">
        <f>($B22/12)*(1+INDEX($C22:$E22,1,Control!$B$10))^AJ5*INDEX($B$13:$M$13,1,MOD(31-1,12)+1)</f>
        <v/>
      </c>
      <c r="AK22" s="34">
        <f>($B22/12)*(1+INDEX($C22:$E22,1,Control!$B$10))^AK5*INDEX($B$13:$M$13,1,MOD(32-1,12)+1)</f>
        <v/>
      </c>
      <c r="AL22" s="34">
        <f>($B22/12)*(1+INDEX($C22:$E22,1,Control!$B$10))^AL5*INDEX($B$13:$M$13,1,MOD(33-1,12)+1)</f>
        <v/>
      </c>
      <c r="AM22" s="34">
        <f>($B22/12)*(1+INDEX($C22:$E22,1,Control!$B$10))^AM5*INDEX($B$13:$M$13,1,MOD(34-1,12)+1)</f>
        <v/>
      </c>
      <c r="AN22" s="34">
        <f>($B22/12)*(1+INDEX($C22:$E22,1,Control!$B$10))^AN5*INDEX($B$13:$M$13,1,MOD(35-1,12)+1)</f>
        <v/>
      </c>
      <c r="AO22" s="34">
        <f>($B22/12)*(1+INDEX($C22:$E22,1,Control!$B$10))^AO5*INDEX($B$13:$M$13,1,MOD(36-1,12)+1)</f>
        <v/>
      </c>
      <c r="AP22" s="34">
        <f>($B22/12)*(1+INDEX($C22:$E22,1,Control!$B$10))^AP5*INDEX($B$13:$M$13,1,MOD(37-1,12)+1)</f>
        <v/>
      </c>
      <c r="AQ22" s="34">
        <f>($B22/12)*(1+INDEX($C22:$E22,1,Control!$B$10))^AQ5*INDEX($B$13:$M$13,1,MOD(38-1,12)+1)</f>
        <v/>
      </c>
      <c r="AR22" s="34">
        <f>($B22/12)*(1+INDEX($C22:$E22,1,Control!$B$10))^AR5*INDEX($B$13:$M$13,1,MOD(39-1,12)+1)</f>
        <v/>
      </c>
      <c r="AS22" s="34">
        <f>($B22/12)*(1+INDEX($C22:$E22,1,Control!$B$10))^AS5*INDEX($B$13:$M$13,1,MOD(40-1,12)+1)</f>
        <v/>
      </c>
      <c r="AT22" s="34">
        <f>($B22/12)*(1+INDEX($C22:$E22,1,Control!$B$10))^AT5*INDEX($B$13:$M$13,1,MOD(41-1,12)+1)</f>
        <v/>
      </c>
      <c r="AU22" s="34">
        <f>($B22/12)*(1+INDEX($C22:$E22,1,Control!$B$10))^AU5*INDEX($B$13:$M$13,1,MOD(42-1,12)+1)</f>
        <v/>
      </c>
      <c r="AV22" s="34">
        <f>($B22/12)*(1+INDEX($C22:$E22,1,Control!$B$10))^AV5*INDEX($B$13:$M$13,1,MOD(43-1,12)+1)</f>
        <v/>
      </c>
      <c r="AW22" s="34">
        <f>($B22/12)*(1+INDEX($C22:$E22,1,Control!$B$10))^AW5*INDEX($B$13:$M$13,1,MOD(44-1,12)+1)</f>
        <v/>
      </c>
      <c r="AX22" s="34">
        <f>($B22/12)*(1+INDEX($C22:$E22,1,Control!$B$10))^AX5*INDEX($B$13:$M$13,1,MOD(45-1,12)+1)</f>
        <v/>
      </c>
      <c r="AY22" s="34">
        <f>($B22/12)*(1+INDEX($C22:$E22,1,Control!$B$10))^AY5*INDEX($B$13:$M$13,1,MOD(46-1,12)+1)</f>
        <v/>
      </c>
      <c r="AZ22" s="34">
        <f>($B22/12)*(1+INDEX($C22:$E22,1,Control!$B$10))^AZ5*INDEX($B$13:$M$13,1,MOD(47-1,12)+1)</f>
        <v/>
      </c>
      <c r="BA22" s="34">
        <f>($B22/12)*(1+INDEX($C22:$E22,1,Control!$B$10))^BA5*INDEX($B$13:$M$13,1,MOD(48-1,12)+1)</f>
        <v/>
      </c>
      <c r="BB22" s="34">
        <f>($B22/12)*(1+INDEX($C22:$E22,1,Control!$B$10))^BB5*INDEX($B$13:$M$13,1,MOD(49-1,12)+1)</f>
        <v/>
      </c>
      <c r="BC22" s="34">
        <f>($B22/12)*(1+INDEX($C22:$E22,1,Control!$B$10))^BC5*INDEX($B$13:$M$13,1,MOD(50-1,12)+1)</f>
        <v/>
      </c>
      <c r="BD22" s="34">
        <f>($B22/12)*(1+INDEX($C22:$E22,1,Control!$B$10))^BD5*INDEX($B$13:$M$13,1,MOD(51-1,12)+1)</f>
        <v/>
      </c>
      <c r="BE22" s="34">
        <f>($B22/12)*(1+INDEX($C22:$E22,1,Control!$B$10))^BE5*INDEX($B$13:$M$13,1,MOD(52-1,12)+1)</f>
        <v/>
      </c>
      <c r="BF22" s="34">
        <f>($B22/12)*(1+INDEX($C22:$E22,1,Control!$B$10))^BF5*INDEX($B$13:$M$13,1,MOD(53-1,12)+1)</f>
        <v/>
      </c>
      <c r="BG22" s="34">
        <f>($B22/12)*(1+INDEX($C22:$E22,1,Control!$B$10))^BG5*INDEX($B$13:$M$13,1,MOD(54-1,12)+1)</f>
        <v/>
      </c>
      <c r="BH22" s="34">
        <f>($B22/12)*(1+INDEX($C22:$E22,1,Control!$B$10))^BH5*INDEX($B$13:$M$13,1,MOD(55-1,12)+1)</f>
        <v/>
      </c>
      <c r="BI22" s="34">
        <f>($B22/12)*(1+INDEX($C22:$E22,1,Control!$B$10))^BI5*INDEX($B$13:$M$13,1,MOD(56-1,12)+1)</f>
        <v/>
      </c>
      <c r="BJ22" s="34">
        <f>($B22/12)*(1+INDEX($C22:$E22,1,Control!$B$10))^BJ5*INDEX($B$13:$M$13,1,MOD(57-1,12)+1)</f>
        <v/>
      </c>
      <c r="BK22" s="34">
        <f>($B22/12)*(1+INDEX($C22:$E22,1,Control!$B$10))^BK5*INDEX($B$13:$M$13,1,MOD(58-1,12)+1)</f>
        <v/>
      </c>
      <c r="BL22" s="34">
        <f>($B22/12)*(1+INDEX($C22:$E22,1,Control!$B$10))^BL5*INDEX($B$13:$M$13,1,MOD(59-1,12)+1)</f>
        <v/>
      </c>
      <c r="BM22" s="34">
        <f>($B22/12)*(1+INDEX($C22:$E22,1,Control!$B$10))^BM5*INDEX($B$13:$M$13,1,MOD(60-1,12)+1)</f>
        <v/>
      </c>
      <c r="BN22" s="34">
        <f>($B22/12)*(1+INDEX($C22:$E22,1,Control!$B$10))^BN5*INDEX($B$13:$M$13,1,MOD(61-1,12)+1)</f>
        <v/>
      </c>
      <c r="BO22" s="34">
        <f>($B22/12)*(1+INDEX($C22:$E22,1,Control!$B$10))^BO5*INDEX($B$13:$M$13,1,MOD(62-1,12)+1)</f>
        <v/>
      </c>
      <c r="BP22" s="34">
        <f>($B22/12)*(1+INDEX($C22:$E22,1,Control!$B$10))^BP5*INDEX($B$13:$M$13,1,MOD(63-1,12)+1)</f>
        <v/>
      </c>
      <c r="BQ22" s="34">
        <f>($B22/12)*(1+INDEX($C22:$E22,1,Control!$B$10))^BQ5*INDEX($B$13:$M$13,1,MOD(64-1,12)+1)</f>
        <v/>
      </c>
      <c r="BR22" s="34">
        <f>($B22/12)*(1+INDEX($C22:$E22,1,Control!$B$10))^BR5*INDEX($B$13:$M$13,1,MOD(65-1,12)+1)</f>
        <v/>
      </c>
      <c r="BS22" s="34">
        <f>($B22/12)*(1+INDEX($C22:$E22,1,Control!$B$10))^BS5*INDEX($B$13:$M$13,1,MOD(66-1,12)+1)</f>
        <v/>
      </c>
      <c r="BT22" s="34">
        <f>($B22/12)*(1+INDEX($C22:$E22,1,Control!$B$10))^BT5*INDEX($B$13:$M$13,1,MOD(67-1,12)+1)</f>
        <v/>
      </c>
      <c r="BU22" s="34">
        <f>($B22/12)*(1+INDEX($C22:$E22,1,Control!$B$10))^BU5*INDEX($B$13:$M$13,1,MOD(68-1,12)+1)</f>
        <v/>
      </c>
      <c r="BV22" s="34">
        <f>($B22/12)*(1+INDEX($C22:$E22,1,Control!$B$10))^BV5*INDEX($B$13:$M$13,1,MOD(69-1,12)+1)</f>
        <v/>
      </c>
      <c r="BW22" s="34">
        <f>($B22/12)*(1+INDEX($C22:$E22,1,Control!$B$10))^BW5*INDEX($B$13:$M$13,1,MOD(70-1,12)+1)</f>
        <v/>
      </c>
      <c r="BX22" s="34">
        <f>($B22/12)*(1+INDEX($C22:$E22,1,Control!$B$10))^BX5*INDEX($B$13:$M$13,1,MOD(71-1,12)+1)</f>
        <v/>
      </c>
      <c r="BY22" s="34">
        <f>($B22/12)*(1+INDEX($C22:$E22,1,Control!$B$10))^BY5*INDEX($B$13:$M$13,1,MOD(72-1,12)+1)</f>
        <v/>
      </c>
      <c r="BZ22" s="34">
        <f>($B22/12)*(1+INDEX($C22:$E22,1,Control!$B$10))^BZ5*INDEX($B$13:$M$13,1,MOD(73-1,12)+1)</f>
        <v/>
      </c>
      <c r="CA22" s="34">
        <f>($B22/12)*(1+INDEX($C22:$E22,1,Control!$B$10))^CA5*INDEX($B$13:$M$13,1,MOD(74-1,12)+1)</f>
        <v/>
      </c>
      <c r="CB22" s="34">
        <f>($B22/12)*(1+INDEX($C22:$E22,1,Control!$B$10))^CB5*INDEX($B$13:$M$13,1,MOD(75-1,12)+1)</f>
        <v/>
      </c>
      <c r="CC22" s="34">
        <f>($B22/12)*(1+INDEX($C22:$E22,1,Control!$B$10))^CC5*INDEX($B$13:$M$13,1,MOD(76-1,12)+1)</f>
        <v/>
      </c>
      <c r="CD22" s="34">
        <f>($B22/12)*(1+INDEX($C22:$E22,1,Control!$B$10))^CD5*INDEX($B$13:$M$13,1,MOD(77-1,12)+1)</f>
        <v/>
      </c>
      <c r="CE22" s="34">
        <f>($B22/12)*(1+INDEX($C22:$E22,1,Control!$B$10))^CE5*INDEX($B$13:$M$13,1,MOD(78-1,12)+1)</f>
        <v/>
      </c>
      <c r="CF22" s="34">
        <f>($B22/12)*(1+INDEX($C22:$E22,1,Control!$B$10))^CF5*INDEX($B$13:$M$13,1,MOD(79-1,12)+1)</f>
        <v/>
      </c>
      <c r="CG22" s="34">
        <f>($B22/12)*(1+INDEX($C22:$E22,1,Control!$B$10))^CG5*INDEX($B$13:$M$13,1,MOD(80-1,12)+1)</f>
        <v/>
      </c>
      <c r="CH22" s="34">
        <f>($B22/12)*(1+INDEX($C22:$E22,1,Control!$B$10))^CH5*INDEX($B$13:$M$13,1,MOD(81-1,12)+1)</f>
        <v/>
      </c>
      <c r="CI22" s="34">
        <f>($B22/12)*(1+INDEX($C22:$E22,1,Control!$B$10))^CI5*INDEX($B$13:$M$13,1,MOD(82-1,12)+1)</f>
        <v/>
      </c>
      <c r="CJ22" s="34">
        <f>($B22/12)*(1+INDEX($C22:$E22,1,Control!$B$10))^CJ5*INDEX($B$13:$M$13,1,MOD(83-1,12)+1)</f>
        <v/>
      </c>
      <c r="CK22" s="34">
        <f>($B22/12)*(1+INDEX($C22:$E22,1,Control!$B$10))^CK5*INDEX($B$13:$M$13,1,MOD(84-1,12)+1)</f>
        <v/>
      </c>
      <c r="CL22" s="34">
        <f>($B22/12)*(1+INDEX($C22:$E22,1,Control!$B$10))^CL5*INDEX($B$13:$M$13,1,MOD(85-1,12)+1)</f>
        <v/>
      </c>
      <c r="CM22" s="34">
        <f>($B22/12)*(1+INDEX($C22:$E22,1,Control!$B$10))^CM5*INDEX($B$13:$M$13,1,MOD(86-1,12)+1)</f>
        <v/>
      </c>
      <c r="CN22" s="34">
        <f>($B22/12)*(1+INDEX($C22:$E22,1,Control!$B$10))^CN5*INDEX($B$13:$M$13,1,MOD(87-1,12)+1)</f>
        <v/>
      </c>
      <c r="CO22" s="34">
        <f>($B22/12)*(1+INDEX($C22:$E22,1,Control!$B$10))^CO5*INDEX($B$13:$M$13,1,MOD(88-1,12)+1)</f>
        <v/>
      </c>
      <c r="CP22" s="34">
        <f>($B22/12)*(1+INDEX($C22:$E22,1,Control!$B$10))^CP5*INDEX($B$13:$M$13,1,MOD(89-1,12)+1)</f>
        <v/>
      </c>
      <c r="CQ22" s="34">
        <f>($B22/12)*(1+INDEX($C22:$E22,1,Control!$B$10))^CQ5*INDEX($B$13:$M$13,1,MOD(90-1,12)+1)</f>
        <v/>
      </c>
      <c r="CR22" s="34">
        <f>($B22/12)*(1+INDEX($C22:$E22,1,Control!$B$10))^CR5*INDEX($B$13:$M$13,1,MOD(91-1,12)+1)</f>
        <v/>
      </c>
      <c r="CS22" s="34">
        <f>($B22/12)*(1+INDEX($C22:$E22,1,Control!$B$10))^CS5*INDEX($B$13:$M$13,1,MOD(92-1,12)+1)</f>
        <v/>
      </c>
      <c r="CT22" s="34">
        <f>($B22/12)*(1+INDEX($C22:$E22,1,Control!$B$10))^CT5*INDEX($B$13:$M$13,1,MOD(93-1,12)+1)</f>
        <v/>
      </c>
      <c r="CU22" s="34">
        <f>($B22/12)*(1+INDEX($C22:$E22,1,Control!$B$10))^CU5*INDEX($B$13:$M$13,1,MOD(94-1,12)+1)</f>
        <v/>
      </c>
      <c r="CV22" s="34">
        <f>($B22/12)*(1+INDEX($C22:$E22,1,Control!$B$10))^CV5*INDEX($B$13:$M$13,1,MOD(95-1,12)+1)</f>
        <v/>
      </c>
      <c r="CW22" s="34">
        <f>($B22/12)*(1+INDEX($C22:$E22,1,Control!$B$10))^CW5*INDEX($B$13:$M$13,1,MOD(96-1,12)+1)</f>
        <v/>
      </c>
      <c r="CX22" s="34">
        <f>($B22/12)*(1+INDEX($C22:$E22,1,Control!$B$10))^CX5*INDEX($B$13:$M$13,1,MOD(97-1,12)+1)</f>
        <v/>
      </c>
      <c r="CY22" s="34">
        <f>($B22/12)*(1+INDEX($C22:$E22,1,Control!$B$10))^CY5*INDEX($B$13:$M$13,1,MOD(98-1,12)+1)</f>
        <v/>
      </c>
      <c r="CZ22" s="34">
        <f>($B22/12)*(1+INDEX($C22:$E22,1,Control!$B$10))^CZ5*INDEX($B$13:$M$13,1,MOD(99-1,12)+1)</f>
        <v/>
      </c>
      <c r="DA22" s="34">
        <f>($B22/12)*(1+INDEX($C22:$E22,1,Control!$B$10))^DA5*INDEX($B$13:$M$13,1,MOD(100-1,12)+1)</f>
        <v/>
      </c>
      <c r="DB22" s="34">
        <f>($B22/12)*(1+INDEX($C22:$E22,1,Control!$B$10))^DB5*INDEX($B$13:$M$13,1,MOD(101-1,12)+1)</f>
        <v/>
      </c>
      <c r="DC22" s="34">
        <f>($B22/12)*(1+INDEX($C22:$E22,1,Control!$B$10))^DC5*INDEX($B$13:$M$13,1,MOD(102-1,12)+1)</f>
        <v/>
      </c>
      <c r="DD22" s="34">
        <f>($B22/12)*(1+INDEX($C22:$E22,1,Control!$B$10))^DD5*INDEX($B$13:$M$13,1,MOD(103-1,12)+1)</f>
        <v/>
      </c>
      <c r="DE22" s="34">
        <f>($B22/12)*(1+INDEX($C22:$E22,1,Control!$B$10))^DE5*INDEX($B$13:$M$13,1,MOD(104-1,12)+1)</f>
        <v/>
      </c>
      <c r="DF22" s="34">
        <f>($B22/12)*(1+INDEX($C22:$E22,1,Control!$B$10))^DF5*INDEX($B$13:$M$13,1,MOD(105-1,12)+1)</f>
        <v/>
      </c>
      <c r="DG22" s="34">
        <f>($B22/12)*(1+INDEX($C22:$E22,1,Control!$B$10))^DG5*INDEX($B$13:$M$13,1,MOD(106-1,12)+1)</f>
        <v/>
      </c>
      <c r="DH22" s="34">
        <f>($B22/12)*(1+INDEX($C22:$E22,1,Control!$B$10))^DH5*INDEX($B$13:$M$13,1,MOD(107-1,12)+1)</f>
        <v/>
      </c>
      <c r="DI22" s="34">
        <f>($B22/12)*(1+INDEX($C22:$E22,1,Control!$B$10))^DI5*INDEX($B$13:$M$13,1,MOD(108-1,12)+1)</f>
        <v/>
      </c>
      <c r="DJ22" s="34">
        <f>($B22/12)*(1+INDEX($C22:$E22,1,Control!$B$10))^DJ5*INDEX($B$13:$M$13,1,MOD(109-1,12)+1)</f>
        <v/>
      </c>
      <c r="DK22" s="34">
        <f>($B22/12)*(1+INDEX($C22:$E22,1,Control!$B$10))^DK5*INDEX($B$13:$M$13,1,MOD(110-1,12)+1)</f>
        <v/>
      </c>
      <c r="DL22" s="34">
        <f>($B22/12)*(1+INDEX($C22:$E22,1,Control!$B$10))^DL5*INDEX($B$13:$M$13,1,MOD(111-1,12)+1)</f>
        <v/>
      </c>
      <c r="DM22" s="34">
        <f>($B22/12)*(1+INDEX($C22:$E22,1,Control!$B$10))^DM5*INDEX($B$13:$M$13,1,MOD(112-1,12)+1)</f>
        <v/>
      </c>
      <c r="DN22" s="34">
        <f>($B22/12)*(1+INDEX($C22:$E22,1,Control!$B$10))^DN5*INDEX($B$13:$M$13,1,MOD(113-1,12)+1)</f>
        <v/>
      </c>
      <c r="DO22" s="34">
        <f>($B22/12)*(1+INDEX($C22:$E22,1,Control!$B$10))^DO5*INDEX($B$13:$M$13,1,MOD(114-1,12)+1)</f>
        <v/>
      </c>
      <c r="DP22" s="34">
        <f>($B22/12)*(1+INDEX($C22:$E22,1,Control!$B$10))^DP5*INDEX($B$13:$M$13,1,MOD(115-1,12)+1)</f>
        <v/>
      </c>
      <c r="DQ22" s="34">
        <f>($B22/12)*(1+INDEX($C22:$E22,1,Control!$B$10))^DQ5*INDEX($B$13:$M$13,1,MOD(116-1,12)+1)</f>
        <v/>
      </c>
      <c r="DR22" s="34">
        <f>($B22/12)*(1+INDEX($C22:$E22,1,Control!$B$10))^DR5*INDEX($B$13:$M$13,1,MOD(117-1,12)+1)</f>
        <v/>
      </c>
      <c r="DS22" s="34">
        <f>($B22/12)*(1+INDEX($C22:$E22,1,Control!$B$10))^DS5*INDEX($B$13:$M$13,1,MOD(118-1,12)+1)</f>
        <v/>
      </c>
      <c r="DT22" s="34">
        <f>($B22/12)*(1+INDEX($C22:$E22,1,Control!$B$10))^DT5*INDEX($B$13:$M$13,1,MOD(119-1,12)+1)</f>
        <v/>
      </c>
      <c r="DU22" s="34">
        <f>($B22/12)*(1+INDEX($C22:$E22,1,Control!$B$10))^DU5*INDEX($B$13:$M$13,1,MOD(120-1,12)+1)</f>
        <v/>
      </c>
    </row>
    <row r="23">
      <c r="A23" t="inlineStr">
        <is>
          <t>SkyBrew-Kegs-OnTrade</t>
        </is>
      </c>
      <c r="B23" s="33" t="n">
        <v>60000</v>
      </c>
      <c r="C23" s="22" t="n">
        <v>0.03</v>
      </c>
      <c r="D23" s="22" t="n">
        <v>0.05</v>
      </c>
      <c r="E23" s="22" t="n">
        <v>0.01</v>
      </c>
      <c r="F23" s="34">
        <f>($B23/12)*(1+INDEX($C23:$E23,1,Control!$B$10))^F5*INDEX($B$13:$M$13,1,MOD(1-1,12)+1)</f>
        <v/>
      </c>
      <c r="G23" s="34">
        <f>($B23/12)*(1+INDEX($C23:$E23,1,Control!$B$10))^G5*INDEX($B$13:$M$13,1,MOD(2-1,12)+1)</f>
        <v/>
      </c>
      <c r="H23" s="34">
        <f>($B23/12)*(1+INDEX($C23:$E23,1,Control!$B$10))^H5*INDEX($B$13:$M$13,1,MOD(3-1,12)+1)</f>
        <v/>
      </c>
      <c r="I23" s="34">
        <f>($B23/12)*(1+INDEX($C23:$E23,1,Control!$B$10))^I5*INDEX($B$13:$M$13,1,MOD(4-1,12)+1)</f>
        <v/>
      </c>
      <c r="J23" s="34">
        <f>($B23/12)*(1+INDEX($C23:$E23,1,Control!$B$10))^J5*INDEX($B$13:$M$13,1,MOD(5-1,12)+1)</f>
        <v/>
      </c>
      <c r="K23" s="34">
        <f>($B23/12)*(1+INDEX($C23:$E23,1,Control!$B$10))^K5*INDEX($B$13:$M$13,1,MOD(6-1,12)+1)</f>
        <v/>
      </c>
      <c r="L23" s="34">
        <f>($B23/12)*(1+INDEX($C23:$E23,1,Control!$B$10))^L5*INDEX($B$13:$M$13,1,MOD(7-1,12)+1)</f>
        <v/>
      </c>
      <c r="M23" s="34">
        <f>($B23/12)*(1+INDEX($C23:$E23,1,Control!$B$10))^M5*INDEX($B$13:$M$13,1,MOD(8-1,12)+1)</f>
        <v/>
      </c>
      <c r="N23" s="34">
        <f>($B23/12)*(1+INDEX($C23:$E23,1,Control!$B$10))^N5*INDEX($B$13:$M$13,1,MOD(9-1,12)+1)</f>
        <v/>
      </c>
      <c r="O23" s="34">
        <f>($B23/12)*(1+INDEX($C23:$E23,1,Control!$B$10))^O5*INDEX($B$13:$M$13,1,MOD(10-1,12)+1)</f>
        <v/>
      </c>
      <c r="P23" s="34">
        <f>($B23/12)*(1+INDEX($C23:$E23,1,Control!$B$10))^P5*INDEX($B$13:$M$13,1,MOD(11-1,12)+1)</f>
        <v/>
      </c>
      <c r="Q23" s="34">
        <f>($B23/12)*(1+INDEX($C23:$E23,1,Control!$B$10))^Q5*INDEX($B$13:$M$13,1,MOD(12-1,12)+1)</f>
        <v/>
      </c>
      <c r="R23" s="34">
        <f>($B23/12)*(1+INDEX($C23:$E23,1,Control!$B$10))^R5*INDEX($B$13:$M$13,1,MOD(13-1,12)+1)</f>
        <v/>
      </c>
      <c r="S23" s="34">
        <f>($B23/12)*(1+INDEX($C23:$E23,1,Control!$B$10))^S5*INDEX($B$13:$M$13,1,MOD(14-1,12)+1)</f>
        <v/>
      </c>
      <c r="T23" s="34">
        <f>($B23/12)*(1+INDEX($C23:$E23,1,Control!$B$10))^T5*INDEX($B$13:$M$13,1,MOD(15-1,12)+1)</f>
        <v/>
      </c>
      <c r="U23" s="34">
        <f>($B23/12)*(1+INDEX($C23:$E23,1,Control!$B$10))^U5*INDEX($B$13:$M$13,1,MOD(16-1,12)+1)</f>
        <v/>
      </c>
      <c r="V23" s="34">
        <f>($B23/12)*(1+INDEX($C23:$E23,1,Control!$B$10))^V5*INDEX($B$13:$M$13,1,MOD(17-1,12)+1)</f>
        <v/>
      </c>
      <c r="W23" s="34">
        <f>($B23/12)*(1+INDEX($C23:$E23,1,Control!$B$10))^W5*INDEX($B$13:$M$13,1,MOD(18-1,12)+1)</f>
        <v/>
      </c>
      <c r="X23" s="34">
        <f>($B23/12)*(1+INDEX($C23:$E23,1,Control!$B$10))^X5*INDEX($B$13:$M$13,1,MOD(19-1,12)+1)</f>
        <v/>
      </c>
      <c r="Y23" s="34">
        <f>($B23/12)*(1+INDEX($C23:$E23,1,Control!$B$10))^Y5*INDEX($B$13:$M$13,1,MOD(20-1,12)+1)</f>
        <v/>
      </c>
      <c r="Z23" s="34">
        <f>($B23/12)*(1+INDEX($C23:$E23,1,Control!$B$10))^Z5*INDEX($B$13:$M$13,1,MOD(21-1,12)+1)</f>
        <v/>
      </c>
      <c r="AA23" s="34">
        <f>($B23/12)*(1+INDEX($C23:$E23,1,Control!$B$10))^AA5*INDEX($B$13:$M$13,1,MOD(22-1,12)+1)</f>
        <v/>
      </c>
      <c r="AB23" s="34">
        <f>($B23/12)*(1+INDEX($C23:$E23,1,Control!$B$10))^AB5*INDEX($B$13:$M$13,1,MOD(23-1,12)+1)</f>
        <v/>
      </c>
      <c r="AC23" s="34">
        <f>($B23/12)*(1+INDEX($C23:$E23,1,Control!$B$10))^AC5*INDEX($B$13:$M$13,1,MOD(24-1,12)+1)</f>
        <v/>
      </c>
      <c r="AD23" s="34">
        <f>($B23/12)*(1+INDEX($C23:$E23,1,Control!$B$10))^AD5*INDEX($B$13:$M$13,1,MOD(25-1,12)+1)</f>
        <v/>
      </c>
      <c r="AE23" s="34">
        <f>($B23/12)*(1+INDEX($C23:$E23,1,Control!$B$10))^AE5*INDEX($B$13:$M$13,1,MOD(26-1,12)+1)</f>
        <v/>
      </c>
      <c r="AF23" s="34">
        <f>($B23/12)*(1+INDEX($C23:$E23,1,Control!$B$10))^AF5*INDEX($B$13:$M$13,1,MOD(27-1,12)+1)</f>
        <v/>
      </c>
      <c r="AG23" s="34">
        <f>($B23/12)*(1+INDEX($C23:$E23,1,Control!$B$10))^AG5*INDEX($B$13:$M$13,1,MOD(28-1,12)+1)</f>
        <v/>
      </c>
      <c r="AH23" s="34">
        <f>($B23/12)*(1+INDEX($C23:$E23,1,Control!$B$10))^AH5*INDEX($B$13:$M$13,1,MOD(29-1,12)+1)</f>
        <v/>
      </c>
      <c r="AI23" s="34">
        <f>($B23/12)*(1+INDEX($C23:$E23,1,Control!$B$10))^AI5*INDEX($B$13:$M$13,1,MOD(30-1,12)+1)</f>
        <v/>
      </c>
      <c r="AJ23" s="34">
        <f>($B23/12)*(1+INDEX($C23:$E23,1,Control!$B$10))^AJ5*INDEX($B$13:$M$13,1,MOD(31-1,12)+1)</f>
        <v/>
      </c>
      <c r="AK23" s="34">
        <f>($B23/12)*(1+INDEX($C23:$E23,1,Control!$B$10))^AK5*INDEX($B$13:$M$13,1,MOD(32-1,12)+1)</f>
        <v/>
      </c>
      <c r="AL23" s="34">
        <f>($B23/12)*(1+INDEX($C23:$E23,1,Control!$B$10))^AL5*INDEX($B$13:$M$13,1,MOD(33-1,12)+1)</f>
        <v/>
      </c>
      <c r="AM23" s="34">
        <f>($B23/12)*(1+INDEX($C23:$E23,1,Control!$B$10))^AM5*INDEX($B$13:$M$13,1,MOD(34-1,12)+1)</f>
        <v/>
      </c>
      <c r="AN23" s="34">
        <f>($B23/12)*(1+INDEX($C23:$E23,1,Control!$B$10))^AN5*INDEX($B$13:$M$13,1,MOD(35-1,12)+1)</f>
        <v/>
      </c>
      <c r="AO23" s="34">
        <f>($B23/12)*(1+INDEX($C23:$E23,1,Control!$B$10))^AO5*INDEX($B$13:$M$13,1,MOD(36-1,12)+1)</f>
        <v/>
      </c>
      <c r="AP23" s="34">
        <f>($B23/12)*(1+INDEX($C23:$E23,1,Control!$B$10))^AP5*INDEX($B$13:$M$13,1,MOD(37-1,12)+1)</f>
        <v/>
      </c>
      <c r="AQ23" s="34">
        <f>($B23/12)*(1+INDEX($C23:$E23,1,Control!$B$10))^AQ5*INDEX($B$13:$M$13,1,MOD(38-1,12)+1)</f>
        <v/>
      </c>
      <c r="AR23" s="34">
        <f>($B23/12)*(1+INDEX($C23:$E23,1,Control!$B$10))^AR5*INDEX($B$13:$M$13,1,MOD(39-1,12)+1)</f>
        <v/>
      </c>
      <c r="AS23" s="34">
        <f>($B23/12)*(1+INDEX($C23:$E23,1,Control!$B$10))^AS5*INDEX($B$13:$M$13,1,MOD(40-1,12)+1)</f>
        <v/>
      </c>
      <c r="AT23" s="34">
        <f>($B23/12)*(1+INDEX($C23:$E23,1,Control!$B$10))^AT5*INDEX($B$13:$M$13,1,MOD(41-1,12)+1)</f>
        <v/>
      </c>
      <c r="AU23" s="34">
        <f>($B23/12)*(1+INDEX($C23:$E23,1,Control!$B$10))^AU5*INDEX($B$13:$M$13,1,MOD(42-1,12)+1)</f>
        <v/>
      </c>
      <c r="AV23" s="34">
        <f>($B23/12)*(1+INDEX($C23:$E23,1,Control!$B$10))^AV5*INDEX($B$13:$M$13,1,MOD(43-1,12)+1)</f>
        <v/>
      </c>
      <c r="AW23" s="34">
        <f>($B23/12)*(1+INDEX($C23:$E23,1,Control!$B$10))^AW5*INDEX($B$13:$M$13,1,MOD(44-1,12)+1)</f>
        <v/>
      </c>
      <c r="AX23" s="34">
        <f>($B23/12)*(1+INDEX($C23:$E23,1,Control!$B$10))^AX5*INDEX($B$13:$M$13,1,MOD(45-1,12)+1)</f>
        <v/>
      </c>
      <c r="AY23" s="34">
        <f>($B23/12)*(1+INDEX($C23:$E23,1,Control!$B$10))^AY5*INDEX($B$13:$M$13,1,MOD(46-1,12)+1)</f>
        <v/>
      </c>
      <c r="AZ23" s="34">
        <f>($B23/12)*(1+INDEX($C23:$E23,1,Control!$B$10))^AZ5*INDEX($B$13:$M$13,1,MOD(47-1,12)+1)</f>
        <v/>
      </c>
      <c r="BA23" s="34">
        <f>($B23/12)*(1+INDEX($C23:$E23,1,Control!$B$10))^BA5*INDEX($B$13:$M$13,1,MOD(48-1,12)+1)</f>
        <v/>
      </c>
      <c r="BB23" s="34">
        <f>($B23/12)*(1+INDEX($C23:$E23,1,Control!$B$10))^BB5*INDEX($B$13:$M$13,1,MOD(49-1,12)+1)</f>
        <v/>
      </c>
      <c r="BC23" s="34">
        <f>($B23/12)*(1+INDEX($C23:$E23,1,Control!$B$10))^BC5*INDEX($B$13:$M$13,1,MOD(50-1,12)+1)</f>
        <v/>
      </c>
      <c r="BD23" s="34">
        <f>($B23/12)*(1+INDEX($C23:$E23,1,Control!$B$10))^BD5*INDEX($B$13:$M$13,1,MOD(51-1,12)+1)</f>
        <v/>
      </c>
      <c r="BE23" s="34">
        <f>($B23/12)*(1+INDEX($C23:$E23,1,Control!$B$10))^BE5*INDEX($B$13:$M$13,1,MOD(52-1,12)+1)</f>
        <v/>
      </c>
      <c r="BF23" s="34">
        <f>($B23/12)*(1+INDEX($C23:$E23,1,Control!$B$10))^BF5*INDEX($B$13:$M$13,1,MOD(53-1,12)+1)</f>
        <v/>
      </c>
      <c r="BG23" s="34">
        <f>($B23/12)*(1+INDEX($C23:$E23,1,Control!$B$10))^BG5*INDEX($B$13:$M$13,1,MOD(54-1,12)+1)</f>
        <v/>
      </c>
      <c r="BH23" s="34">
        <f>($B23/12)*(1+INDEX($C23:$E23,1,Control!$B$10))^BH5*INDEX($B$13:$M$13,1,MOD(55-1,12)+1)</f>
        <v/>
      </c>
      <c r="BI23" s="34">
        <f>($B23/12)*(1+INDEX($C23:$E23,1,Control!$B$10))^BI5*INDEX($B$13:$M$13,1,MOD(56-1,12)+1)</f>
        <v/>
      </c>
      <c r="BJ23" s="34">
        <f>($B23/12)*(1+INDEX($C23:$E23,1,Control!$B$10))^BJ5*INDEX($B$13:$M$13,1,MOD(57-1,12)+1)</f>
        <v/>
      </c>
      <c r="BK23" s="34">
        <f>($B23/12)*(1+INDEX($C23:$E23,1,Control!$B$10))^BK5*INDEX($B$13:$M$13,1,MOD(58-1,12)+1)</f>
        <v/>
      </c>
      <c r="BL23" s="34">
        <f>($B23/12)*(1+INDEX($C23:$E23,1,Control!$B$10))^BL5*INDEX($B$13:$M$13,1,MOD(59-1,12)+1)</f>
        <v/>
      </c>
      <c r="BM23" s="34">
        <f>($B23/12)*(1+INDEX($C23:$E23,1,Control!$B$10))^BM5*INDEX($B$13:$M$13,1,MOD(60-1,12)+1)</f>
        <v/>
      </c>
      <c r="BN23" s="34">
        <f>($B23/12)*(1+INDEX($C23:$E23,1,Control!$B$10))^BN5*INDEX($B$13:$M$13,1,MOD(61-1,12)+1)</f>
        <v/>
      </c>
      <c r="BO23" s="34">
        <f>($B23/12)*(1+INDEX($C23:$E23,1,Control!$B$10))^BO5*INDEX($B$13:$M$13,1,MOD(62-1,12)+1)</f>
        <v/>
      </c>
      <c r="BP23" s="34">
        <f>($B23/12)*(1+INDEX($C23:$E23,1,Control!$B$10))^BP5*INDEX($B$13:$M$13,1,MOD(63-1,12)+1)</f>
        <v/>
      </c>
      <c r="BQ23" s="34">
        <f>($B23/12)*(1+INDEX($C23:$E23,1,Control!$B$10))^BQ5*INDEX($B$13:$M$13,1,MOD(64-1,12)+1)</f>
        <v/>
      </c>
      <c r="BR23" s="34">
        <f>($B23/12)*(1+INDEX($C23:$E23,1,Control!$B$10))^BR5*INDEX($B$13:$M$13,1,MOD(65-1,12)+1)</f>
        <v/>
      </c>
      <c r="BS23" s="34">
        <f>($B23/12)*(1+INDEX($C23:$E23,1,Control!$B$10))^BS5*INDEX($B$13:$M$13,1,MOD(66-1,12)+1)</f>
        <v/>
      </c>
      <c r="BT23" s="34">
        <f>($B23/12)*(1+INDEX($C23:$E23,1,Control!$B$10))^BT5*INDEX($B$13:$M$13,1,MOD(67-1,12)+1)</f>
        <v/>
      </c>
      <c r="BU23" s="34">
        <f>($B23/12)*(1+INDEX($C23:$E23,1,Control!$B$10))^BU5*INDEX($B$13:$M$13,1,MOD(68-1,12)+1)</f>
        <v/>
      </c>
      <c r="BV23" s="34">
        <f>($B23/12)*(1+INDEX($C23:$E23,1,Control!$B$10))^BV5*INDEX($B$13:$M$13,1,MOD(69-1,12)+1)</f>
        <v/>
      </c>
      <c r="BW23" s="34">
        <f>($B23/12)*(1+INDEX($C23:$E23,1,Control!$B$10))^BW5*INDEX($B$13:$M$13,1,MOD(70-1,12)+1)</f>
        <v/>
      </c>
      <c r="BX23" s="34">
        <f>($B23/12)*(1+INDEX($C23:$E23,1,Control!$B$10))^BX5*INDEX($B$13:$M$13,1,MOD(71-1,12)+1)</f>
        <v/>
      </c>
      <c r="BY23" s="34">
        <f>($B23/12)*(1+INDEX($C23:$E23,1,Control!$B$10))^BY5*INDEX($B$13:$M$13,1,MOD(72-1,12)+1)</f>
        <v/>
      </c>
      <c r="BZ23" s="34">
        <f>($B23/12)*(1+INDEX($C23:$E23,1,Control!$B$10))^BZ5*INDEX($B$13:$M$13,1,MOD(73-1,12)+1)</f>
        <v/>
      </c>
      <c r="CA23" s="34">
        <f>($B23/12)*(1+INDEX($C23:$E23,1,Control!$B$10))^CA5*INDEX($B$13:$M$13,1,MOD(74-1,12)+1)</f>
        <v/>
      </c>
      <c r="CB23" s="34">
        <f>($B23/12)*(1+INDEX($C23:$E23,1,Control!$B$10))^CB5*INDEX($B$13:$M$13,1,MOD(75-1,12)+1)</f>
        <v/>
      </c>
      <c r="CC23" s="34">
        <f>($B23/12)*(1+INDEX($C23:$E23,1,Control!$B$10))^CC5*INDEX($B$13:$M$13,1,MOD(76-1,12)+1)</f>
        <v/>
      </c>
      <c r="CD23" s="34">
        <f>($B23/12)*(1+INDEX($C23:$E23,1,Control!$B$10))^CD5*INDEX($B$13:$M$13,1,MOD(77-1,12)+1)</f>
        <v/>
      </c>
      <c r="CE23" s="34">
        <f>($B23/12)*(1+INDEX($C23:$E23,1,Control!$B$10))^CE5*INDEX($B$13:$M$13,1,MOD(78-1,12)+1)</f>
        <v/>
      </c>
      <c r="CF23" s="34">
        <f>($B23/12)*(1+INDEX($C23:$E23,1,Control!$B$10))^CF5*INDEX($B$13:$M$13,1,MOD(79-1,12)+1)</f>
        <v/>
      </c>
      <c r="CG23" s="34">
        <f>($B23/12)*(1+INDEX($C23:$E23,1,Control!$B$10))^CG5*INDEX($B$13:$M$13,1,MOD(80-1,12)+1)</f>
        <v/>
      </c>
      <c r="CH23" s="34">
        <f>($B23/12)*(1+INDEX($C23:$E23,1,Control!$B$10))^CH5*INDEX($B$13:$M$13,1,MOD(81-1,12)+1)</f>
        <v/>
      </c>
      <c r="CI23" s="34">
        <f>($B23/12)*(1+INDEX($C23:$E23,1,Control!$B$10))^CI5*INDEX($B$13:$M$13,1,MOD(82-1,12)+1)</f>
        <v/>
      </c>
      <c r="CJ23" s="34">
        <f>($B23/12)*(1+INDEX($C23:$E23,1,Control!$B$10))^CJ5*INDEX($B$13:$M$13,1,MOD(83-1,12)+1)</f>
        <v/>
      </c>
      <c r="CK23" s="34">
        <f>($B23/12)*(1+INDEX($C23:$E23,1,Control!$B$10))^CK5*INDEX($B$13:$M$13,1,MOD(84-1,12)+1)</f>
        <v/>
      </c>
      <c r="CL23" s="34">
        <f>($B23/12)*(1+INDEX($C23:$E23,1,Control!$B$10))^CL5*INDEX($B$13:$M$13,1,MOD(85-1,12)+1)</f>
        <v/>
      </c>
      <c r="CM23" s="34">
        <f>($B23/12)*(1+INDEX($C23:$E23,1,Control!$B$10))^CM5*INDEX($B$13:$M$13,1,MOD(86-1,12)+1)</f>
        <v/>
      </c>
      <c r="CN23" s="34">
        <f>($B23/12)*(1+INDEX($C23:$E23,1,Control!$B$10))^CN5*INDEX($B$13:$M$13,1,MOD(87-1,12)+1)</f>
        <v/>
      </c>
      <c r="CO23" s="34">
        <f>($B23/12)*(1+INDEX($C23:$E23,1,Control!$B$10))^CO5*INDEX($B$13:$M$13,1,MOD(88-1,12)+1)</f>
        <v/>
      </c>
      <c r="CP23" s="34">
        <f>($B23/12)*(1+INDEX($C23:$E23,1,Control!$B$10))^CP5*INDEX($B$13:$M$13,1,MOD(89-1,12)+1)</f>
        <v/>
      </c>
      <c r="CQ23" s="34">
        <f>($B23/12)*(1+INDEX($C23:$E23,1,Control!$B$10))^CQ5*INDEX($B$13:$M$13,1,MOD(90-1,12)+1)</f>
        <v/>
      </c>
      <c r="CR23" s="34">
        <f>($B23/12)*(1+INDEX($C23:$E23,1,Control!$B$10))^CR5*INDEX($B$13:$M$13,1,MOD(91-1,12)+1)</f>
        <v/>
      </c>
      <c r="CS23" s="34">
        <f>($B23/12)*(1+INDEX($C23:$E23,1,Control!$B$10))^CS5*INDEX($B$13:$M$13,1,MOD(92-1,12)+1)</f>
        <v/>
      </c>
      <c r="CT23" s="34">
        <f>($B23/12)*(1+INDEX($C23:$E23,1,Control!$B$10))^CT5*INDEX($B$13:$M$13,1,MOD(93-1,12)+1)</f>
        <v/>
      </c>
      <c r="CU23" s="34">
        <f>($B23/12)*(1+INDEX($C23:$E23,1,Control!$B$10))^CU5*INDEX($B$13:$M$13,1,MOD(94-1,12)+1)</f>
        <v/>
      </c>
      <c r="CV23" s="34">
        <f>($B23/12)*(1+INDEX($C23:$E23,1,Control!$B$10))^CV5*INDEX($B$13:$M$13,1,MOD(95-1,12)+1)</f>
        <v/>
      </c>
      <c r="CW23" s="34">
        <f>($B23/12)*(1+INDEX($C23:$E23,1,Control!$B$10))^CW5*INDEX($B$13:$M$13,1,MOD(96-1,12)+1)</f>
        <v/>
      </c>
      <c r="CX23" s="34">
        <f>($B23/12)*(1+INDEX($C23:$E23,1,Control!$B$10))^CX5*INDEX($B$13:$M$13,1,MOD(97-1,12)+1)</f>
        <v/>
      </c>
      <c r="CY23" s="34">
        <f>($B23/12)*(1+INDEX($C23:$E23,1,Control!$B$10))^CY5*INDEX($B$13:$M$13,1,MOD(98-1,12)+1)</f>
        <v/>
      </c>
      <c r="CZ23" s="34">
        <f>($B23/12)*(1+INDEX($C23:$E23,1,Control!$B$10))^CZ5*INDEX($B$13:$M$13,1,MOD(99-1,12)+1)</f>
        <v/>
      </c>
      <c r="DA23" s="34">
        <f>($B23/12)*(1+INDEX($C23:$E23,1,Control!$B$10))^DA5*INDEX($B$13:$M$13,1,MOD(100-1,12)+1)</f>
        <v/>
      </c>
      <c r="DB23" s="34">
        <f>($B23/12)*(1+INDEX($C23:$E23,1,Control!$B$10))^DB5*INDEX($B$13:$M$13,1,MOD(101-1,12)+1)</f>
        <v/>
      </c>
      <c r="DC23" s="34">
        <f>($B23/12)*(1+INDEX($C23:$E23,1,Control!$B$10))^DC5*INDEX($B$13:$M$13,1,MOD(102-1,12)+1)</f>
        <v/>
      </c>
      <c r="DD23" s="34">
        <f>($B23/12)*(1+INDEX($C23:$E23,1,Control!$B$10))^DD5*INDEX($B$13:$M$13,1,MOD(103-1,12)+1)</f>
        <v/>
      </c>
      <c r="DE23" s="34">
        <f>($B23/12)*(1+INDEX($C23:$E23,1,Control!$B$10))^DE5*INDEX($B$13:$M$13,1,MOD(104-1,12)+1)</f>
        <v/>
      </c>
      <c r="DF23" s="34">
        <f>($B23/12)*(1+INDEX($C23:$E23,1,Control!$B$10))^DF5*INDEX($B$13:$M$13,1,MOD(105-1,12)+1)</f>
        <v/>
      </c>
      <c r="DG23" s="34">
        <f>($B23/12)*(1+INDEX($C23:$E23,1,Control!$B$10))^DG5*INDEX($B$13:$M$13,1,MOD(106-1,12)+1)</f>
        <v/>
      </c>
      <c r="DH23" s="34">
        <f>($B23/12)*(1+INDEX($C23:$E23,1,Control!$B$10))^DH5*INDEX($B$13:$M$13,1,MOD(107-1,12)+1)</f>
        <v/>
      </c>
      <c r="DI23" s="34">
        <f>($B23/12)*(1+INDEX($C23:$E23,1,Control!$B$10))^DI5*INDEX($B$13:$M$13,1,MOD(108-1,12)+1)</f>
        <v/>
      </c>
      <c r="DJ23" s="34">
        <f>($B23/12)*(1+INDEX($C23:$E23,1,Control!$B$10))^DJ5*INDEX($B$13:$M$13,1,MOD(109-1,12)+1)</f>
        <v/>
      </c>
      <c r="DK23" s="34">
        <f>($B23/12)*(1+INDEX($C23:$E23,1,Control!$B$10))^DK5*INDEX($B$13:$M$13,1,MOD(110-1,12)+1)</f>
        <v/>
      </c>
      <c r="DL23" s="34">
        <f>($B23/12)*(1+INDEX($C23:$E23,1,Control!$B$10))^DL5*INDEX($B$13:$M$13,1,MOD(111-1,12)+1)</f>
        <v/>
      </c>
      <c r="DM23" s="34">
        <f>($B23/12)*(1+INDEX($C23:$E23,1,Control!$B$10))^DM5*INDEX($B$13:$M$13,1,MOD(112-1,12)+1)</f>
        <v/>
      </c>
      <c r="DN23" s="34">
        <f>($B23/12)*(1+INDEX($C23:$E23,1,Control!$B$10))^DN5*INDEX($B$13:$M$13,1,MOD(113-1,12)+1)</f>
        <v/>
      </c>
      <c r="DO23" s="34">
        <f>($B23/12)*(1+INDEX($C23:$E23,1,Control!$B$10))^DO5*INDEX($B$13:$M$13,1,MOD(114-1,12)+1)</f>
        <v/>
      </c>
      <c r="DP23" s="34">
        <f>($B23/12)*(1+INDEX($C23:$E23,1,Control!$B$10))^DP5*INDEX($B$13:$M$13,1,MOD(115-1,12)+1)</f>
        <v/>
      </c>
      <c r="DQ23" s="34">
        <f>($B23/12)*(1+INDEX($C23:$E23,1,Control!$B$10))^DQ5*INDEX($B$13:$M$13,1,MOD(116-1,12)+1)</f>
        <v/>
      </c>
      <c r="DR23" s="34">
        <f>($B23/12)*(1+INDEX($C23:$E23,1,Control!$B$10))^DR5*INDEX($B$13:$M$13,1,MOD(117-1,12)+1)</f>
        <v/>
      </c>
      <c r="DS23" s="34">
        <f>($B23/12)*(1+INDEX($C23:$E23,1,Control!$B$10))^DS5*INDEX($B$13:$M$13,1,MOD(118-1,12)+1)</f>
        <v/>
      </c>
      <c r="DT23" s="34">
        <f>($B23/12)*(1+INDEX($C23:$E23,1,Control!$B$10))^DT5*INDEX($B$13:$M$13,1,MOD(119-1,12)+1)</f>
        <v/>
      </c>
      <c r="DU23" s="34">
        <f>($B23/12)*(1+INDEX($C23:$E23,1,Control!$B$10))^DU5*INDEX($B$13:$M$13,1,MOD(120-1,12)+1)</f>
        <v/>
      </c>
    </row>
    <row r="24">
      <c r="A24" t="inlineStr">
        <is>
          <t>SkyBrew-Kegs-OffTrade</t>
        </is>
      </c>
      <c r="B24" s="33" t="n">
        <v>0</v>
      </c>
      <c r="C24" s="22" t="n">
        <v>0.03</v>
      </c>
      <c r="D24" s="22" t="n">
        <v>0.05</v>
      </c>
      <c r="E24" s="22" t="n">
        <v>0.01</v>
      </c>
      <c r="F24" s="34">
        <f>($B24/12)*(1+INDEX($C24:$E24,1,Control!$B$10))^F5*INDEX($B$13:$M$13,1,MOD(1-1,12)+1)</f>
        <v/>
      </c>
      <c r="G24" s="34">
        <f>($B24/12)*(1+INDEX($C24:$E24,1,Control!$B$10))^G5*INDEX($B$13:$M$13,1,MOD(2-1,12)+1)</f>
        <v/>
      </c>
      <c r="H24" s="34">
        <f>($B24/12)*(1+INDEX($C24:$E24,1,Control!$B$10))^H5*INDEX($B$13:$M$13,1,MOD(3-1,12)+1)</f>
        <v/>
      </c>
      <c r="I24" s="34">
        <f>($B24/12)*(1+INDEX($C24:$E24,1,Control!$B$10))^I5*INDEX($B$13:$M$13,1,MOD(4-1,12)+1)</f>
        <v/>
      </c>
      <c r="J24" s="34">
        <f>($B24/12)*(1+INDEX($C24:$E24,1,Control!$B$10))^J5*INDEX($B$13:$M$13,1,MOD(5-1,12)+1)</f>
        <v/>
      </c>
      <c r="K24" s="34">
        <f>($B24/12)*(1+INDEX($C24:$E24,1,Control!$B$10))^K5*INDEX($B$13:$M$13,1,MOD(6-1,12)+1)</f>
        <v/>
      </c>
      <c r="L24" s="34">
        <f>($B24/12)*(1+INDEX($C24:$E24,1,Control!$B$10))^L5*INDEX($B$13:$M$13,1,MOD(7-1,12)+1)</f>
        <v/>
      </c>
      <c r="M24" s="34">
        <f>($B24/12)*(1+INDEX($C24:$E24,1,Control!$B$10))^M5*INDEX($B$13:$M$13,1,MOD(8-1,12)+1)</f>
        <v/>
      </c>
      <c r="N24" s="34">
        <f>($B24/12)*(1+INDEX($C24:$E24,1,Control!$B$10))^N5*INDEX($B$13:$M$13,1,MOD(9-1,12)+1)</f>
        <v/>
      </c>
      <c r="O24" s="34">
        <f>($B24/12)*(1+INDEX($C24:$E24,1,Control!$B$10))^O5*INDEX($B$13:$M$13,1,MOD(10-1,12)+1)</f>
        <v/>
      </c>
      <c r="P24" s="34">
        <f>($B24/12)*(1+INDEX($C24:$E24,1,Control!$B$10))^P5*INDEX($B$13:$M$13,1,MOD(11-1,12)+1)</f>
        <v/>
      </c>
      <c r="Q24" s="34">
        <f>($B24/12)*(1+INDEX($C24:$E24,1,Control!$B$10))^Q5*INDEX($B$13:$M$13,1,MOD(12-1,12)+1)</f>
        <v/>
      </c>
      <c r="R24" s="34">
        <f>($B24/12)*(1+INDEX($C24:$E24,1,Control!$B$10))^R5*INDEX($B$13:$M$13,1,MOD(13-1,12)+1)</f>
        <v/>
      </c>
      <c r="S24" s="34">
        <f>($B24/12)*(1+INDEX($C24:$E24,1,Control!$B$10))^S5*INDEX($B$13:$M$13,1,MOD(14-1,12)+1)</f>
        <v/>
      </c>
      <c r="T24" s="34">
        <f>($B24/12)*(1+INDEX($C24:$E24,1,Control!$B$10))^T5*INDEX($B$13:$M$13,1,MOD(15-1,12)+1)</f>
        <v/>
      </c>
      <c r="U24" s="34">
        <f>($B24/12)*(1+INDEX($C24:$E24,1,Control!$B$10))^U5*INDEX($B$13:$M$13,1,MOD(16-1,12)+1)</f>
        <v/>
      </c>
      <c r="V24" s="34">
        <f>($B24/12)*(1+INDEX($C24:$E24,1,Control!$B$10))^V5*INDEX($B$13:$M$13,1,MOD(17-1,12)+1)</f>
        <v/>
      </c>
      <c r="W24" s="34">
        <f>($B24/12)*(1+INDEX($C24:$E24,1,Control!$B$10))^W5*INDEX($B$13:$M$13,1,MOD(18-1,12)+1)</f>
        <v/>
      </c>
      <c r="X24" s="34">
        <f>($B24/12)*(1+INDEX($C24:$E24,1,Control!$B$10))^X5*INDEX($B$13:$M$13,1,MOD(19-1,12)+1)</f>
        <v/>
      </c>
      <c r="Y24" s="34">
        <f>($B24/12)*(1+INDEX($C24:$E24,1,Control!$B$10))^Y5*INDEX($B$13:$M$13,1,MOD(20-1,12)+1)</f>
        <v/>
      </c>
      <c r="Z24" s="34">
        <f>($B24/12)*(1+INDEX($C24:$E24,1,Control!$B$10))^Z5*INDEX($B$13:$M$13,1,MOD(21-1,12)+1)</f>
        <v/>
      </c>
      <c r="AA24" s="34">
        <f>($B24/12)*(1+INDEX($C24:$E24,1,Control!$B$10))^AA5*INDEX($B$13:$M$13,1,MOD(22-1,12)+1)</f>
        <v/>
      </c>
      <c r="AB24" s="34">
        <f>($B24/12)*(1+INDEX($C24:$E24,1,Control!$B$10))^AB5*INDEX($B$13:$M$13,1,MOD(23-1,12)+1)</f>
        <v/>
      </c>
      <c r="AC24" s="34">
        <f>($B24/12)*(1+INDEX($C24:$E24,1,Control!$B$10))^AC5*INDEX($B$13:$M$13,1,MOD(24-1,12)+1)</f>
        <v/>
      </c>
      <c r="AD24" s="34">
        <f>($B24/12)*(1+INDEX($C24:$E24,1,Control!$B$10))^AD5*INDEX($B$13:$M$13,1,MOD(25-1,12)+1)</f>
        <v/>
      </c>
      <c r="AE24" s="34">
        <f>($B24/12)*(1+INDEX($C24:$E24,1,Control!$B$10))^AE5*INDEX($B$13:$M$13,1,MOD(26-1,12)+1)</f>
        <v/>
      </c>
      <c r="AF24" s="34">
        <f>($B24/12)*(1+INDEX($C24:$E24,1,Control!$B$10))^AF5*INDEX($B$13:$M$13,1,MOD(27-1,12)+1)</f>
        <v/>
      </c>
      <c r="AG24" s="34">
        <f>($B24/12)*(1+INDEX($C24:$E24,1,Control!$B$10))^AG5*INDEX($B$13:$M$13,1,MOD(28-1,12)+1)</f>
        <v/>
      </c>
      <c r="AH24" s="34">
        <f>($B24/12)*(1+INDEX($C24:$E24,1,Control!$B$10))^AH5*INDEX($B$13:$M$13,1,MOD(29-1,12)+1)</f>
        <v/>
      </c>
      <c r="AI24" s="34">
        <f>($B24/12)*(1+INDEX($C24:$E24,1,Control!$B$10))^AI5*INDEX($B$13:$M$13,1,MOD(30-1,12)+1)</f>
        <v/>
      </c>
      <c r="AJ24" s="34">
        <f>($B24/12)*(1+INDEX($C24:$E24,1,Control!$B$10))^AJ5*INDEX($B$13:$M$13,1,MOD(31-1,12)+1)</f>
        <v/>
      </c>
      <c r="AK24" s="34">
        <f>($B24/12)*(1+INDEX($C24:$E24,1,Control!$B$10))^AK5*INDEX($B$13:$M$13,1,MOD(32-1,12)+1)</f>
        <v/>
      </c>
      <c r="AL24" s="34">
        <f>($B24/12)*(1+INDEX($C24:$E24,1,Control!$B$10))^AL5*INDEX($B$13:$M$13,1,MOD(33-1,12)+1)</f>
        <v/>
      </c>
      <c r="AM24" s="34">
        <f>($B24/12)*(1+INDEX($C24:$E24,1,Control!$B$10))^AM5*INDEX($B$13:$M$13,1,MOD(34-1,12)+1)</f>
        <v/>
      </c>
      <c r="AN24" s="34">
        <f>($B24/12)*(1+INDEX($C24:$E24,1,Control!$B$10))^AN5*INDEX($B$13:$M$13,1,MOD(35-1,12)+1)</f>
        <v/>
      </c>
      <c r="AO24" s="34">
        <f>($B24/12)*(1+INDEX($C24:$E24,1,Control!$B$10))^AO5*INDEX($B$13:$M$13,1,MOD(36-1,12)+1)</f>
        <v/>
      </c>
      <c r="AP24" s="34">
        <f>($B24/12)*(1+INDEX($C24:$E24,1,Control!$B$10))^AP5*INDEX($B$13:$M$13,1,MOD(37-1,12)+1)</f>
        <v/>
      </c>
      <c r="AQ24" s="34">
        <f>($B24/12)*(1+INDEX($C24:$E24,1,Control!$B$10))^AQ5*INDEX($B$13:$M$13,1,MOD(38-1,12)+1)</f>
        <v/>
      </c>
      <c r="AR24" s="34">
        <f>($B24/12)*(1+INDEX($C24:$E24,1,Control!$B$10))^AR5*INDEX($B$13:$M$13,1,MOD(39-1,12)+1)</f>
        <v/>
      </c>
      <c r="AS24" s="34">
        <f>($B24/12)*(1+INDEX($C24:$E24,1,Control!$B$10))^AS5*INDEX($B$13:$M$13,1,MOD(40-1,12)+1)</f>
        <v/>
      </c>
      <c r="AT24" s="34">
        <f>($B24/12)*(1+INDEX($C24:$E24,1,Control!$B$10))^AT5*INDEX($B$13:$M$13,1,MOD(41-1,12)+1)</f>
        <v/>
      </c>
      <c r="AU24" s="34">
        <f>($B24/12)*(1+INDEX($C24:$E24,1,Control!$B$10))^AU5*INDEX($B$13:$M$13,1,MOD(42-1,12)+1)</f>
        <v/>
      </c>
      <c r="AV24" s="34">
        <f>($B24/12)*(1+INDEX($C24:$E24,1,Control!$B$10))^AV5*INDEX($B$13:$M$13,1,MOD(43-1,12)+1)</f>
        <v/>
      </c>
      <c r="AW24" s="34">
        <f>($B24/12)*(1+INDEX($C24:$E24,1,Control!$B$10))^AW5*INDEX($B$13:$M$13,1,MOD(44-1,12)+1)</f>
        <v/>
      </c>
      <c r="AX24" s="34">
        <f>($B24/12)*(1+INDEX($C24:$E24,1,Control!$B$10))^AX5*INDEX($B$13:$M$13,1,MOD(45-1,12)+1)</f>
        <v/>
      </c>
      <c r="AY24" s="34">
        <f>($B24/12)*(1+INDEX($C24:$E24,1,Control!$B$10))^AY5*INDEX($B$13:$M$13,1,MOD(46-1,12)+1)</f>
        <v/>
      </c>
      <c r="AZ24" s="34">
        <f>($B24/12)*(1+INDEX($C24:$E24,1,Control!$B$10))^AZ5*INDEX($B$13:$M$13,1,MOD(47-1,12)+1)</f>
        <v/>
      </c>
      <c r="BA24" s="34">
        <f>($B24/12)*(1+INDEX($C24:$E24,1,Control!$B$10))^BA5*INDEX($B$13:$M$13,1,MOD(48-1,12)+1)</f>
        <v/>
      </c>
      <c r="BB24" s="34">
        <f>($B24/12)*(1+INDEX($C24:$E24,1,Control!$B$10))^BB5*INDEX($B$13:$M$13,1,MOD(49-1,12)+1)</f>
        <v/>
      </c>
      <c r="BC24" s="34">
        <f>($B24/12)*(1+INDEX($C24:$E24,1,Control!$B$10))^BC5*INDEX($B$13:$M$13,1,MOD(50-1,12)+1)</f>
        <v/>
      </c>
      <c r="BD24" s="34">
        <f>($B24/12)*(1+INDEX($C24:$E24,1,Control!$B$10))^BD5*INDEX($B$13:$M$13,1,MOD(51-1,12)+1)</f>
        <v/>
      </c>
      <c r="BE24" s="34">
        <f>($B24/12)*(1+INDEX($C24:$E24,1,Control!$B$10))^BE5*INDEX($B$13:$M$13,1,MOD(52-1,12)+1)</f>
        <v/>
      </c>
      <c r="BF24" s="34">
        <f>($B24/12)*(1+INDEX($C24:$E24,1,Control!$B$10))^BF5*INDEX($B$13:$M$13,1,MOD(53-1,12)+1)</f>
        <v/>
      </c>
      <c r="BG24" s="34">
        <f>($B24/12)*(1+INDEX($C24:$E24,1,Control!$B$10))^BG5*INDEX($B$13:$M$13,1,MOD(54-1,12)+1)</f>
        <v/>
      </c>
      <c r="BH24" s="34">
        <f>($B24/12)*(1+INDEX($C24:$E24,1,Control!$B$10))^BH5*INDEX($B$13:$M$13,1,MOD(55-1,12)+1)</f>
        <v/>
      </c>
      <c r="BI24" s="34">
        <f>($B24/12)*(1+INDEX($C24:$E24,1,Control!$B$10))^BI5*INDEX($B$13:$M$13,1,MOD(56-1,12)+1)</f>
        <v/>
      </c>
      <c r="BJ24" s="34">
        <f>($B24/12)*(1+INDEX($C24:$E24,1,Control!$B$10))^BJ5*INDEX($B$13:$M$13,1,MOD(57-1,12)+1)</f>
        <v/>
      </c>
      <c r="BK24" s="34">
        <f>($B24/12)*(1+INDEX($C24:$E24,1,Control!$B$10))^BK5*INDEX($B$13:$M$13,1,MOD(58-1,12)+1)</f>
        <v/>
      </c>
      <c r="BL24" s="34">
        <f>($B24/12)*(1+INDEX($C24:$E24,1,Control!$B$10))^BL5*INDEX($B$13:$M$13,1,MOD(59-1,12)+1)</f>
        <v/>
      </c>
      <c r="BM24" s="34">
        <f>($B24/12)*(1+INDEX($C24:$E24,1,Control!$B$10))^BM5*INDEX($B$13:$M$13,1,MOD(60-1,12)+1)</f>
        <v/>
      </c>
      <c r="BN24" s="34">
        <f>($B24/12)*(1+INDEX($C24:$E24,1,Control!$B$10))^BN5*INDEX($B$13:$M$13,1,MOD(61-1,12)+1)</f>
        <v/>
      </c>
      <c r="BO24" s="34">
        <f>($B24/12)*(1+INDEX($C24:$E24,1,Control!$B$10))^BO5*INDEX($B$13:$M$13,1,MOD(62-1,12)+1)</f>
        <v/>
      </c>
      <c r="BP24" s="34">
        <f>($B24/12)*(1+INDEX($C24:$E24,1,Control!$B$10))^BP5*INDEX($B$13:$M$13,1,MOD(63-1,12)+1)</f>
        <v/>
      </c>
      <c r="BQ24" s="34">
        <f>($B24/12)*(1+INDEX($C24:$E24,1,Control!$B$10))^BQ5*INDEX($B$13:$M$13,1,MOD(64-1,12)+1)</f>
        <v/>
      </c>
      <c r="BR24" s="34">
        <f>($B24/12)*(1+INDEX($C24:$E24,1,Control!$B$10))^BR5*INDEX($B$13:$M$13,1,MOD(65-1,12)+1)</f>
        <v/>
      </c>
      <c r="BS24" s="34">
        <f>($B24/12)*(1+INDEX($C24:$E24,1,Control!$B$10))^BS5*INDEX($B$13:$M$13,1,MOD(66-1,12)+1)</f>
        <v/>
      </c>
      <c r="BT24" s="34">
        <f>($B24/12)*(1+INDEX($C24:$E24,1,Control!$B$10))^BT5*INDEX($B$13:$M$13,1,MOD(67-1,12)+1)</f>
        <v/>
      </c>
      <c r="BU24" s="34">
        <f>($B24/12)*(1+INDEX($C24:$E24,1,Control!$B$10))^BU5*INDEX($B$13:$M$13,1,MOD(68-1,12)+1)</f>
        <v/>
      </c>
      <c r="BV24" s="34">
        <f>($B24/12)*(1+INDEX($C24:$E24,1,Control!$B$10))^BV5*INDEX($B$13:$M$13,1,MOD(69-1,12)+1)</f>
        <v/>
      </c>
      <c r="BW24" s="34">
        <f>($B24/12)*(1+INDEX($C24:$E24,1,Control!$B$10))^BW5*INDEX($B$13:$M$13,1,MOD(70-1,12)+1)</f>
        <v/>
      </c>
      <c r="BX24" s="34">
        <f>($B24/12)*(1+INDEX($C24:$E24,1,Control!$B$10))^BX5*INDEX($B$13:$M$13,1,MOD(71-1,12)+1)</f>
        <v/>
      </c>
      <c r="BY24" s="34">
        <f>($B24/12)*(1+INDEX($C24:$E24,1,Control!$B$10))^BY5*INDEX($B$13:$M$13,1,MOD(72-1,12)+1)</f>
        <v/>
      </c>
      <c r="BZ24" s="34">
        <f>($B24/12)*(1+INDEX($C24:$E24,1,Control!$B$10))^BZ5*INDEX($B$13:$M$13,1,MOD(73-1,12)+1)</f>
        <v/>
      </c>
      <c r="CA24" s="34">
        <f>($B24/12)*(1+INDEX($C24:$E24,1,Control!$B$10))^CA5*INDEX($B$13:$M$13,1,MOD(74-1,12)+1)</f>
        <v/>
      </c>
      <c r="CB24" s="34">
        <f>($B24/12)*(1+INDEX($C24:$E24,1,Control!$B$10))^CB5*INDEX($B$13:$M$13,1,MOD(75-1,12)+1)</f>
        <v/>
      </c>
      <c r="CC24" s="34">
        <f>($B24/12)*(1+INDEX($C24:$E24,1,Control!$B$10))^CC5*INDEX($B$13:$M$13,1,MOD(76-1,12)+1)</f>
        <v/>
      </c>
      <c r="CD24" s="34">
        <f>($B24/12)*(1+INDEX($C24:$E24,1,Control!$B$10))^CD5*INDEX($B$13:$M$13,1,MOD(77-1,12)+1)</f>
        <v/>
      </c>
      <c r="CE24" s="34">
        <f>($B24/12)*(1+INDEX($C24:$E24,1,Control!$B$10))^CE5*INDEX($B$13:$M$13,1,MOD(78-1,12)+1)</f>
        <v/>
      </c>
      <c r="CF24" s="34">
        <f>($B24/12)*(1+INDEX($C24:$E24,1,Control!$B$10))^CF5*INDEX($B$13:$M$13,1,MOD(79-1,12)+1)</f>
        <v/>
      </c>
      <c r="CG24" s="34">
        <f>($B24/12)*(1+INDEX($C24:$E24,1,Control!$B$10))^CG5*INDEX($B$13:$M$13,1,MOD(80-1,12)+1)</f>
        <v/>
      </c>
      <c r="CH24" s="34">
        <f>($B24/12)*(1+INDEX($C24:$E24,1,Control!$B$10))^CH5*INDEX($B$13:$M$13,1,MOD(81-1,12)+1)</f>
        <v/>
      </c>
      <c r="CI24" s="34">
        <f>($B24/12)*(1+INDEX($C24:$E24,1,Control!$B$10))^CI5*INDEX($B$13:$M$13,1,MOD(82-1,12)+1)</f>
        <v/>
      </c>
      <c r="CJ24" s="34">
        <f>($B24/12)*(1+INDEX($C24:$E24,1,Control!$B$10))^CJ5*INDEX($B$13:$M$13,1,MOD(83-1,12)+1)</f>
        <v/>
      </c>
      <c r="CK24" s="34">
        <f>($B24/12)*(1+INDEX($C24:$E24,1,Control!$B$10))^CK5*INDEX($B$13:$M$13,1,MOD(84-1,12)+1)</f>
        <v/>
      </c>
      <c r="CL24" s="34">
        <f>($B24/12)*(1+INDEX($C24:$E24,1,Control!$B$10))^CL5*INDEX($B$13:$M$13,1,MOD(85-1,12)+1)</f>
        <v/>
      </c>
      <c r="CM24" s="34">
        <f>($B24/12)*(1+INDEX($C24:$E24,1,Control!$B$10))^CM5*INDEX($B$13:$M$13,1,MOD(86-1,12)+1)</f>
        <v/>
      </c>
      <c r="CN24" s="34">
        <f>($B24/12)*(1+INDEX($C24:$E24,1,Control!$B$10))^CN5*INDEX($B$13:$M$13,1,MOD(87-1,12)+1)</f>
        <v/>
      </c>
      <c r="CO24" s="34">
        <f>($B24/12)*(1+INDEX($C24:$E24,1,Control!$B$10))^CO5*INDEX($B$13:$M$13,1,MOD(88-1,12)+1)</f>
        <v/>
      </c>
      <c r="CP24" s="34">
        <f>($B24/12)*(1+INDEX($C24:$E24,1,Control!$B$10))^CP5*INDEX($B$13:$M$13,1,MOD(89-1,12)+1)</f>
        <v/>
      </c>
      <c r="CQ24" s="34">
        <f>($B24/12)*(1+INDEX($C24:$E24,1,Control!$B$10))^CQ5*INDEX($B$13:$M$13,1,MOD(90-1,12)+1)</f>
        <v/>
      </c>
      <c r="CR24" s="34">
        <f>($B24/12)*(1+INDEX($C24:$E24,1,Control!$B$10))^CR5*INDEX($B$13:$M$13,1,MOD(91-1,12)+1)</f>
        <v/>
      </c>
      <c r="CS24" s="34">
        <f>($B24/12)*(1+INDEX($C24:$E24,1,Control!$B$10))^CS5*INDEX($B$13:$M$13,1,MOD(92-1,12)+1)</f>
        <v/>
      </c>
      <c r="CT24" s="34">
        <f>($B24/12)*(1+INDEX($C24:$E24,1,Control!$B$10))^CT5*INDEX($B$13:$M$13,1,MOD(93-1,12)+1)</f>
        <v/>
      </c>
      <c r="CU24" s="34">
        <f>($B24/12)*(1+INDEX($C24:$E24,1,Control!$B$10))^CU5*INDEX($B$13:$M$13,1,MOD(94-1,12)+1)</f>
        <v/>
      </c>
      <c r="CV24" s="34">
        <f>($B24/12)*(1+INDEX($C24:$E24,1,Control!$B$10))^CV5*INDEX($B$13:$M$13,1,MOD(95-1,12)+1)</f>
        <v/>
      </c>
      <c r="CW24" s="34">
        <f>($B24/12)*(1+INDEX($C24:$E24,1,Control!$B$10))^CW5*INDEX($B$13:$M$13,1,MOD(96-1,12)+1)</f>
        <v/>
      </c>
      <c r="CX24" s="34">
        <f>($B24/12)*(1+INDEX($C24:$E24,1,Control!$B$10))^CX5*INDEX($B$13:$M$13,1,MOD(97-1,12)+1)</f>
        <v/>
      </c>
      <c r="CY24" s="34">
        <f>($B24/12)*(1+INDEX($C24:$E24,1,Control!$B$10))^CY5*INDEX($B$13:$M$13,1,MOD(98-1,12)+1)</f>
        <v/>
      </c>
      <c r="CZ24" s="34">
        <f>($B24/12)*(1+INDEX($C24:$E24,1,Control!$B$10))^CZ5*INDEX($B$13:$M$13,1,MOD(99-1,12)+1)</f>
        <v/>
      </c>
      <c r="DA24" s="34">
        <f>($B24/12)*(1+INDEX($C24:$E24,1,Control!$B$10))^DA5*INDEX($B$13:$M$13,1,MOD(100-1,12)+1)</f>
        <v/>
      </c>
      <c r="DB24" s="34">
        <f>($B24/12)*(1+INDEX($C24:$E24,1,Control!$B$10))^DB5*INDEX($B$13:$M$13,1,MOD(101-1,12)+1)</f>
        <v/>
      </c>
      <c r="DC24" s="34">
        <f>($B24/12)*(1+INDEX($C24:$E24,1,Control!$B$10))^DC5*INDEX($B$13:$M$13,1,MOD(102-1,12)+1)</f>
        <v/>
      </c>
      <c r="DD24" s="34">
        <f>($B24/12)*(1+INDEX($C24:$E24,1,Control!$B$10))^DD5*INDEX($B$13:$M$13,1,MOD(103-1,12)+1)</f>
        <v/>
      </c>
      <c r="DE24" s="34">
        <f>($B24/12)*(1+INDEX($C24:$E24,1,Control!$B$10))^DE5*INDEX($B$13:$M$13,1,MOD(104-1,12)+1)</f>
        <v/>
      </c>
      <c r="DF24" s="34">
        <f>($B24/12)*(1+INDEX($C24:$E24,1,Control!$B$10))^DF5*INDEX($B$13:$M$13,1,MOD(105-1,12)+1)</f>
        <v/>
      </c>
      <c r="DG24" s="34">
        <f>($B24/12)*(1+INDEX($C24:$E24,1,Control!$B$10))^DG5*INDEX($B$13:$M$13,1,MOD(106-1,12)+1)</f>
        <v/>
      </c>
      <c r="DH24" s="34">
        <f>($B24/12)*(1+INDEX($C24:$E24,1,Control!$B$10))^DH5*INDEX($B$13:$M$13,1,MOD(107-1,12)+1)</f>
        <v/>
      </c>
      <c r="DI24" s="34">
        <f>($B24/12)*(1+INDEX($C24:$E24,1,Control!$B$10))^DI5*INDEX($B$13:$M$13,1,MOD(108-1,12)+1)</f>
        <v/>
      </c>
      <c r="DJ24" s="34">
        <f>($B24/12)*(1+INDEX($C24:$E24,1,Control!$B$10))^DJ5*INDEX($B$13:$M$13,1,MOD(109-1,12)+1)</f>
        <v/>
      </c>
      <c r="DK24" s="34">
        <f>($B24/12)*(1+INDEX($C24:$E24,1,Control!$B$10))^DK5*INDEX($B$13:$M$13,1,MOD(110-1,12)+1)</f>
        <v/>
      </c>
      <c r="DL24" s="34">
        <f>($B24/12)*(1+INDEX($C24:$E24,1,Control!$B$10))^DL5*INDEX($B$13:$M$13,1,MOD(111-1,12)+1)</f>
        <v/>
      </c>
      <c r="DM24" s="34">
        <f>($B24/12)*(1+INDEX($C24:$E24,1,Control!$B$10))^DM5*INDEX($B$13:$M$13,1,MOD(112-1,12)+1)</f>
        <v/>
      </c>
      <c r="DN24" s="34">
        <f>($B24/12)*(1+INDEX($C24:$E24,1,Control!$B$10))^DN5*INDEX($B$13:$M$13,1,MOD(113-1,12)+1)</f>
        <v/>
      </c>
      <c r="DO24" s="34">
        <f>($B24/12)*(1+INDEX($C24:$E24,1,Control!$B$10))^DO5*INDEX($B$13:$M$13,1,MOD(114-1,12)+1)</f>
        <v/>
      </c>
      <c r="DP24" s="34">
        <f>($B24/12)*(1+INDEX($C24:$E24,1,Control!$B$10))^DP5*INDEX($B$13:$M$13,1,MOD(115-1,12)+1)</f>
        <v/>
      </c>
      <c r="DQ24" s="34">
        <f>($B24/12)*(1+INDEX($C24:$E24,1,Control!$B$10))^DQ5*INDEX($B$13:$M$13,1,MOD(116-1,12)+1)</f>
        <v/>
      </c>
      <c r="DR24" s="34">
        <f>($B24/12)*(1+INDEX($C24:$E24,1,Control!$B$10))^DR5*INDEX($B$13:$M$13,1,MOD(117-1,12)+1)</f>
        <v/>
      </c>
      <c r="DS24" s="34">
        <f>($B24/12)*(1+INDEX($C24:$E24,1,Control!$B$10))^DS5*INDEX($B$13:$M$13,1,MOD(118-1,12)+1)</f>
        <v/>
      </c>
      <c r="DT24" s="34">
        <f>($B24/12)*(1+INDEX($C24:$E24,1,Control!$B$10))^DT5*INDEX($B$13:$M$13,1,MOD(119-1,12)+1)</f>
        <v/>
      </c>
      <c r="DU24" s="34">
        <f>($B24/12)*(1+INDEX($C24:$E24,1,Control!$B$10))^DU5*INDEX($B$13:$M$13,1,MOD(120-1,12)+1)</f>
        <v/>
      </c>
    </row>
    <row r="25">
      <c r="A25" t="inlineStr">
        <is>
          <t>AllDark-Bottles-OnTrade</t>
        </is>
      </c>
      <c r="B25" s="33" t="n">
        <v>15000</v>
      </c>
      <c r="C25" s="22" t="n">
        <v>0.04</v>
      </c>
      <c r="D25" s="22" t="n">
        <v>0.06</v>
      </c>
      <c r="E25" s="22" t="n">
        <v>0.02</v>
      </c>
      <c r="F25" s="34">
        <f>($B25/12)*(1+INDEX($C25:$E25,1,Control!$B$10))^F5*INDEX($B$13:$M$13,1,MOD(1-1,12)+1)</f>
        <v/>
      </c>
      <c r="G25" s="34">
        <f>($B25/12)*(1+INDEX($C25:$E25,1,Control!$B$10))^G5*INDEX($B$13:$M$13,1,MOD(2-1,12)+1)</f>
        <v/>
      </c>
      <c r="H25" s="34">
        <f>($B25/12)*(1+INDEX($C25:$E25,1,Control!$B$10))^H5*INDEX($B$13:$M$13,1,MOD(3-1,12)+1)</f>
        <v/>
      </c>
      <c r="I25" s="34">
        <f>($B25/12)*(1+INDEX($C25:$E25,1,Control!$B$10))^I5*INDEX($B$13:$M$13,1,MOD(4-1,12)+1)</f>
        <v/>
      </c>
      <c r="J25" s="34">
        <f>($B25/12)*(1+INDEX($C25:$E25,1,Control!$B$10))^J5*INDEX($B$13:$M$13,1,MOD(5-1,12)+1)</f>
        <v/>
      </c>
      <c r="K25" s="34">
        <f>($B25/12)*(1+INDEX($C25:$E25,1,Control!$B$10))^K5*INDEX($B$13:$M$13,1,MOD(6-1,12)+1)</f>
        <v/>
      </c>
      <c r="L25" s="34">
        <f>($B25/12)*(1+INDEX($C25:$E25,1,Control!$B$10))^L5*INDEX($B$13:$M$13,1,MOD(7-1,12)+1)</f>
        <v/>
      </c>
      <c r="M25" s="34">
        <f>($B25/12)*(1+INDEX($C25:$E25,1,Control!$B$10))^M5*INDEX($B$13:$M$13,1,MOD(8-1,12)+1)</f>
        <v/>
      </c>
      <c r="N25" s="34">
        <f>($B25/12)*(1+INDEX($C25:$E25,1,Control!$B$10))^N5*INDEX($B$13:$M$13,1,MOD(9-1,12)+1)</f>
        <v/>
      </c>
      <c r="O25" s="34">
        <f>($B25/12)*(1+INDEX($C25:$E25,1,Control!$B$10))^O5*INDEX($B$13:$M$13,1,MOD(10-1,12)+1)</f>
        <v/>
      </c>
      <c r="P25" s="34">
        <f>($B25/12)*(1+INDEX($C25:$E25,1,Control!$B$10))^P5*INDEX($B$13:$M$13,1,MOD(11-1,12)+1)</f>
        <v/>
      </c>
      <c r="Q25" s="34">
        <f>($B25/12)*(1+INDEX($C25:$E25,1,Control!$B$10))^Q5*INDEX($B$13:$M$13,1,MOD(12-1,12)+1)</f>
        <v/>
      </c>
      <c r="R25" s="34">
        <f>($B25/12)*(1+INDEX($C25:$E25,1,Control!$B$10))^R5*INDEX($B$13:$M$13,1,MOD(13-1,12)+1)</f>
        <v/>
      </c>
      <c r="S25" s="34">
        <f>($B25/12)*(1+INDEX($C25:$E25,1,Control!$B$10))^S5*INDEX($B$13:$M$13,1,MOD(14-1,12)+1)</f>
        <v/>
      </c>
      <c r="T25" s="34">
        <f>($B25/12)*(1+INDEX($C25:$E25,1,Control!$B$10))^T5*INDEX($B$13:$M$13,1,MOD(15-1,12)+1)</f>
        <v/>
      </c>
      <c r="U25" s="34">
        <f>($B25/12)*(1+INDEX($C25:$E25,1,Control!$B$10))^U5*INDEX($B$13:$M$13,1,MOD(16-1,12)+1)</f>
        <v/>
      </c>
      <c r="V25" s="34">
        <f>($B25/12)*(1+INDEX($C25:$E25,1,Control!$B$10))^V5*INDEX($B$13:$M$13,1,MOD(17-1,12)+1)</f>
        <v/>
      </c>
      <c r="W25" s="34">
        <f>($B25/12)*(1+INDEX($C25:$E25,1,Control!$B$10))^W5*INDEX($B$13:$M$13,1,MOD(18-1,12)+1)</f>
        <v/>
      </c>
      <c r="X25" s="34">
        <f>($B25/12)*(1+INDEX($C25:$E25,1,Control!$B$10))^X5*INDEX($B$13:$M$13,1,MOD(19-1,12)+1)</f>
        <v/>
      </c>
      <c r="Y25" s="34">
        <f>($B25/12)*(1+INDEX($C25:$E25,1,Control!$B$10))^Y5*INDEX($B$13:$M$13,1,MOD(20-1,12)+1)</f>
        <v/>
      </c>
      <c r="Z25" s="34">
        <f>($B25/12)*(1+INDEX($C25:$E25,1,Control!$B$10))^Z5*INDEX($B$13:$M$13,1,MOD(21-1,12)+1)</f>
        <v/>
      </c>
      <c r="AA25" s="34">
        <f>($B25/12)*(1+INDEX($C25:$E25,1,Control!$B$10))^AA5*INDEX($B$13:$M$13,1,MOD(22-1,12)+1)</f>
        <v/>
      </c>
      <c r="AB25" s="34">
        <f>($B25/12)*(1+INDEX($C25:$E25,1,Control!$B$10))^AB5*INDEX($B$13:$M$13,1,MOD(23-1,12)+1)</f>
        <v/>
      </c>
      <c r="AC25" s="34">
        <f>($B25/12)*(1+INDEX($C25:$E25,1,Control!$B$10))^AC5*INDEX($B$13:$M$13,1,MOD(24-1,12)+1)</f>
        <v/>
      </c>
      <c r="AD25" s="34">
        <f>($B25/12)*(1+INDEX($C25:$E25,1,Control!$B$10))^AD5*INDEX($B$13:$M$13,1,MOD(25-1,12)+1)</f>
        <v/>
      </c>
      <c r="AE25" s="34">
        <f>($B25/12)*(1+INDEX($C25:$E25,1,Control!$B$10))^AE5*INDEX($B$13:$M$13,1,MOD(26-1,12)+1)</f>
        <v/>
      </c>
      <c r="AF25" s="34">
        <f>($B25/12)*(1+INDEX($C25:$E25,1,Control!$B$10))^AF5*INDEX($B$13:$M$13,1,MOD(27-1,12)+1)</f>
        <v/>
      </c>
      <c r="AG25" s="34">
        <f>($B25/12)*(1+INDEX($C25:$E25,1,Control!$B$10))^AG5*INDEX($B$13:$M$13,1,MOD(28-1,12)+1)</f>
        <v/>
      </c>
      <c r="AH25" s="34">
        <f>($B25/12)*(1+INDEX($C25:$E25,1,Control!$B$10))^AH5*INDEX($B$13:$M$13,1,MOD(29-1,12)+1)</f>
        <v/>
      </c>
      <c r="AI25" s="34">
        <f>($B25/12)*(1+INDEX($C25:$E25,1,Control!$B$10))^AI5*INDEX($B$13:$M$13,1,MOD(30-1,12)+1)</f>
        <v/>
      </c>
      <c r="AJ25" s="34">
        <f>($B25/12)*(1+INDEX($C25:$E25,1,Control!$B$10))^AJ5*INDEX($B$13:$M$13,1,MOD(31-1,12)+1)</f>
        <v/>
      </c>
      <c r="AK25" s="34">
        <f>($B25/12)*(1+INDEX($C25:$E25,1,Control!$B$10))^AK5*INDEX($B$13:$M$13,1,MOD(32-1,12)+1)</f>
        <v/>
      </c>
      <c r="AL25" s="34">
        <f>($B25/12)*(1+INDEX($C25:$E25,1,Control!$B$10))^AL5*INDEX($B$13:$M$13,1,MOD(33-1,12)+1)</f>
        <v/>
      </c>
      <c r="AM25" s="34">
        <f>($B25/12)*(1+INDEX($C25:$E25,1,Control!$B$10))^AM5*INDEX($B$13:$M$13,1,MOD(34-1,12)+1)</f>
        <v/>
      </c>
      <c r="AN25" s="34">
        <f>($B25/12)*(1+INDEX($C25:$E25,1,Control!$B$10))^AN5*INDEX($B$13:$M$13,1,MOD(35-1,12)+1)</f>
        <v/>
      </c>
      <c r="AO25" s="34">
        <f>($B25/12)*(1+INDEX($C25:$E25,1,Control!$B$10))^AO5*INDEX($B$13:$M$13,1,MOD(36-1,12)+1)</f>
        <v/>
      </c>
      <c r="AP25" s="34">
        <f>($B25/12)*(1+INDEX($C25:$E25,1,Control!$B$10))^AP5*INDEX($B$13:$M$13,1,MOD(37-1,12)+1)</f>
        <v/>
      </c>
      <c r="AQ25" s="34">
        <f>($B25/12)*(1+INDEX($C25:$E25,1,Control!$B$10))^AQ5*INDEX($B$13:$M$13,1,MOD(38-1,12)+1)</f>
        <v/>
      </c>
      <c r="AR25" s="34">
        <f>($B25/12)*(1+INDEX($C25:$E25,1,Control!$B$10))^AR5*INDEX($B$13:$M$13,1,MOD(39-1,12)+1)</f>
        <v/>
      </c>
      <c r="AS25" s="34">
        <f>($B25/12)*(1+INDEX($C25:$E25,1,Control!$B$10))^AS5*INDEX($B$13:$M$13,1,MOD(40-1,12)+1)</f>
        <v/>
      </c>
      <c r="AT25" s="34">
        <f>($B25/12)*(1+INDEX($C25:$E25,1,Control!$B$10))^AT5*INDEX($B$13:$M$13,1,MOD(41-1,12)+1)</f>
        <v/>
      </c>
      <c r="AU25" s="34">
        <f>($B25/12)*(1+INDEX($C25:$E25,1,Control!$B$10))^AU5*INDEX($B$13:$M$13,1,MOD(42-1,12)+1)</f>
        <v/>
      </c>
      <c r="AV25" s="34">
        <f>($B25/12)*(1+INDEX($C25:$E25,1,Control!$B$10))^AV5*INDEX($B$13:$M$13,1,MOD(43-1,12)+1)</f>
        <v/>
      </c>
      <c r="AW25" s="34">
        <f>($B25/12)*(1+INDEX($C25:$E25,1,Control!$B$10))^AW5*INDEX($B$13:$M$13,1,MOD(44-1,12)+1)</f>
        <v/>
      </c>
      <c r="AX25" s="34">
        <f>($B25/12)*(1+INDEX($C25:$E25,1,Control!$B$10))^AX5*INDEX($B$13:$M$13,1,MOD(45-1,12)+1)</f>
        <v/>
      </c>
      <c r="AY25" s="34">
        <f>($B25/12)*(1+INDEX($C25:$E25,1,Control!$B$10))^AY5*INDEX($B$13:$M$13,1,MOD(46-1,12)+1)</f>
        <v/>
      </c>
      <c r="AZ25" s="34">
        <f>($B25/12)*(1+INDEX($C25:$E25,1,Control!$B$10))^AZ5*INDEX($B$13:$M$13,1,MOD(47-1,12)+1)</f>
        <v/>
      </c>
      <c r="BA25" s="34">
        <f>($B25/12)*(1+INDEX($C25:$E25,1,Control!$B$10))^BA5*INDEX($B$13:$M$13,1,MOD(48-1,12)+1)</f>
        <v/>
      </c>
      <c r="BB25" s="34">
        <f>($B25/12)*(1+INDEX($C25:$E25,1,Control!$B$10))^BB5*INDEX($B$13:$M$13,1,MOD(49-1,12)+1)</f>
        <v/>
      </c>
      <c r="BC25" s="34">
        <f>($B25/12)*(1+INDEX($C25:$E25,1,Control!$B$10))^BC5*INDEX($B$13:$M$13,1,MOD(50-1,12)+1)</f>
        <v/>
      </c>
      <c r="BD25" s="34">
        <f>($B25/12)*(1+INDEX($C25:$E25,1,Control!$B$10))^BD5*INDEX($B$13:$M$13,1,MOD(51-1,12)+1)</f>
        <v/>
      </c>
      <c r="BE25" s="34">
        <f>($B25/12)*(1+INDEX($C25:$E25,1,Control!$B$10))^BE5*INDEX($B$13:$M$13,1,MOD(52-1,12)+1)</f>
        <v/>
      </c>
      <c r="BF25" s="34">
        <f>($B25/12)*(1+INDEX($C25:$E25,1,Control!$B$10))^BF5*INDEX($B$13:$M$13,1,MOD(53-1,12)+1)</f>
        <v/>
      </c>
      <c r="BG25" s="34">
        <f>($B25/12)*(1+INDEX($C25:$E25,1,Control!$B$10))^BG5*INDEX($B$13:$M$13,1,MOD(54-1,12)+1)</f>
        <v/>
      </c>
      <c r="BH25" s="34">
        <f>($B25/12)*(1+INDEX($C25:$E25,1,Control!$B$10))^BH5*INDEX($B$13:$M$13,1,MOD(55-1,12)+1)</f>
        <v/>
      </c>
      <c r="BI25" s="34">
        <f>($B25/12)*(1+INDEX($C25:$E25,1,Control!$B$10))^BI5*INDEX($B$13:$M$13,1,MOD(56-1,12)+1)</f>
        <v/>
      </c>
      <c r="BJ25" s="34">
        <f>($B25/12)*(1+INDEX($C25:$E25,1,Control!$B$10))^BJ5*INDEX($B$13:$M$13,1,MOD(57-1,12)+1)</f>
        <v/>
      </c>
      <c r="BK25" s="34">
        <f>($B25/12)*(1+INDEX($C25:$E25,1,Control!$B$10))^BK5*INDEX($B$13:$M$13,1,MOD(58-1,12)+1)</f>
        <v/>
      </c>
      <c r="BL25" s="34">
        <f>($B25/12)*(1+INDEX($C25:$E25,1,Control!$B$10))^BL5*INDEX($B$13:$M$13,1,MOD(59-1,12)+1)</f>
        <v/>
      </c>
      <c r="BM25" s="34">
        <f>($B25/12)*(1+INDEX($C25:$E25,1,Control!$B$10))^BM5*INDEX($B$13:$M$13,1,MOD(60-1,12)+1)</f>
        <v/>
      </c>
      <c r="BN25" s="34">
        <f>($B25/12)*(1+INDEX($C25:$E25,1,Control!$B$10))^BN5*INDEX($B$13:$M$13,1,MOD(61-1,12)+1)</f>
        <v/>
      </c>
      <c r="BO25" s="34">
        <f>($B25/12)*(1+INDEX($C25:$E25,1,Control!$B$10))^BO5*INDEX($B$13:$M$13,1,MOD(62-1,12)+1)</f>
        <v/>
      </c>
      <c r="BP25" s="34">
        <f>($B25/12)*(1+INDEX($C25:$E25,1,Control!$B$10))^BP5*INDEX($B$13:$M$13,1,MOD(63-1,12)+1)</f>
        <v/>
      </c>
      <c r="BQ25" s="34">
        <f>($B25/12)*(1+INDEX($C25:$E25,1,Control!$B$10))^BQ5*INDEX($B$13:$M$13,1,MOD(64-1,12)+1)</f>
        <v/>
      </c>
      <c r="BR25" s="34">
        <f>($B25/12)*(1+INDEX($C25:$E25,1,Control!$B$10))^BR5*INDEX($B$13:$M$13,1,MOD(65-1,12)+1)</f>
        <v/>
      </c>
      <c r="BS25" s="34">
        <f>($B25/12)*(1+INDEX($C25:$E25,1,Control!$B$10))^BS5*INDEX($B$13:$M$13,1,MOD(66-1,12)+1)</f>
        <v/>
      </c>
      <c r="BT25" s="34">
        <f>($B25/12)*(1+INDEX($C25:$E25,1,Control!$B$10))^BT5*INDEX($B$13:$M$13,1,MOD(67-1,12)+1)</f>
        <v/>
      </c>
      <c r="BU25" s="34">
        <f>($B25/12)*(1+INDEX($C25:$E25,1,Control!$B$10))^BU5*INDEX($B$13:$M$13,1,MOD(68-1,12)+1)</f>
        <v/>
      </c>
      <c r="BV25" s="34">
        <f>($B25/12)*(1+INDEX($C25:$E25,1,Control!$B$10))^BV5*INDEX($B$13:$M$13,1,MOD(69-1,12)+1)</f>
        <v/>
      </c>
      <c r="BW25" s="34">
        <f>($B25/12)*(1+INDEX($C25:$E25,1,Control!$B$10))^BW5*INDEX($B$13:$M$13,1,MOD(70-1,12)+1)</f>
        <v/>
      </c>
      <c r="BX25" s="34">
        <f>($B25/12)*(1+INDEX($C25:$E25,1,Control!$B$10))^BX5*INDEX($B$13:$M$13,1,MOD(71-1,12)+1)</f>
        <v/>
      </c>
      <c r="BY25" s="34">
        <f>($B25/12)*(1+INDEX($C25:$E25,1,Control!$B$10))^BY5*INDEX($B$13:$M$13,1,MOD(72-1,12)+1)</f>
        <v/>
      </c>
      <c r="BZ25" s="34">
        <f>($B25/12)*(1+INDEX($C25:$E25,1,Control!$B$10))^BZ5*INDEX($B$13:$M$13,1,MOD(73-1,12)+1)</f>
        <v/>
      </c>
      <c r="CA25" s="34">
        <f>($B25/12)*(1+INDEX($C25:$E25,1,Control!$B$10))^CA5*INDEX($B$13:$M$13,1,MOD(74-1,12)+1)</f>
        <v/>
      </c>
      <c r="CB25" s="34">
        <f>($B25/12)*(1+INDEX($C25:$E25,1,Control!$B$10))^CB5*INDEX($B$13:$M$13,1,MOD(75-1,12)+1)</f>
        <v/>
      </c>
      <c r="CC25" s="34">
        <f>($B25/12)*(1+INDEX($C25:$E25,1,Control!$B$10))^CC5*INDEX($B$13:$M$13,1,MOD(76-1,12)+1)</f>
        <v/>
      </c>
      <c r="CD25" s="34">
        <f>($B25/12)*(1+INDEX($C25:$E25,1,Control!$B$10))^CD5*INDEX($B$13:$M$13,1,MOD(77-1,12)+1)</f>
        <v/>
      </c>
      <c r="CE25" s="34">
        <f>($B25/12)*(1+INDEX($C25:$E25,1,Control!$B$10))^CE5*INDEX($B$13:$M$13,1,MOD(78-1,12)+1)</f>
        <v/>
      </c>
      <c r="CF25" s="34">
        <f>($B25/12)*(1+INDEX($C25:$E25,1,Control!$B$10))^CF5*INDEX($B$13:$M$13,1,MOD(79-1,12)+1)</f>
        <v/>
      </c>
      <c r="CG25" s="34">
        <f>($B25/12)*(1+INDEX($C25:$E25,1,Control!$B$10))^CG5*INDEX($B$13:$M$13,1,MOD(80-1,12)+1)</f>
        <v/>
      </c>
      <c r="CH25" s="34">
        <f>($B25/12)*(1+INDEX($C25:$E25,1,Control!$B$10))^CH5*INDEX($B$13:$M$13,1,MOD(81-1,12)+1)</f>
        <v/>
      </c>
      <c r="CI25" s="34">
        <f>($B25/12)*(1+INDEX($C25:$E25,1,Control!$B$10))^CI5*INDEX($B$13:$M$13,1,MOD(82-1,12)+1)</f>
        <v/>
      </c>
      <c r="CJ25" s="34">
        <f>($B25/12)*(1+INDEX($C25:$E25,1,Control!$B$10))^CJ5*INDEX($B$13:$M$13,1,MOD(83-1,12)+1)</f>
        <v/>
      </c>
      <c r="CK25" s="34">
        <f>($B25/12)*(1+INDEX($C25:$E25,1,Control!$B$10))^CK5*INDEX($B$13:$M$13,1,MOD(84-1,12)+1)</f>
        <v/>
      </c>
      <c r="CL25" s="34">
        <f>($B25/12)*(1+INDEX($C25:$E25,1,Control!$B$10))^CL5*INDEX($B$13:$M$13,1,MOD(85-1,12)+1)</f>
        <v/>
      </c>
      <c r="CM25" s="34">
        <f>($B25/12)*(1+INDEX($C25:$E25,1,Control!$B$10))^CM5*INDEX($B$13:$M$13,1,MOD(86-1,12)+1)</f>
        <v/>
      </c>
      <c r="CN25" s="34">
        <f>($B25/12)*(1+INDEX($C25:$E25,1,Control!$B$10))^CN5*INDEX($B$13:$M$13,1,MOD(87-1,12)+1)</f>
        <v/>
      </c>
      <c r="CO25" s="34">
        <f>($B25/12)*(1+INDEX($C25:$E25,1,Control!$B$10))^CO5*INDEX($B$13:$M$13,1,MOD(88-1,12)+1)</f>
        <v/>
      </c>
      <c r="CP25" s="34">
        <f>($B25/12)*(1+INDEX($C25:$E25,1,Control!$B$10))^CP5*INDEX($B$13:$M$13,1,MOD(89-1,12)+1)</f>
        <v/>
      </c>
      <c r="CQ25" s="34">
        <f>($B25/12)*(1+INDEX($C25:$E25,1,Control!$B$10))^CQ5*INDEX($B$13:$M$13,1,MOD(90-1,12)+1)</f>
        <v/>
      </c>
      <c r="CR25" s="34">
        <f>($B25/12)*(1+INDEX($C25:$E25,1,Control!$B$10))^CR5*INDEX($B$13:$M$13,1,MOD(91-1,12)+1)</f>
        <v/>
      </c>
      <c r="CS25" s="34">
        <f>($B25/12)*(1+INDEX($C25:$E25,1,Control!$B$10))^CS5*INDEX($B$13:$M$13,1,MOD(92-1,12)+1)</f>
        <v/>
      </c>
      <c r="CT25" s="34">
        <f>($B25/12)*(1+INDEX($C25:$E25,1,Control!$B$10))^CT5*INDEX($B$13:$M$13,1,MOD(93-1,12)+1)</f>
        <v/>
      </c>
      <c r="CU25" s="34">
        <f>($B25/12)*(1+INDEX($C25:$E25,1,Control!$B$10))^CU5*INDEX($B$13:$M$13,1,MOD(94-1,12)+1)</f>
        <v/>
      </c>
      <c r="CV25" s="34">
        <f>($B25/12)*(1+INDEX($C25:$E25,1,Control!$B$10))^CV5*INDEX($B$13:$M$13,1,MOD(95-1,12)+1)</f>
        <v/>
      </c>
      <c r="CW25" s="34">
        <f>($B25/12)*(1+INDEX($C25:$E25,1,Control!$B$10))^CW5*INDEX($B$13:$M$13,1,MOD(96-1,12)+1)</f>
        <v/>
      </c>
      <c r="CX25" s="34">
        <f>($B25/12)*(1+INDEX($C25:$E25,1,Control!$B$10))^CX5*INDEX($B$13:$M$13,1,MOD(97-1,12)+1)</f>
        <v/>
      </c>
      <c r="CY25" s="34">
        <f>($B25/12)*(1+INDEX($C25:$E25,1,Control!$B$10))^CY5*INDEX($B$13:$M$13,1,MOD(98-1,12)+1)</f>
        <v/>
      </c>
      <c r="CZ25" s="34">
        <f>($B25/12)*(1+INDEX($C25:$E25,1,Control!$B$10))^CZ5*INDEX($B$13:$M$13,1,MOD(99-1,12)+1)</f>
        <v/>
      </c>
      <c r="DA25" s="34">
        <f>($B25/12)*(1+INDEX($C25:$E25,1,Control!$B$10))^DA5*INDEX($B$13:$M$13,1,MOD(100-1,12)+1)</f>
        <v/>
      </c>
      <c r="DB25" s="34">
        <f>($B25/12)*(1+INDEX($C25:$E25,1,Control!$B$10))^DB5*INDEX($B$13:$M$13,1,MOD(101-1,12)+1)</f>
        <v/>
      </c>
      <c r="DC25" s="34">
        <f>($B25/12)*(1+INDEX($C25:$E25,1,Control!$B$10))^DC5*INDEX($B$13:$M$13,1,MOD(102-1,12)+1)</f>
        <v/>
      </c>
      <c r="DD25" s="34">
        <f>($B25/12)*(1+INDEX($C25:$E25,1,Control!$B$10))^DD5*INDEX($B$13:$M$13,1,MOD(103-1,12)+1)</f>
        <v/>
      </c>
      <c r="DE25" s="34">
        <f>($B25/12)*(1+INDEX($C25:$E25,1,Control!$B$10))^DE5*INDEX($B$13:$M$13,1,MOD(104-1,12)+1)</f>
        <v/>
      </c>
      <c r="DF25" s="34">
        <f>($B25/12)*(1+INDEX($C25:$E25,1,Control!$B$10))^DF5*INDEX($B$13:$M$13,1,MOD(105-1,12)+1)</f>
        <v/>
      </c>
      <c r="DG25" s="34">
        <f>($B25/12)*(1+INDEX($C25:$E25,1,Control!$B$10))^DG5*INDEX($B$13:$M$13,1,MOD(106-1,12)+1)</f>
        <v/>
      </c>
      <c r="DH25" s="34">
        <f>($B25/12)*(1+INDEX($C25:$E25,1,Control!$B$10))^DH5*INDEX($B$13:$M$13,1,MOD(107-1,12)+1)</f>
        <v/>
      </c>
      <c r="DI25" s="34">
        <f>($B25/12)*(1+INDEX($C25:$E25,1,Control!$B$10))^DI5*INDEX($B$13:$M$13,1,MOD(108-1,12)+1)</f>
        <v/>
      </c>
      <c r="DJ25" s="34">
        <f>($B25/12)*(1+INDEX($C25:$E25,1,Control!$B$10))^DJ5*INDEX($B$13:$M$13,1,MOD(109-1,12)+1)</f>
        <v/>
      </c>
      <c r="DK25" s="34">
        <f>($B25/12)*(1+INDEX($C25:$E25,1,Control!$B$10))^DK5*INDEX($B$13:$M$13,1,MOD(110-1,12)+1)</f>
        <v/>
      </c>
      <c r="DL25" s="34">
        <f>($B25/12)*(1+INDEX($C25:$E25,1,Control!$B$10))^DL5*INDEX($B$13:$M$13,1,MOD(111-1,12)+1)</f>
        <v/>
      </c>
      <c r="DM25" s="34">
        <f>($B25/12)*(1+INDEX($C25:$E25,1,Control!$B$10))^DM5*INDEX($B$13:$M$13,1,MOD(112-1,12)+1)</f>
        <v/>
      </c>
      <c r="DN25" s="34">
        <f>($B25/12)*(1+INDEX($C25:$E25,1,Control!$B$10))^DN5*INDEX($B$13:$M$13,1,MOD(113-1,12)+1)</f>
        <v/>
      </c>
      <c r="DO25" s="34">
        <f>($B25/12)*(1+INDEX($C25:$E25,1,Control!$B$10))^DO5*INDEX($B$13:$M$13,1,MOD(114-1,12)+1)</f>
        <v/>
      </c>
      <c r="DP25" s="34">
        <f>($B25/12)*(1+INDEX($C25:$E25,1,Control!$B$10))^DP5*INDEX($B$13:$M$13,1,MOD(115-1,12)+1)</f>
        <v/>
      </c>
      <c r="DQ25" s="34">
        <f>($B25/12)*(1+INDEX($C25:$E25,1,Control!$B$10))^DQ5*INDEX($B$13:$M$13,1,MOD(116-1,12)+1)</f>
        <v/>
      </c>
      <c r="DR25" s="34">
        <f>($B25/12)*(1+INDEX($C25:$E25,1,Control!$B$10))^DR5*INDEX($B$13:$M$13,1,MOD(117-1,12)+1)</f>
        <v/>
      </c>
      <c r="DS25" s="34">
        <f>($B25/12)*(1+INDEX($C25:$E25,1,Control!$B$10))^DS5*INDEX($B$13:$M$13,1,MOD(118-1,12)+1)</f>
        <v/>
      </c>
      <c r="DT25" s="34">
        <f>($B25/12)*(1+INDEX($C25:$E25,1,Control!$B$10))^DT5*INDEX($B$13:$M$13,1,MOD(119-1,12)+1)</f>
        <v/>
      </c>
      <c r="DU25" s="34">
        <f>($B25/12)*(1+INDEX($C25:$E25,1,Control!$B$10))^DU5*INDEX($B$13:$M$13,1,MOD(120-1,12)+1)</f>
        <v/>
      </c>
    </row>
    <row r="26">
      <c r="A26" t="inlineStr">
        <is>
          <t>AllDark-Bottles-OffTrade</t>
        </is>
      </c>
      <c r="B26" s="33" t="n">
        <v>25000</v>
      </c>
      <c r="C26" s="22" t="n">
        <v>0.04</v>
      </c>
      <c r="D26" s="22" t="n">
        <v>0.06</v>
      </c>
      <c r="E26" s="22" t="n">
        <v>0.02</v>
      </c>
      <c r="F26" s="34">
        <f>($B26/12)*(1+INDEX($C26:$E26,1,Control!$B$10))^F5*INDEX($B$13:$M$13,1,MOD(1-1,12)+1)</f>
        <v/>
      </c>
      <c r="G26" s="34">
        <f>($B26/12)*(1+INDEX($C26:$E26,1,Control!$B$10))^G5*INDEX($B$13:$M$13,1,MOD(2-1,12)+1)</f>
        <v/>
      </c>
      <c r="H26" s="34">
        <f>($B26/12)*(1+INDEX($C26:$E26,1,Control!$B$10))^H5*INDEX($B$13:$M$13,1,MOD(3-1,12)+1)</f>
        <v/>
      </c>
      <c r="I26" s="34">
        <f>($B26/12)*(1+INDEX($C26:$E26,1,Control!$B$10))^I5*INDEX($B$13:$M$13,1,MOD(4-1,12)+1)</f>
        <v/>
      </c>
      <c r="J26" s="34">
        <f>($B26/12)*(1+INDEX($C26:$E26,1,Control!$B$10))^J5*INDEX($B$13:$M$13,1,MOD(5-1,12)+1)</f>
        <v/>
      </c>
      <c r="K26" s="34">
        <f>($B26/12)*(1+INDEX($C26:$E26,1,Control!$B$10))^K5*INDEX($B$13:$M$13,1,MOD(6-1,12)+1)</f>
        <v/>
      </c>
      <c r="L26" s="34">
        <f>($B26/12)*(1+INDEX($C26:$E26,1,Control!$B$10))^L5*INDEX($B$13:$M$13,1,MOD(7-1,12)+1)</f>
        <v/>
      </c>
      <c r="M26" s="34">
        <f>($B26/12)*(1+INDEX($C26:$E26,1,Control!$B$10))^M5*INDEX($B$13:$M$13,1,MOD(8-1,12)+1)</f>
        <v/>
      </c>
      <c r="N26" s="34">
        <f>($B26/12)*(1+INDEX($C26:$E26,1,Control!$B$10))^N5*INDEX($B$13:$M$13,1,MOD(9-1,12)+1)</f>
        <v/>
      </c>
      <c r="O26" s="34">
        <f>($B26/12)*(1+INDEX($C26:$E26,1,Control!$B$10))^O5*INDEX($B$13:$M$13,1,MOD(10-1,12)+1)</f>
        <v/>
      </c>
      <c r="P26" s="34">
        <f>($B26/12)*(1+INDEX($C26:$E26,1,Control!$B$10))^P5*INDEX($B$13:$M$13,1,MOD(11-1,12)+1)</f>
        <v/>
      </c>
      <c r="Q26" s="34">
        <f>($B26/12)*(1+INDEX($C26:$E26,1,Control!$B$10))^Q5*INDEX($B$13:$M$13,1,MOD(12-1,12)+1)</f>
        <v/>
      </c>
      <c r="R26" s="34">
        <f>($B26/12)*(1+INDEX($C26:$E26,1,Control!$B$10))^R5*INDEX($B$13:$M$13,1,MOD(13-1,12)+1)</f>
        <v/>
      </c>
      <c r="S26" s="34">
        <f>($B26/12)*(1+INDEX($C26:$E26,1,Control!$B$10))^S5*INDEX($B$13:$M$13,1,MOD(14-1,12)+1)</f>
        <v/>
      </c>
      <c r="T26" s="34">
        <f>($B26/12)*(1+INDEX($C26:$E26,1,Control!$B$10))^T5*INDEX($B$13:$M$13,1,MOD(15-1,12)+1)</f>
        <v/>
      </c>
      <c r="U26" s="34">
        <f>($B26/12)*(1+INDEX($C26:$E26,1,Control!$B$10))^U5*INDEX($B$13:$M$13,1,MOD(16-1,12)+1)</f>
        <v/>
      </c>
      <c r="V26" s="34">
        <f>($B26/12)*(1+INDEX($C26:$E26,1,Control!$B$10))^V5*INDEX($B$13:$M$13,1,MOD(17-1,12)+1)</f>
        <v/>
      </c>
      <c r="W26" s="34">
        <f>($B26/12)*(1+INDEX($C26:$E26,1,Control!$B$10))^W5*INDEX($B$13:$M$13,1,MOD(18-1,12)+1)</f>
        <v/>
      </c>
      <c r="X26" s="34">
        <f>($B26/12)*(1+INDEX($C26:$E26,1,Control!$B$10))^X5*INDEX($B$13:$M$13,1,MOD(19-1,12)+1)</f>
        <v/>
      </c>
      <c r="Y26" s="34">
        <f>($B26/12)*(1+INDEX($C26:$E26,1,Control!$B$10))^Y5*INDEX($B$13:$M$13,1,MOD(20-1,12)+1)</f>
        <v/>
      </c>
      <c r="Z26" s="34">
        <f>($B26/12)*(1+INDEX($C26:$E26,1,Control!$B$10))^Z5*INDEX($B$13:$M$13,1,MOD(21-1,12)+1)</f>
        <v/>
      </c>
      <c r="AA26" s="34">
        <f>($B26/12)*(1+INDEX($C26:$E26,1,Control!$B$10))^AA5*INDEX($B$13:$M$13,1,MOD(22-1,12)+1)</f>
        <v/>
      </c>
      <c r="AB26" s="34">
        <f>($B26/12)*(1+INDEX($C26:$E26,1,Control!$B$10))^AB5*INDEX($B$13:$M$13,1,MOD(23-1,12)+1)</f>
        <v/>
      </c>
      <c r="AC26" s="34">
        <f>($B26/12)*(1+INDEX($C26:$E26,1,Control!$B$10))^AC5*INDEX($B$13:$M$13,1,MOD(24-1,12)+1)</f>
        <v/>
      </c>
      <c r="AD26" s="34">
        <f>($B26/12)*(1+INDEX($C26:$E26,1,Control!$B$10))^AD5*INDEX($B$13:$M$13,1,MOD(25-1,12)+1)</f>
        <v/>
      </c>
      <c r="AE26" s="34">
        <f>($B26/12)*(1+INDEX($C26:$E26,1,Control!$B$10))^AE5*INDEX($B$13:$M$13,1,MOD(26-1,12)+1)</f>
        <v/>
      </c>
      <c r="AF26" s="34">
        <f>($B26/12)*(1+INDEX($C26:$E26,1,Control!$B$10))^AF5*INDEX($B$13:$M$13,1,MOD(27-1,12)+1)</f>
        <v/>
      </c>
      <c r="AG26" s="34">
        <f>($B26/12)*(1+INDEX($C26:$E26,1,Control!$B$10))^AG5*INDEX($B$13:$M$13,1,MOD(28-1,12)+1)</f>
        <v/>
      </c>
      <c r="AH26" s="34">
        <f>($B26/12)*(1+INDEX($C26:$E26,1,Control!$B$10))^AH5*INDEX($B$13:$M$13,1,MOD(29-1,12)+1)</f>
        <v/>
      </c>
      <c r="AI26" s="34">
        <f>($B26/12)*(1+INDEX($C26:$E26,1,Control!$B$10))^AI5*INDEX($B$13:$M$13,1,MOD(30-1,12)+1)</f>
        <v/>
      </c>
      <c r="AJ26" s="34">
        <f>($B26/12)*(1+INDEX($C26:$E26,1,Control!$B$10))^AJ5*INDEX($B$13:$M$13,1,MOD(31-1,12)+1)</f>
        <v/>
      </c>
      <c r="AK26" s="34">
        <f>($B26/12)*(1+INDEX($C26:$E26,1,Control!$B$10))^AK5*INDEX($B$13:$M$13,1,MOD(32-1,12)+1)</f>
        <v/>
      </c>
      <c r="AL26" s="34">
        <f>($B26/12)*(1+INDEX($C26:$E26,1,Control!$B$10))^AL5*INDEX($B$13:$M$13,1,MOD(33-1,12)+1)</f>
        <v/>
      </c>
      <c r="AM26" s="34">
        <f>($B26/12)*(1+INDEX($C26:$E26,1,Control!$B$10))^AM5*INDEX($B$13:$M$13,1,MOD(34-1,12)+1)</f>
        <v/>
      </c>
      <c r="AN26" s="34">
        <f>($B26/12)*(1+INDEX($C26:$E26,1,Control!$B$10))^AN5*INDEX($B$13:$M$13,1,MOD(35-1,12)+1)</f>
        <v/>
      </c>
      <c r="AO26" s="34">
        <f>($B26/12)*(1+INDEX($C26:$E26,1,Control!$B$10))^AO5*INDEX($B$13:$M$13,1,MOD(36-1,12)+1)</f>
        <v/>
      </c>
      <c r="AP26" s="34">
        <f>($B26/12)*(1+INDEX($C26:$E26,1,Control!$B$10))^AP5*INDEX($B$13:$M$13,1,MOD(37-1,12)+1)</f>
        <v/>
      </c>
      <c r="AQ26" s="34">
        <f>($B26/12)*(1+INDEX($C26:$E26,1,Control!$B$10))^AQ5*INDEX($B$13:$M$13,1,MOD(38-1,12)+1)</f>
        <v/>
      </c>
      <c r="AR26" s="34">
        <f>($B26/12)*(1+INDEX($C26:$E26,1,Control!$B$10))^AR5*INDEX($B$13:$M$13,1,MOD(39-1,12)+1)</f>
        <v/>
      </c>
      <c r="AS26" s="34">
        <f>($B26/12)*(1+INDEX($C26:$E26,1,Control!$B$10))^AS5*INDEX($B$13:$M$13,1,MOD(40-1,12)+1)</f>
        <v/>
      </c>
      <c r="AT26" s="34">
        <f>($B26/12)*(1+INDEX($C26:$E26,1,Control!$B$10))^AT5*INDEX($B$13:$M$13,1,MOD(41-1,12)+1)</f>
        <v/>
      </c>
      <c r="AU26" s="34">
        <f>($B26/12)*(1+INDEX($C26:$E26,1,Control!$B$10))^AU5*INDEX($B$13:$M$13,1,MOD(42-1,12)+1)</f>
        <v/>
      </c>
      <c r="AV26" s="34">
        <f>($B26/12)*(1+INDEX($C26:$E26,1,Control!$B$10))^AV5*INDEX($B$13:$M$13,1,MOD(43-1,12)+1)</f>
        <v/>
      </c>
      <c r="AW26" s="34">
        <f>($B26/12)*(1+INDEX($C26:$E26,1,Control!$B$10))^AW5*INDEX($B$13:$M$13,1,MOD(44-1,12)+1)</f>
        <v/>
      </c>
      <c r="AX26" s="34">
        <f>($B26/12)*(1+INDEX($C26:$E26,1,Control!$B$10))^AX5*INDEX($B$13:$M$13,1,MOD(45-1,12)+1)</f>
        <v/>
      </c>
      <c r="AY26" s="34">
        <f>($B26/12)*(1+INDEX($C26:$E26,1,Control!$B$10))^AY5*INDEX($B$13:$M$13,1,MOD(46-1,12)+1)</f>
        <v/>
      </c>
      <c r="AZ26" s="34">
        <f>($B26/12)*(1+INDEX($C26:$E26,1,Control!$B$10))^AZ5*INDEX($B$13:$M$13,1,MOD(47-1,12)+1)</f>
        <v/>
      </c>
      <c r="BA26" s="34">
        <f>($B26/12)*(1+INDEX($C26:$E26,1,Control!$B$10))^BA5*INDEX($B$13:$M$13,1,MOD(48-1,12)+1)</f>
        <v/>
      </c>
      <c r="BB26" s="34">
        <f>($B26/12)*(1+INDEX($C26:$E26,1,Control!$B$10))^BB5*INDEX($B$13:$M$13,1,MOD(49-1,12)+1)</f>
        <v/>
      </c>
      <c r="BC26" s="34">
        <f>($B26/12)*(1+INDEX($C26:$E26,1,Control!$B$10))^BC5*INDEX($B$13:$M$13,1,MOD(50-1,12)+1)</f>
        <v/>
      </c>
      <c r="BD26" s="34">
        <f>($B26/12)*(1+INDEX($C26:$E26,1,Control!$B$10))^BD5*INDEX($B$13:$M$13,1,MOD(51-1,12)+1)</f>
        <v/>
      </c>
      <c r="BE26" s="34">
        <f>($B26/12)*(1+INDEX($C26:$E26,1,Control!$B$10))^BE5*INDEX($B$13:$M$13,1,MOD(52-1,12)+1)</f>
        <v/>
      </c>
      <c r="BF26" s="34">
        <f>($B26/12)*(1+INDEX($C26:$E26,1,Control!$B$10))^BF5*INDEX($B$13:$M$13,1,MOD(53-1,12)+1)</f>
        <v/>
      </c>
      <c r="BG26" s="34">
        <f>($B26/12)*(1+INDEX($C26:$E26,1,Control!$B$10))^BG5*INDEX($B$13:$M$13,1,MOD(54-1,12)+1)</f>
        <v/>
      </c>
      <c r="BH26" s="34">
        <f>($B26/12)*(1+INDEX($C26:$E26,1,Control!$B$10))^BH5*INDEX($B$13:$M$13,1,MOD(55-1,12)+1)</f>
        <v/>
      </c>
      <c r="BI26" s="34">
        <f>($B26/12)*(1+INDEX($C26:$E26,1,Control!$B$10))^BI5*INDEX($B$13:$M$13,1,MOD(56-1,12)+1)</f>
        <v/>
      </c>
      <c r="BJ26" s="34">
        <f>($B26/12)*(1+INDEX($C26:$E26,1,Control!$B$10))^BJ5*INDEX($B$13:$M$13,1,MOD(57-1,12)+1)</f>
        <v/>
      </c>
      <c r="BK26" s="34">
        <f>($B26/12)*(1+INDEX($C26:$E26,1,Control!$B$10))^BK5*INDEX($B$13:$M$13,1,MOD(58-1,12)+1)</f>
        <v/>
      </c>
      <c r="BL26" s="34">
        <f>($B26/12)*(1+INDEX($C26:$E26,1,Control!$B$10))^BL5*INDEX($B$13:$M$13,1,MOD(59-1,12)+1)</f>
        <v/>
      </c>
      <c r="BM26" s="34">
        <f>($B26/12)*(1+INDEX($C26:$E26,1,Control!$B$10))^BM5*INDEX($B$13:$M$13,1,MOD(60-1,12)+1)</f>
        <v/>
      </c>
      <c r="BN26" s="34">
        <f>($B26/12)*(1+INDEX($C26:$E26,1,Control!$B$10))^BN5*INDEX($B$13:$M$13,1,MOD(61-1,12)+1)</f>
        <v/>
      </c>
      <c r="BO26" s="34">
        <f>($B26/12)*(1+INDEX($C26:$E26,1,Control!$B$10))^BO5*INDEX($B$13:$M$13,1,MOD(62-1,12)+1)</f>
        <v/>
      </c>
      <c r="BP26" s="34">
        <f>($B26/12)*(1+INDEX($C26:$E26,1,Control!$B$10))^BP5*INDEX($B$13:$M$13,1,MOD(63-1,12)+1)</f>
        <v/>
      </c>
      <c r="BQ26" s="34">
        <f>($B26/12)*(1+INDEX($C26:$E26,1,Control!$B$10))^BQ5*INDEX($B$13:$M$13,1,MOD(64-1,12)+1)</f>
        <v/>
      </c>
      <c r="BR26" s="34">
        <f>($B26/12)*(1+INDEX($C26:$E26,1,Control!$B$10))^BR5*INDEX($B$13:$M$13,1,MOD(65-1,12)+1)</f>
        <v/>
      </c>
      <c r="BS26" s="34">
        <f>($B26/12)*(1+INDEX($C26:$E26,1,Control!$B$10))^BS5*INDEX($B$13:$M$13,1,MOD(66-1,12)+1)</f>
        <v/>
      </c>
      <c r="BT26" s="34">
        <f>($B26/12)*(1+INDEX($C26:$E26,1,Control!$B$10))^BT5*INDEX($B$13:$M$13,1,MOD(67-1,12)+1)</f>
        <v/>
      </c>
      <c r="BU26" s="34">
        <f>($B26/12)*(1+INDEX($C26:$E26,1,Control!$B$10))^BU5*INDEX($B$13:$M$13,1,MOD(68-1,12)+1)</f>
        <v/>
      </c>
      <c r="BV26" s="34">
        <f>($B26/12)*(1+INDEX($C26:$E26,1,Control!$B$10))^BV5*INDEX($B$13:$M$13,1,MOD(69-1,12)+1)</f>
        <v/>
      </c>
      <c r="BW26" s="34">
        <f>($B26/12)*(1+INDEX($C26:$E26,1,Control!$B$10))^BW5*INDEX($B$13:$M$13,1,MOD(70-1,12)+1)</f>
        <v/>
      </c>
      <c r="BX26" s="34">
        <f>($B26/12)*(1+INDEX($C26:$E26,1,Control!$B$10))^BX5*INDEX($B$13:$M$13,1,MOD(71-1,12)+1)</f>
        <v/>
      </c>
      <c r="BY26" s="34">
        <f>($B26/12)*(1+INDEX($C26:$E26,1,Control!$B$10))^BY5*INDEX($B$13:$M$13,1,MOD(72-1,12)+1)</f>
        <v/>
      </c>
      <c r="BZ26" s="34">
        <f>($B26/12)*(1+INDEX($C26:$E26,1,Control!$B$10))^BZ5*INDEX($B$13:$M$13,1,MOD(73-1,12)+1)</f>
        <v/>
      </c>
      <c r="CA26" s="34">
        <f>($B26/12)*(1+INDEX($C26:$E26,1,Control!$B$10))^CA5*INDEX($B$13:$M$13,1,MOD(74-1,12)+1)</f>
        <v/>
      </c>
      <c r="CB26" s="34">
        <f>($B26/12)*(1+INDEX($C26:$E26,1,Control!$B$10))^CB5*INDEX($B$13:$M$13,1,MOD(75-1,12)+1)</f>
        <v/>
      </c>
      <c r="CC26" s="34">
        <f>($B26/12)*(1+INDEX($C26:$E26,1,Control!$B$10))^CC5*INDEX($B$13:$M$13,1,MOD(76-1,12)+1)</f>
        <v/>
      </c>
      <c r="CD26" s="34">
        <f>($B26/12)*(1+INDEX($C26:$E26,1,Control!$B$10))^CD5*INDEX($B$13:$M$13,1,MOD(77-1,12)+1)</f>
        <v/>
      </c>
      <c r="CE26" s="34">
        <f>($B26/12)*(1+INDEX($C26:$E26,1,Control!$B$10))^CE5*INDEX($B$13:$M$13,1,MOD(78-1,12)+1)</f>
        <v/>
      </c>
      <c r="CF26" s="34">
        <f>($B26/12)*(1+INDEX($C26:$E26,1,Control!$B$10))^CF5*INDEX($B$13:$M$13,1,MOD(79-1,12)+1)</f>
        <v/>
      </c>
      <c r="CG26" s="34">
        <f>($B26/12)*(1+INDEX($C26:$E26,1,Control!$B$10))^CG5*INDEX($B$13:$M$13,1,MOD(80-1,12)+1)</f>
        <v/>
      </c>
      <c r="CH26" s="34">
        <f>($B26/12)*(1+INDEX($C26:$E26,1,Control!$B$10))^CH5*INDEX($B$13:$M$13,1,MOD(81-1,12)+1)</f>
        <v/>
      </c>
      <c r="CI26" s="34">
        <f>($B26/12)*(1+INDEX($C26:$E26,1,Control!$B$10))^CI5*INDEX($B$13:$M$13,1,MOD(82-1,12)+1)</f>
        <v/>
      </c>
      <c r="CJ26" s="34">
        <f>($B26/12)*(1+INDEX($C26:$E26,1,Control!$B$10))^CJ5*INDEX($B$13:$M$13,1,MOD(83-1,12)+1)</f>
        <v/>
      </c>
      <c r="CK26" s="34">
        <f>($B26/12)*(1+INDEX($C26:$E26,1,Control!$B$10))^CK5*INDEX($B$13:$M$13,1,MOD(84-1,12)+1)</f>
        <v/>
      </c>
      <c r="CL26" s="34">
        <f>($B26/12)*(1+INDEX($C26:$E26,1,Control!$B$10))^CL5*INDEX($B$13:$M$13,1,MOD(85-1,12)+1)</f>
        <v/>
      </c>
      <c r="CM26" s="34">
        <f>($B26/12)*(1+INDEX($C26:$E26,1,Control!$B$10))^CM5*INDEX($B$13:$M$13,1,MOD(86-1,12)+1)</f>
        <v/>
      </c>
      <c r="CN26" s="34">
        <f>($B26/12)*(1+INDEX($C26:$E26,1,Control!$B$10))^CN5*INDEX($B$13:$M$13,1,MOD(87-1,12)+1)</f>
        <v/>
      </c>
      <c r="CO26" s="34">
        <f>($B26/12)*(1+INDEX($C26:$E26,1,Control!$B$10))^CO5*INDEX($B$13:$M$13,1,MOD(88-1,12)+1)</f>
        <v/>
      </c>
      <c r="CP26" s="34">
        <f>($B26/12)*(1+INDEX($C26:$E26,1,Control!$B$10))^CP5*INDEX($B$13:$M$13,1,MOD(89-1,12)+1)</f>
        <v/>
      </c>
      <c r="CQ26" s="34">
        <f>($B26/12)*(1+INDEX($C26:$E26,1,Control!$B$10))^CQ5*INDEX($B$13:$M$13,1,MOD(90-1,12)+1)</f>
        <v/>
      </c>
      <c r="CR26" s="34">
        <f>($B26/12)*(1+INDEX($C26:$E26,1,Control!$B$10))^CR5*INDEX($B$13:$M$13,1,MOD(91-1,12)+1)</f>
        <v/>
      </c>
      <c r="CS26" s="34">
        <f>($B26/12)*(1+INDEX($C26:$E26,1,Control!$B$10))^CS5*INDEX($B$13:$M$13,1,MOD(92-1,12)+1)</f>
        <v/>
      </c>
      <c r="CT26" s="34">
        <f>($B26/12)*(1+INDEX($C26:$E26,1,Control!$B$10))^CT5*INDEX($B$13:$M$13,1,MOD(93-1,12)+1)</f>
        <v/>
      </c>
      <c r="CU26" s="34">
        <f>($B26/12)*(1+INDEX($C26:$E26,1,Control!$B$10))^CU5*INDEX($B$13:$M$13,1,MOD(94-1,12)+1)</f>
        <v/>
      </c>
      <c r="CV26" s="34">
        <f>($B26/12)*(1+INDEX($C26:$E26,1,Control!$B$10))^CV5*INDEX($B$13:$M$13,1,MOD(95-1,12)+1)</f>
        <v/>
      </c>
      <c r="CW26" s="34">
        <f>($B26/12)*(1+INDEX($C26:$E26,1,Control!$B$10))^CW5*INDEX($B$13:$M$13,1,MOD(96-1,12)+1)</f>
        <v/>
      </c>
      <c r="CX26" s="34">
        <f>($B26/12)*(1+INDEX($C26:$E26,1,Control!$B$10))^CX5*INDEX($B$13:$M$13,1,MOD(97-1,12)+1)</f>
        <v/>
      </c>
      <c r="CY26" s="34">
        <f>($B26/12)*(1+INDEX($C26:$E26,1,Control!$B$10))^CY5*INDEX($B$13:$M$13,1,MOD(98-1,12)+1)</f>
        <v/>
      </c>
      <c r="CZ26" s="34">
        <f>($B26/12)*(1+INDEX($C26:$E26,1,Control!$B$10))^CZ5*INDEX($B$13:$M$13,1,MOD(99-1,12)+1)</f>
        <v/>
      </c>
      <c r="DA26" s="34">
        <f>($B26/12)*(1+INDEX($C26:$E26,1,Control!$B$10))^DA5*INDEX($B$13:$M$13,1,MOD(100-1,12)+1)</f>
        <v/>
      </c>
      <c r="DB26" s="34">
        <f>($B26/12)*(1+INDEX($C26:$E26,1,Control!$B$10))^DB5*INDEX($B$13:$M$13,1,MOD(101-1,12)+1)</f>
        <v/>
      </c>
      <c r="DC26" s="34">
        <f>($B26/12)*(1+INDEX($C26:$E26,1,Control!$B$10))^DC5*INDEX($B$13:$M$13,1,MOD(102-1,12)+1)</f>
        <v/>
      </c>
      <c r="DD26" s="34">
        <f>($B26/12)*(1+INDEX($C26:$E26,1,Control!$B$10))^DD5*INDEX($B$13:$M$13,1,MOD(103-1,12)+1)</f>
        <v/>
      </c>
      <c r="DE26" s="34">
        <f>($B26/12)*(1+INDEX($C26:$E26,1,Control!$B$10))^DE5*INDEX($B$13:$M$13,1,MOD(104-1,12)+1)</f>
        <v/>
      </c>
      <c r="DF26" s="34">
        <f>($B26/12)*(1+INDEX($C26:$E26,1,Control!$B$10))^DF5*INDEX($B$13:$M$13,1,MOD(105-1,12)+1)</f>
        <v/>
      </c>
      <c r="DG26" s="34">
        <f>($B26/12)*(1+INDEX($C26:$E26,1,Control!$B$10))^DG5*INDEX($B$13:$M$13,1,MOD(106-1,12)+1)</f>
        <v/>
      </c>
      <c r="DH26" s="34">
        <f>($B26/12)*(1+INDEX($C26:$E26,1,Control!$B$10))^DH5*INDEX($B$13:$M$13,1,MOD(107-1,12)+1)</f>
        <v/>
      </c>
      <c r="DI26" s="34">
        <f>($B26/12)*(1+INDEX($C26:$E26,1,Control!$B$10))^DI5*INDEX($B$13:$M$13,1,MOD(108-1,12)+1)</f>
        <v/>
      </c>
      <c r="DJ26" s="34">
        <f>($B26/12)*(1+INDEX($C26:$E26,1,Control!$B$10))^DJ5*INDEX($B$13:$M$13,1,MOD(109-1,12)+1)</f>
        <v/>
      </c>
      <c r="DK26" s="34">
        <f>($B26/12)*(1+INDEX($C26:$E26,1,Control!$B$10))^DK5*INDEX($B$13:$M$13,1,MOD(110-1,12)+1)</f>
        <v/>
      </c>
      <c r="DL26" s="34">
        <f>($B26/12)*(1+INDEX($C26:$E26,1,Control!$B$10))^DL5*INDEX($B$13:$M$13,1,MOD(111-1,12)+1)</f>
        <v/>
      </c>
      <c r="DM26" s="34">
        <f>($B26/12)*(1+INDEX($C26:$E26,1,Control!$B$10))^DM5*INDEX($B$13:$M$13,1,MOD(112-1,12)+1)</f>
        <v/>
      </c>
      <c r="DN26" s="34">
        <f>($B26/12)*(1+INDEX($C26:$E26,1,Control!$B$10))^DN5*INDEX($B$13:$M$13,1,MOD(113-1,12)+1)</f>
        <v/>
      </c>
      <c r="DO26" s="34">
        <f>($B26/12)*(1+INDEX($C26:$E26,1,Control!$B$10))^DO5*INDEX($B$13:$M$13,1,MOD(114-1,12)+1)</f>
        <v/>
      </c>
      <c r="DP26" s="34">
        <f>($B26/12)*(1+INDEX($C26:$E26,1,Control!$B$10))^DP5*INDEX($B$13:$M$13,1,MOD(115-1,12)+1)</f>
        <v/>
      </c>
      <c r="DQ26" s="34">
        <f>($B26/12)*(1+INDEX($C26:$E26,1,Control!$B$10))^DQ5*INDEX($B$13:$M$13,1,MOD(116-1,12)+1)</f>
        <v/>
      </c>
      <c r="DR26" s="34">
        <f>($B26/12)*(1+INDEX($C26:$E26,1,Control!$B$10))^DR5*INDEX($B$13:$M$13,1,MOD(117-1,12)+1)</f>
        <v/>
      </c>
      <c r="DS26" s="34">
        <f>($B26/12)*(1+INDEX($C26:$E26,1,Control!$B$10))^DS5*INDEX($B$13:$M$13,1,MOD(118-1,12)+1)</f>
        <v/>
      </c>
      <c r="DT26" s="34">
        <f>($B26/12)*(1+INDEX($C26:$E26,1,Control!$B$10))^DT5*INDEX($B$13:$M$13,1,MOD(119-1,12)+1)</f>
        <v/>
      </c>
      <c r="DU26" s="34">
        <f>($B26/12)*(1+INDEX($C26:$E26,1,Control!$B$10))^DU5*INDEX($B$13:$M$13,1,MOD(120-1,12)+1)</f>
        <v/>
      </c>
    </row>
    <row r="27">
      <c r="A27" t="inlineStr">
        <is>
          <t>AllDark-Cans-OnTrade</t>
        </is>
      </c>
      <c r="B27" s="33" t="n">
        <v>8000</v>
      </c>
      <c r="C27" s="22" t="n">
        <v>0.04</v>
      </c>
      <c r="D27" s="22" t="n">
        <v>0.06</v>
      </c>
      <c r="E27" s="22" t="n">
        <v>0.02</v>
      </c>
      <c r="F27" s="34">
        <f>($B27/12)*(1+INDEX($C27:$E27,1,Control!$B$10))^F5*INDEX($B$13:$M$13,1,MOD(1-1,12)+1)</f>
        <v/>
      </c>
      <c r="G27" s="34">
        <f>($B27/12)*(1+INDEX($C27:$E27,1,Control!$B$10))^G5*INDEX($B$13:$M$13,1,MOD(2-1,12)+1)</f>
        <v/>
      </c>
      <c r="H27" s="34">
        <f>($B27/12)*(1+INDEX($C27:$E27,1,Control!$B$10))^H5*INDEX($B$13:$M$13,1,MOD(3-1,12)+1)</f>
        <v/>
      </c>
      <c r="I27" s="34">
        <f>($B27/12)*(1+INDEX($C27:$E27,1,Control!$B$10))^I5*INDEX($B$13:$M$13,1,MOD(4-1,12)+1)</f>
        <v/>
      </c>
      <c r="J27" s="34">
        <f>($B27/12)*(1+INDEX($C27:$E27,1,Control!$B$10))^J5*INDEX($B$13:$M$13,1,MOD(5-1,12)+1)</f>
        <v/>
      </c>
      <c r="K27" s="34">
        <f>($B27/12)*(1+INDEX($C27:$E27,1,Control!$B$10))^K5*INDEX($B$13:$M$13,1,MOD(6-1,12)+1)</f>
        <v/>
      </c>
      <c r="L27" s="34">
        <f>($B27/12)*(1+INDEX($C27:$E27,1,Control!$B$10))^L5*INDEX($B$13:$M$13,1,MOD(7-1,12)+1)</f>
        <v/>
      </c>
      <c r="M27" s="34">
        <f>($B27/12)*(1+INDEX($C27:$E27,1,Control!$B$10))^M5*INDEX($B$13:$M$13,1,MOD(8-1,12)+1)</f>
        <v/>
      </c>
      <c r="N27" s="34">
        <f>($B27/12)*(1+INDEX($C27:$E27,1,Control!$B$10))^N5*INDEX($B$13:$M$13,1,MOD(9-1,12)+1)</f>
        <v/>
      </c>
      <c r="O27" s="34">
        <f>($B27/12)*(1+INDEX($C27:$E27,1,Control!$B$10))^O5*INDEX($B$13:$M$13,1,MOD(10-1,12)+1)</f>
        <v/>
      </c>
      <c r="P27" s="34">
        <f>($B27/12)*(1+INDEX($C27:$E27,1,Control!$B$10))^P5*INDEX($B$13:$M$13,1,MOD(11-1,12)+1)</f>
        <v/>
      </c>
      <c r="Q27" s="34">
        <f>($B27/12)*(1+INDEX($C27:$E27,1,Control!$B$10))^Q5*INDEX($B$13:$M$13,1,MOD(12-1,12)+1)</f>
        <v/>
      </c>
      <c r="R27" s="34">
        <f>($B27/12)*(1+INDEX($C27:$E27,1,Control!$B$10))^R5*INDEX($B$13:$M$13,1,MOD(13-1,12)+1)</f>
        <v/>
      </c>
      <c r="S27" s="34">
        <f>($B27/12)*(1+INDEX($C27:$E27,1,Control!$B$10))^S5*INDEX($B$13:$M$13,1,MOD(14-1,12)+1)</f>
        <v/>
      </c>
      <c r="T27" s="34">
        <f>($B27/12)*(1+INDEX($C27:$E27,1,Control!$B$10))^T5*INDEX($B$13:$M$13,1,MOD(15-1,12)+1)</f>
        <v/>
      </c>
      <c r="U27" s="34">
        <f>($B27/12)*(1+INDEX($C27:$E27,1,Control!$B$10))^U5*INDEX($B$13:$M$13,1,MOD(16-1,12)+1)</f>
        <v/>
      </c>
      <c r="V27" s="34">
        <f>($B27/12)*(1+INDEX($C27:$E27,1,Control!$B$10))^V5*INDEX($B$13:$M$13,1,MOD(17-1,12)+1)</f>
        <v/>
      </c>
      <c r="W27" s="34">
        <f>($B27/12)*(1+INDEX($C27:$E27,1,Control!$B$10))^W5*INDEX($B$13:$M$13,1,MOD(18-1,12)+1)</f>
        <v/>
      </c>
      <c r="X27" s="34">
        <f>($B27/12)*(1+INDEX($C27:$E27,1,Control!$B$10))^X5*INDEX($B$13:$M$13,1,MOD(19-1,12)+1)</f>
        <v/>
      </c>
      <c r="Y27" s="34">
        <f>($B27/12)*(1+INDEX($C27:$E27,1,Control!$B$10))^Y5*INDEX($B$13:$M$13,1,MOD(20-1,12)+1)</f>
        <v/>
      </c>
      <c r="Z27" s="34">
        <f>($B27/12)*(1+INDEX($C27:$E27,1,Control!$B$10))^Z5*INDEX($B$13:$M$13,1,MOD(21-1,12)+1)</f>
        <v/>
      </c>
      <c r="AA27" s="34">
        <f>($B27/12)*(1+INDEX($C27:$E27,1,Control!$B$10))^AA5*INDEX($B$13:$M$13,1,MOD(22-1,12)+1)</f>
        <v/>
      </c>
      <c r="AB27" s="34">
        <f>($B27/12)*(1+INDEX($C27:$E27,1,Control!$B$10))^AB5*INDEX($B$13:$M$13,1,MOD(23-1,12)+1)</f>
        <v/>
      </c>
      <c r="AC27" s="34">
        <f>($B27/12)*(1+INDEX($C27:$E27,1,Control!$B$10))^AC5*INDEX($B$13:$M$13,1,MOD(24-1,12)+1)</f>
        <v/>
      </c>
      <c r="AD27" s="34">
        <f>($B27/12)*(1+INDEX($C27:$E27,1,Control!$B$10))^AD5*INDEX($B$13:$M$13,1,MOD(25-1,12)+1)</f>
        <v/>
      </c>
      <c r="AE27" s="34">
        <f>($B27/12)*(1+INDEX($C27:$E27,1,Control!$B$10))^AE5*INDEX($B$13:$M$13,1,MOD(26-1,12)+1)</f>
        <v/>
      </c>
      <c r="AF27" s="34">
        <f>($B27/12)*(1+INDEX($C27:$E27,1,Control!$B$10))^AF5*INDEX($B$13:$M$13,1,MOD(27-1,12)+1)</f>
        <v/>
      </c>
      <c r="AG27" s="34">
        <f>($B27/12)*(1+INDEX($C27:$E27,1,Control!$B$10))^AG5*INDEX($B$13:$M$13,1,MOD(28-1,12)+1)</f>
        <v/>
      </c>
      <c r="AH27" s="34">
        <f>($B27/12)*(1+INDEX($C27:$E27,1,Control!$B$10))^AH5*INDEX($B$13:$M$13,1,MOD(29-1,12)+1)</f>
        <v/>
      </c>
      <c r="AI27" s="34">
        <f>($B27/12)*(1+INDEX($C27:$E27,1,Control!$B$10))^AI5*INDEX($B$13:$M$13,1,MOD(30-1,12)+1)</f>
        <v/>
      </c>
      <c r="AJ27" s="34">
        <f>($B27/12)*(1+INDEX($C27:$E27,1,Control!$B$10))^AJ5*INDEX($B$13:$M$13,1,MOD(31-1,12)+1)</f>
        <v/>
      </c>
      <c r="AK27" s="34">
        <f>($B27/12)*(1+INDEX($C27:$E27,1,Control!$B$10))^AK5*INDEX($B$13:$M$13,1,MOD(32-1,12)+1)</f>
        <v/>
      </c>
      <c r="AL27" s="34">
        <f>($B27/12)*(1+INDEX($C27:$E27,1,Control!$B$10))^AL5*INDEX($B$13:$M$13,1,MOD(33-1,12)+1)</f>
        <v/>
      </c>
      <c r="AM27" s="34">
        <f>($B27/12)*(1+INDEX($C27:$E27,1,Control!$B$10))^AM5*INDEX($B$13:$M$13,1,MOD(34-1,12)+1)</f>
        <v/>
      </c>
      <c r="AN27" s="34">
        <f>($B27/12)*(1+INDEX($C27:$E27,1,Control!$B$10))^AN5*INDEX($B$13:$M$13,1,MOD(35-1,12)+1)</f>
        <v/>
      </c>
      <c r="AO27" s="34">
        <f>($B27/12)*(1+INDEX($C27:$E27,1,Control!$B$10))^AO5*INDEX($B$13:$M$13,1,MOD(36-1,12)+1)</f>
        <v/>
      </c>
      <c r="AP27" s="34">
        <f>($B27/12)*(1+INDEX($C27:$E27,1,Control!$B$10))^AP5*INDEX($B$13:$M$13,1,MOD(37-1,12)+1)</f>
        <v/>
      </c>
      <c r="AQ27" s="34">
        <f>($B27/12)*(1+INDEX($C27:$E27,1,Control!$B$10))^AQ5*INDEX($B$13:$M$13,1,MOD(38-1,12)+1)</f>
        <v/>
      </c>
      <c r="AR27" s="34">
        <f>($B27/12)*(1+INDEX($C27:$E27,1,Control!$B$10))^AR5*INDEX($B$13:$M$13,1,MOD(39-1,12)+1)</f>
        <v/>
      </c>
      <c r="AS27" s="34">
        <f>($B27/12)*(1+INDEX($C27:$E27,1,Control!$B$10))^AS5*INDEX($B$13:$M$13,1,MOD(40-1,12)+1)</f>
        <v/>
      </c>
      <c r="AT27" s="34">
        <f>($B27/12)*(1+INDEX($C27:$E27,1,Control!$B$10))^AT5*INDEX($B$13:$M$13,1,MOD(41-1,12)+1)</f>
        <v/>
      </c>
      <c r="AU27" s="34">
        <f>($B27/12)*(1+INDEX($C27:$E27,1,Control!$B$10))^AU5*INDEX($B$13:$M$13,1,MOD(42-1,12)+1)</f>
        <v/>
      </c>
      <c r="AV27" s="34">
        <f>($B27/12)*(1+INDEX($C27:$E27,1,Control!$B$10))^AV5*INDEX($B$13:$M$13,1,MOD(43-1,12)+1)</f>
        <v/>
      </c>
      <c r="AW27" s="34">
        <f>($B27/12)*(1+INDEX($C27:$E27,1,Control!$B$10))^AW5*INDEX($B$13:$M$13,1,MOD(44-1,12)+1)</f>
        <v/>
      </c>
      <c r="AX27" s="34">
        <f>($B27/12)*(1+INDEX($C27:$E27,1,Control!$B$10))^AX5*INDEX($B$13:$M$13,1,MOD(45-1,12)+1)</f>
        <v/>
      </c>
      <c r="AY27" s="34">
        <f>($B27/12)*(1+INDEX($C27:$E27,1,Control!$B$10))^AY5*INDEX($B$13:$M$13,1,MOD(46-1,12)+1)</f>
        <v/>
      </c>
      <c r="AZ27" s="34">
        <f>($B27/12)*(1+INDEX($C27:$E27,1,Control!$B$10))^AZ5*INDEX($B$13:$M$13,1,MOD(47-1,12)+1)</f>
        <v/>
      </c>
      <c r="BA27" s="34">
        <f>($B27/12)*(1+INDEX($C27:$E27,1,Control!$B$10))^BA5*INDEX($B$13:$M$13,1,MOD(48-1,12)+1)</f>
        <v/>
      </c>
      <c r="BB27" s="34">
        <f>($B27/12)*(1+INDEX($C27:$E27,1,Control!$B$10))^BB5*INDEX($B$13:$M$13,1,MOD(49-1,12)+1)</f>
        <v/>
      </c>
      <c r="BC27" s="34">
        <f>($B27/12)*(1+INDEX($C27:$E27,1,Control!$B$10))^BC5*INDEX($B$13:$M$13,1,MOD(50-1,12)+1)</f>
        <v/>
      </c>
      <c r="BD27" s="34">
        <f>($B27/12)*(1+INDEX($C27:$E27,1,Control!$B$10))^BD5*INDEX($B$13:$M$13,1,MOD(51-1,12)+1)</f>
        <v/>
      </c>
      <c r="BE27" s="34">
        <f>($B27/12)*(1+INDEX($C27:$E27,1,Control!$B$10))^BE5*INDEX($B$13:$M$13,1,MOD(52-1,12)+1)</f>
        <v/>
      </c>
      <c r="BF27" s="34">
        <f>($B27/12)*(1+INDEX($C27:$E27,1,Control!$B$10))^BF5*INDEX($B$13:$M$13,1,MOD(53-1,12)+1)</f>
        <v/>
      </c>
      <c r="BG27" s="34">
        <f>($B27/12)*(1+INDEX($C27:$E27,1,Control!$B$10))^BG5*INDEX($B$13:$M$13,1,MOD(54-1,12)+1)</f>
        <v/>
      </c>
      <c r="BH27" s="34">
        <f>($B27/12)*(1+INDEX($C27:$E27,1,Control!$B$10))^BH5*INDEX($B$13:$M$13,1,MOD(55-1,12)+1)</f>
        <v/>
      </c>
      <c r="BI27" s="34">
        <f>($B27/12)*(1+INDEX($C27:$E27,1,Control!$B$10))^BI5*INDEX($B$13:$M$13,1,MOD(56-1,12)+1)</f>
        <v/>
      </c>
      <c r="BJ27" s="34">
        <f>($B27/12)*(1+INDEX($C27:$E27,1,Control!$B$10))^BJ5*INDEX($B$13:$M$13,1,MOD(57-1,12)+1)</f>
        <v/>
      </c>
      <c r="BK27" s="34">
        <f>($B27/12)*(1+INDEX($C27:$E27,1,Control!$B$10))^BK5*INDEX($B$13:$M$13,1,MOD(58-1,12)+1)</f>
        <v/>
      </c>
      <c r="BL27" s="34">
        <f>($B27/12)*(1+INDEX($C27:$E27,1,Control!$B$10))^BL5*INDEX($B$13:$M$13,1,MOD(59-1,12)+1)</f>
        <v/>
      </c>
      <c r="BM27" s="34">
        <f>($B27/12)*(1+INDEX($C27:$E27,1,Control!$B$10))^BM5*INDEX($B$13:$M$13,1,MOD(60-1,12)+1)</f>
        <v/>
      </c>
      <c r="BN27" s="34">
        <f>($B27/12)*(1+INDEX($C27:$E27,1,Control!$B$10))^BN5*INDEX($B$13:$M$13,1,MOD(61-1,12)+1)</f>
        <v/>
      </c>
      <c r="BO27" s="34">
        <f>($B27/12)*(1+INDEX($C27:$E27,1,Control!$B$10))^BO5*INDEX($B$13:$M$13,1,MOD(62-1,12)+1)</f>
        <v/>
      </c>
      <c r="BP27" s="34">
        <f>($B27/12)*(1+INDEX($C27:$E27,1,Control!$B$10))^BP5*INDEX($B$13:$M$13,1,MOD(63-1,12)+1)</f>
        <v/>
      </c>
      <c r="BQ27" s="34">
        <f>($B27/12)*(1+INDEX($C27:$E27,1,Control!$B$10))^BQ5*INDEX($B$13:$M$13,1,MOD(64-1,12)+1)</f>
        <v/>
      </c>
      <c r="BR27" s="34">
        <f>($B27/12)*(1+INDEX($C27:$E27,1,Control!$B$10))^BR5*INDEX($B$13:$M$13,1,MOD(65-1,12)+1)</f>
        <v/>
      </c>
      <c r="BS27" s="34">
        <f>($B27/12)*(1+INDEX($C27:$E27,1,Control!$B$10))^BS5*INDEX($B$13:$M$13,1,MOD(66-1,12)+1)</f>
        <v/>
      </c>
      <c r="BT27" s="34">
        <f>($B27/12)*(1+INDEX($C27:$E27,1,Control!$B$10))^BT5*INDEX($B$13:$M$13,1,MOD(67-1,12)+1)</f>
        <v/>
      </c>
      <c r="BU27" s="34">
        <f>($B27/12)*(1+INDEX($C27:$E27,1,Control!$B$10))^BU5*INDEX($B$13:$M$13,1,MOD(68-1,12)+1)</f>
        <v/>
      </c>
      <c r="BV27" s="34">
        <f>($B27/12)*(1+INDEX($C27:$E27,1,Control!$B$10))^BV5*INDEX($B$13:$M$13,1,MOD(69-1,12)+1)</f>
        <v/>
      </c>
      <c r="BW27" s="34">
        <f>($B27/12)*(1+INDEX($C27:$E27,1,Control!$B$10))^BW5*INDEX($B$13:$M$13,1,MOD(70-1,12)+1)</f>
        <v/>
      </c>
      <c r="BX27" s="34">
        <f>($B27/12)*(1+INDEX($C27:$E27,1,Control!$B$10))^BX5*INDEX($B$13:$M$13,1,MOD(71-1,12)+1)</f>
        <v/>
      </c>
      <c r="BY27" s="34">
        <f>($B27/12)*(1+INDEX($C27:$E27,1,Control!$B$10))^BY5*INDEX($B$13:$M$13,1,MOD(72-1,12)+1)</f>
        <v/>
      </c>
      <c r="BZ27" s="34">
        <f>($B27/12)*(1+INDEX($C27:$E27,1,Control!$B$10))^BZ5*INDEX($B$13:$M$13,1,MOD(73-1,12)+1)</f>
        <v/>
      </c>
      <c r="CA27" s="34">
        <f>($B27/12)*(1+INDEX($C27:$E27,1,Control!$B$10))^CA5*INDEX($B$13:$M$13,1,MOD(74-1,12)+1)</f>
        <v/>
      </c>
      <c r="CB27" s="34">
        <f>($B27/12)*(1+INDEX($C27:$E27,1,Control!$B$10))^CB5*INDEX($B$13:$M$13,1,MOD(75-1,12)+1)</f>
        <v/>
      </c>
      <c r="CC27" s="34">
        <f>($B27/12)*(1+INDEX($C27:$E27,1,Control!$B$10))^CC5*INDEX($B$13:$M$13,1,MOD(76-1,12)+1)</f>
        <v/>
      </c>
      <c r="CD27" s="34">
        <f>($B27/12)*(1+INDEX($C27:$E27,1,Control!$B$10))^CD5*INDEX($B$13:$M$13,1,MOD(77-1,12)+1)</f>
        <v/>
      </c>
      <c r="CE27" s="34">
        <f>($B27/12)*(1+INDEX($C27:$E27,1,Control!$B$10))^CE5*INDEX($B$13:$M$13,1,MOD(78-1,12)+1)</f>
        <v/>
      </c>
      <c r="CF27" s="34">
        <f>($B27/12)*(1+INDEX($C27:$E27,1,Control!$B$10))^CF5*INDEX($B$13:$M$13,1,MOD(79-1,12)+1)</f>
        <v/>
      </c>
      <c r="CG27" s="34">
        <f>($B27/12)*(1+INDEX($C27:$E27,1,Control!$B$10))^CG5*INDEX($B$13:$M$13,1,MOD(80-1,12)+1)</f>
        <v/>
      </c>
      <c r="CH27" s="34">
        <f>($B27/12)*(1+INDEX($C27:$E27,1,Control!$B$10))^CH5*INDEX($B$13:$M$13,1,MOD(81-1,12)+1)</f>
        <v/>
      </c>
      <c r="CI27" s="34">
        <f>($B27/12)*(1+INDEX($C27:$E27,1,Control!$B$10))^CI5*INDEX($B$13:$M$13,1,MOD(82-1,12)+1)</f>
        <v/>
      </c>
      <c r="CJ27" s="34">
        <f>($B27/12)*(1+INDEX($C27:$E27,1,Control!$B$10))^CJ5*INDEX($B$13:$M$13,1,MOD(83-1,12)+1)</f>
        <v/>
      </c>
      <c r="CK27" s="34">
        <f>($B27/12)*(1+INDEX($C27:$E27,1,Control!$B$10))^CK5*INDEX($B$13:$M$13,1,MOD(84-1,12)+1)</f>
        <v/>
      </c>
      <c r="CL27" s="34">
        <f>($B27/12)*(1+INDEX($C27:$E27,1,Control!$B$10))^CL5*INDEX($B$13:$M$13,1,MOD(85-1,12)+1)</f>
        <v/>
      </c>
      <c r="CM27" s="34">
        <f>($B27/12)*(1+INDEX($C27:$E27,1,Control!$B$10))^CM5*INDEX($B$13:$M$13,1,MOD(86-1,12)+1)</f>
        <v/>
      </c>
      <c r="CN27" s="34">
        <f>($B27/12)*(1+INDEX($C27:$E27,1,Control!$B$10))^CN5*INDEX($B$13:$M$13,1,MOD(87-1,12)+1)</f>
        <v/>
      </c>
      <c r="CO27" s="34">
        <f>($B27/12)*(1+INDEX($C27:$E27,1,Control!$B$10))^CO5*INDEX($B$13:$M$13,1,MOD(88-1,12)+1)</f>
        <v/>
      </c>
      <c r="CP27" s="34">
        <f>($B27/12)*(1+INDEX($C27:$E27,1,Control!$B$10))^CP5*INDEX($B$13:$M$13,1,MOD(89-1,12)+1)</f>
        <v/>
      </c>
      <c r="CQ27" s="34">
        <f>($B27/12)*(1+INDEX($C27:$E27,1,Control!$B$10))^CQ5*INDEX($B$13:$M$13,1,MOD(90-1,12)+1)</f>
        <v/>
      </c>
      <c r="CR27" s="34">
        <f>($B27/12)*(1+INDEX($C27:$E27,1,Control!$B$10))^CR5*INDEX($B$13:$M$13,1,MOD(91-1,12)+1)</f>
        <v/>
      </c>
      <c r="CS27" s="34">
        <f>($B27/12)*(1+INDEX($C27:$E27,1,Control!$B$10))^CS5*INDEX($B$13:$M$13,1,MOD(92-1,12)+1)</f>
        <v/>
      </c>
      <c r="CT27" s="34">
        <f>($B27/12)*(1+INDEX($C27:$E27,1,Control!$B$10))^CT5*INDEX($B$13:$M$13,1,MOD(93-1,12)+1)</f>
        <v/>
      </c>
      <c r="CU27" s="34">
        <f>($B27/12)*(1+INDEX($C27:$E27,1,Control!$B$10))^CU5*INDEX($B$13:$M$13,1,MOD(94-1,12)+1)</f>
        <v/>
      </c>
      <c r="CV27" s="34">
        <f>($B27/12)*(1+INDEX($C27:$E27,1,Control!$B$10))^CV5*INDEX($B$13:$M$13,1,MOD(95-1,12)+1)</f>
        <v/>
      </c>
      <c r="CW27" s="34">
        <f>($B27/12)*(1+INDEX($C27:$E27,1,Control!$B$10))^CW5*INDEX($B$13:$M$13,1,MOD(96-1,12)+1)</f>
        <v/>
      </c>
      <c r="CX27" s="34">
        <f>($B27/12)*(1+INDEX($C27:$E27,1,Control!$B$10))^CX5*INDEX($B$13:$M$13,1,MOD(97-1,12)+1)</f>
        <v/>
      </c>
      <c r="CY27" s="34">
        <f>($B27/12)*(1+INDEX($C27:$E27,1,Control!$B$10))^CY5*INDEX($B$13:$M$13,1,MOD(98-1,12)+1)</f>
        <v/>
      </c>
      <c r="CZ27" s="34">
        <f>($B27/12)*(1+INDEX($C27:$E27,1,Control!$B$10))^CZ5*INDEX($B$13:$M$13,1,MOD(99-1,12)+1)</f>
        <v/>
      </c>
      <c r="DA27" s="34">
        <f>($B27/12)*(1+INDEX($C27:$E27,1,Control!$B$10))^DA5*INDEX($B$13:$M$13,1,MOD(100-1,12)+1)</f>
        <v/>
      </c>
      <c r="DB27" s="34">
        <f>($B27/12)*(1+INDEX($C27:$E27,1,Control!$B$10))^DB5*INDEX($B$13:$M$13,1,MOD(101-1,12)+1)</f>
        <v/>
      </c>
      <c r="DC27" s="34">
        <f>($B27/12)*(1+INDEX($C27:$E27,1,Control!$B$10))^DC5*INDEX($B$13:$M$13,1,MOD(102-1,12)+1)</f>
        <v/>
      </c>
      <c r="DD27" s="34">
        <f>($B27/12)*(1+INDEX($C27:$E27,1,Control!$B$10))^DD5*INDEX($B$13:$M$13,1,MOD(103-1,12)+1)</f>
        <v/>
      </c>
      <c r="DE27" s="34">
        <f>($B27/12)*(1+INDEX($C27:$E27,1,Control!$B$10))^DE5*INDEX($B$13:$M$13,1,MOD(104-1,12)+1)</f>
        <v/>
      </c>
      <c r="DF27" s="34">
        <f>($B27/12)*(1+INDEX($C27:$E27,1,Control!$B$10))^DF5*INDEX($B$13:$M$13,1,MOD(105-1,12)+1)</f>
        <v/>
      </c>
      <c r="DG27" s="34">
        <f>($B27/12)*(1+INDEX($C27:$E27,1,Control!$B$10))^DG5*INDEX($B$13:$M$13,1,MOD(106-1,12)+1)</f>
        <v/>
      </c>
      <c r="DH27" s="34">
        <f>($B27/12)*(1+INDEX($C27:$E27,1,Control!$B$10))^DH5*INDEX($B$13:$M$13,1,MOD(107-1,12)+1)</f>
        <v/>
      </c>
      <c r="DI27" s="34">
        <f>($B27/12)*(1+INDEX($C27:$E27,1,Control!$B$10))^DI5*INDEX($B$13:$M$13,1,MOD(108-1,12)+1)</f>
        <v/>
      </c>
      <c r="DJ27" s="34">
        <f>($B27/12)*(1+INDEX($C27:$E27,1,Control!$B$10))^DJ5*INDEX($B$13:$M$13,1,MOD(109-1,12)+1)</f>
        <v/>
      </c>
      <c r="DK27" s="34">
        <f>($B27/12)*(1+INDEX($C27:$E27,1,Control!$B$10))^DK5*INDEX($B$13:$M$13,1,MOD(110-1,12)+1)</f>
        <v/>
      </c>
      <c r="DL27" s="34">
        <f>($B27/12)*(1+INDEX($C27:$E27,1,Control!$B$10))^DL5*INDEX($B$13:$M$13,1,MOD(111-1,12)+1)</f>
        <v/>
      </c>
      <c r="DM27" s="34">
        <f>($B27/12)*(1+INDEX($C27:$E27,1,Control!$B$10))^DM5*INDEX($B$13:$M$13,1,MOD(112-1,12)+1)</f>
        <v/>
      </c>
      <c r="DN27" s="34">
        <f>($B27/12)*(1+INDEX($C27:$E27,1,Control!$B$10))^DN5*INDEX($B$13:$M$13,1,MOD(113-1,12)+1)</f>
        <v/>
      </c>
      <c r="DO27" s="34">
        <f>($B27/12)*(1+INDEX($C27:$E27,1,Control!$B$10))^DO5*INDEX($B$13:$M$13,1,MOD(114-1,12)+1)</f>
        <v/>
      </c>
      <c r="DP27" s="34">
        <f>($B27/12)*(1+INDEX($C27:$E27,1,Control!$B$10))^DP5*INDEX($B$13:$M$13,1,MOD(115-1,12)+1)</f>
        <v/>
      </c>
      <c r="DQ27" s="34">
        <f>($B27/12)*(1+INDEX($C27:$E27,1,Control!$B$10))^DQ5*INDEX($B$13:$M$13,1,MOD(116-1,12)+1)</f>
        <v/>
      </c>
      <c r="DR27" s="34">
        <f>($B27/12)*(1+INDEX($C27:$E27,1,Control!$B$10))^DR5*INDEX($B$13:$M$13,1,MOD(117-1,12)+1)</f>
        <v/>
      </c>
      <c r="DS27" s="34">
        <f>($B27/12)*(1+INDEX($C27:$E27,1,Control!$B$10))^DS5*INDEX($B$13:$M$13,1,MOD(118-1,12)+1)</f>
        <v/>
      </c>
      <c r="DT27" s="34">
        <f>($B27/12)*(1+INDEX($C27:$E27,1,Control!$B$10))^DT5*INDEX($B$13:$M$13,1,MOD(119-1,12)+1)</f>
        <v/>
      </c>
      <c r="DU27" s="34">
        <f>($B27/12)*(1+INDEX($C27:$E27,1,Control!$B$10))^DU5*INDEX($B$13:$M$13,1,MOD(120-1,12)+1)</f>
        <v/>
      </c>
    </row>
    <row r="28">
      <c r="A28" t="inlineStr">
        <is>
          <t>AllDark-Cans-OffTrade</t>
        </is>
      </c>
      <c r="B28" s="33" t="n">
        <v>30000</v>
      </c>
      <c r="C28" s="22" t="n">
        <v>0.04</v>
      </c>
      <c r="D28" s="22" t="n">
        <v>0.06</v>
      </c>
      <c r="E28" s="22" t="n">
        <v>0.02</v>
      </c>
      <c r="F28" s="34">
        <f>($B28/12)*(1+INDEX($C28:$E28,1,Control!$B$10))^F5*INDEX($B$13:$M$13,1,MOD(1-1,12)+1)</f>
        <v/>
      </c>
      <c r="G28" s="34">
        <f>($B28/12)*(1+INDEX($C28:$E28,1,Control!$B$10))^G5*INDEX($B$13:$M$13,1,MOD(2-1,12)+1)</f>
        <v/>
      </c>
      <c r="H28" s="34">
        <f>($B28/12)*(1+INDEX($C28:$E28,1,Control!$B$10))^H5*INDEX($B$13:$M$13,1,MOD(3-1,12)+1)</f>
        <v/>
      </c>
      <c r="I28" s="34">
        <f>($B28/12)*(1+INDEX($C28:$E28,1,Control!$B$10))^I5*INDEX($B$13:$M$13,1,MOD(4-1,12)+1)</f>
        <v/>
      </c>
      <c r="J28" s="34">
        <f>($B28/12)*(1+INDEX($C28:$E28,1,Control!$B$10))^J5*INDEX($B$13:$M$13,1,MOD(5-1,12)+1)</f>
        <v/>
      </c>
      <c r="K28" s="34">
        <f>($B28/12)*(1+INDEX($C28:$E28,1,Control!$B$10))^K5*INDEX($B$13:$M$13,1,MOD(6-1,12)+1)</f>
        <v/>
      </c>
      <c r="L28" s="34">
        <f>($B28/12)*(1+INDEX($C28:$E28,1,Control!$B$10))^L5*INDEX($B$13:$M$13,1,MOD(7-1,12)+1)</f>
        <v/>
      </c>
      <c r="M28" s="34">
        <f>($B28/12)*(1+INDEX($C28:$E28,1,Control!$B$10))^M5*INDEX($B$13:$M$13,1,MOD(8-1,12)+1)</f>
        <v/>
      </c>
      <c r="N28" s="34">
        <f>($B28/12)*(1+INDEX($C28:$E28,1,Control!$B$10))^N5*INDEX($B$13:$M$13,1,MOD(9-1,12)+1)</f>
        <v/>
      </c>
      <c r="O28" s="34">
        <f>($B28/12)*(1+INDEX($C28:$E28,1,Control!$B$10))^O5*INDEX($B$13:$M$13,1,MOD(10-1,12)+1)</f>
        <v/>
      </c>
      <c r="P28" s="34">
        <f>($B28/12)*(1+INDEX($C28:$E28,1,Control!$B$10))^P5*INDEX($B$13:$M$13,1,MOD(11-1,12)+1)</f>
        <v/>
      </c>
      <c r="Q28" s="34">
        <f>($B28/12)*(1+INDEX($C28:$E28,1,Control!$B$10))^Q5*INDEX($B$13:$M$13,1,MOD(12-1,12)+1)</f>
        <v/>
      </c>
      <c r="R28" s="34">
        <f>($B28/12)*(1+INDEX($C28:$E28,1,Control!$B$10))^R5*INDEX($B$13:$M$13,1,MOD(13-1,12)+1)</f>
        <v/>
      </c>
      <c r="S28" s="34">
        <f>($B28/12)*(1+INDEX($C28:$E28,1,Control!$B$10))^S5*INDEX($B$13:$M$13,1,MOD(14-1,12)+1)</f>
        <v/>
      </c>
      <c r="T28" s="34">
        <f>($B28/12)*(1+INDEX($C28:$E28,1,Control!$B$10))^T5*INDEX($B$13:$M$13,1,MOD(15-1,12)+1)</f>
        <v/>
      </c>
      <c r="U28" s="34">
        <f>($B28/12)*(1+INDEX($C28:$E28,1,Control!$B$10))^U5*INDEX($B$13:$M$13,1,MOD(16-1,12)+1)</f>
        <v/>
      </c>
      <c r="V28" s="34">
        <f>($B28/12)*(1+INDEX($C28:$E28,1,Control!$B$10))^V5*INDEX($B$13:$M$13,1,MOD(17-1,12)+1)</f>
        <v/>
      </c>
      <c r="W28" s="34">
        <f>($B28/12)*(1+INDEX($C28:$E28,1,Control!$B$10))^W5*INDEX($B$13:$M$13,1,MOD(18-1,12)+1)</f>
        <v/>
      </c>
      <c r="X28" s="34">
        <f>($B28/12)*(1+INDEX($C28:$E28,1,Control!$B$10))^X5*INDEX($B$13:$M$13,1,MOD(19-1,12)+1)</f>
        <v/>
      </c>
      <c r="Y28" s="34">
        <f>($B28/12)*(1+INDEX($C28:$E28,1,Control!$B$10))^Y5*INDEX($B$13:$M$13,1,MOD(20-1,12)+1)</f>
        <v/>
      </c>
      <c r="Z28" s="34">
        <f>($B28/12)*(1+INDEX($C28:$E28,1,Control!$B$10))^Z5*INDEX($B$13:$M$13,1,MOD(21-1,12)+1)</f>
        <v/>
      </c>
      <c r="AA28" s="34">
        <f>($B28/12)*(1+INDEX($C28:$E28,1,Control!$B$10))^AA5*INDEX($B$13:$M$13,1,MOD(22-1,12)+1)</f>
        <v/>
      </c>
      <c r="AB28" s="34">
        <f>($B28/12)*(1+INDEX($C28:$E28,1,Control!$B$10))^AB5*INDEX($B$13:$M$13,1,MOD(23-1,12)+1)</f>
        <v/>
      </c>
      <c r="AC28" s="34">
        <f>($B28/12)*(1+INDEX($C28:$E28,1,Control!$B$10))^AC5*INDEX($B$13:$M$13,1,MOD(24-1,12)+1)</f>
        <v/>
      </c>
      <c r="AD28" s="34">
        <f>($B28/12)*(1+INDEX($C28:$E28,1,Control!$B$10))^AD5*INDEX($B$13:$M$13,1,MOD(25-1,12)+1)</f>
        <v/>
      </c>
      <c r="AE28" s="34">
        <f>($B28/12)*(1+INDEX($C28:$E28,1,Control!$B$10))^AE5*INDEX($B$13:$M$13,1,MOD(26-1,12)+1)</f>
        <v/>
      </c>
      <c r="AF28" s="34">
        <f>($B28/12)*(1+INDEX($C28:$E28,1,Control!$B$10))^AF5*INDEX($B$13:$M$13,1,MOD(27-1,12)+1)</f>
        <v/>
      </c>
      <c r="AG28" s="34">
        <f>($B28/12)*(1+INDEX($C28:$E28,1,Control!$B$10))^AG5*INDEX($B$13:$M$13,1,MOD(28-1,12)+1)</f>
        <v/>
      </c>
      <c r="AH28" s="34">
        <f>($B28/12)*(1+INDEX($C28:$E28,1,Control!$B$10))^AH5*INDEX($B$13:$M$13,1,MOD(29-1,12)+1)</f>
        <v/>
      </c>
      <c r="AI28" s="34">
        <f>($B28/12)*(1+INDEX($C28:$E28,1,Control!$B$10))^AI5*INDEX($B$13:$M$13,1,MOD(30-1,12)+1)</f>
        <v/>
      </c>
      <c r="AJ28" s="34">
        <f>($B28/12)*(1+INDEX($C28:$E28,1,Control!$B$10))^AJ5*INDEX($B$13:$M$13,1,MOD(31-1,12)+1)</f>
        <v/>
      </c>
      <c r="AK28" s="34">
        <f>($B28/12)*(1+INDEX($C28:$E28,1,Control!$B$10))^AK5*INDEX($B$13:$M$13,1,MOD(32-1,12)+1)</f>
        <v/>
      </c>
      <c r="AL28" s="34">
        <f>($B28/12)*(1+INDEX($C28:$E28,1,Control!$B$10))^AL5*INDEX($B$13:$M$13,1,MOD(33-1,12)+1)</f>
        <v/>
      </c>
      <c r="AM28" s="34">
        <f>($B28/12)*(1+INDEX($C28:$E28,1,Control!$B$10))^AM5*INDEX($B$13:$M$13,1,MOD(34-1,12)+1)</f>
        <v/>
      </c>
      <c r="AN28" s="34">
        <f>($B28/12)*(1+INDEX($C28:$E28,1,Control!$B$10))^AN5*INDEX($B$13:$M$13,1,MOD(35-1,12)+1)</f>
        <v/>
      </c>
      <c r="AO28" s="34">
        <f>($B28/12)*(1+INDEX($C28:$E28,1,Control!$B$10))^AO5*INDEX($B$13:$M$13,1,MOD(36-1,12)+1)</f>
        <v/>
      </c>
      <c r="AP28" s="34">
        <f>($B28/12)*(1+INDEX($C28:$E28,1,Control!$B$10))^AP5*INDEX($B$13:$M$13,1,MOD(37-1,12)+1)</f>
        <v/>
      </c>
      <c r="AQ28" s="34">
        <f>($B28/12)*(1+INDEX($C28:$E28,1,Control!$B$10))^AQ5*INDEX($B$13:$M$13,1,MOD(38-1,12)+1)</f>
        <v/>
      </c>
      <c r="AR28" s="34">
        <f>($B28/12)*(1+INDEX($C28:$E28,1,Control!$B$10))^AR5*INDEX($B$13:$M$13,1,MOD(39-1,12)+1)</f>
        <v/>
      </c>
      <c r="AS28" s="34">
        <f>($B28/12)*(1+INDEX($C28:$E28,1,Control!$B$10))^AS5*INDEX($B$13:$M$13,1,MOD(40-1,12)+1)</f>
        <v/>
      </c>
      <c r="AT28" s="34">
        <f>($B28/12)*(1+INDEX($C28:$E28,1,Control!$B$10))^AT5*INDEX($B$13:$M$13,1,MOD(41-1,12)+1)</f>
        <v/>
      </c>
      <c r="AU28" s="34">
        <f>($B28/12)*(1+INDEX($C28:$E28,1,Control!$B$10))^AU5*INDEX($B$13:$M$13,1,MOD(42-1,12)+1)</f>
        <v/>
      </c>
      <c r="AV28" s="34">
        <f>($B28/12)*(1+INDEX($C28:$E28,1,Control!$B$10))^AV5*INDEX($B$13:$M$13,1,MOD(43-1,12)+1)</f>
        <v/>
      </c>
      <c r="AW28" s="34">
        <f>($B28/12)*(1+INDEX($C28:$E28,1,Control!$B$10))^AW5*INDEX($B$13:$M$13,1,MOD(44-1,12)+1)</f>
        <v/>
      </c>
      <c r="AX28" s="34">
        <f>($B28/12)*(1+INDEX($C28:$E28,1,Control!$B$10))^AX5*INDEX($B$13:$M$13,1,MOD(45-1,12)+1)</f>
        <v/>
      </c>
      <c r="AY28" s="34">
        <f>($B28/12)*(1+INDEX($C28:$E28,1,Control!$B$10))^AY5*INDEX($B$13:$M$13,1,MOD(46-1,12)+1)</f>
        <v/>
      </c>
      <c r="AZ28" s="34">
        <f>($B28/12)*(1+INDEX($C28:$E28,1,Control!$B$10))^AZ5*INDEX($B$13:$M$13,1,MOD(47-1,12)+1)</f>
        <v/>
      </c>
      <c r="BA28" s="34">
        <f>($B28/12)*(1+INDEX($C28:$E28,1,Control!$B$10))^BA5*INDEX($B$13:$M$13,1,MOD(48-1,12)+1)</f>
        <v/>
      </c>
      <c r="BB28" s="34">
        <f>($B28/12)*(1+INDEX($C28:$E28,1,Control!$B$10))^BB5*INDEX($B$13:$M$13,1,MOD(49-1,12)+1)</f>
        <v/>
      </c>
      <c r="BC28" s="34">
        <f>($B28/12)*(1+INDEX($C28:$E28,1,Control!$B$10))^BC5*INDEX($B$13:$M$13,1,MOD(50-1,12)+1)</f>
        <v/>
      </c>
      <c r="BD28" s="34">
        <f>($B28/12)*(1+INDEX($C28:$E28,1,Control!$B$10))^BD5*INDEX($B$13:$M$13,1,MOD(51-1,12)+1)</f>
        <v/>
      </c>
      <c r="BE28" s="34">
        <f>($B28/12)*(1+INDEX($C28:$E28,1,Control!$B$10))^BE5*INDEX($B$13:$M$13,1,MOD(52-1,12)+1)</f>
        <v/>
      </c>
      <c r="BF28" s="34">
        <f>($B28/12)*(1+INDEX($C28:$E28,1,Control!$B$10))^BF5*INDEX($B$13:$M$13,1,MOD(53-1,12)+1)</f>
        <v/>
      </c>
      <c r="BG28" s="34">
        <f>($B28/12)*(1+INDEX($C28:$E28,1,Control!$B$10))^BG5*INDEX($B$13:$M$13,1,MOD(54-1,12)+1)</f>
        <v/>
      </c>
      <c r="BH28" s="34">
        <f>($B28/12)*(1+INDEX($C28:$E28,1,Control!$B$10))^BH5*INDEX($B$13:$M$13,1,MOD(55-1,12)+1)</f>
        <v/>
      </c>
      <c r="BI28" s="34">
        <f>($B28/12)*(1+INDEX($C28:$E28,1,Control!$B$10))^BI5*INDEX($B$13:$M$13,1,MOD(56-1,12)+1)</f>
        <v/>
      </c>
      <c r="BJ28" s="34">
        <f>($B28/12)*(1+INDEX($C28:$E28,1,Control!$B$10))^BJ5*INDEX($B$13:$M$13,1,MOD(57-1,12)+1)</f>
        <v/>
      </c>
      <c r="BK28" s="34">
        <f>($B28/12)*(1+INDEX($C28:$E28,1,Control!$B$10))^BK5*INDEX($B$13:$M$13,1,MOD(58-1,12)+1)</f>
        <v/>
      </c>
      <c r="BL28" s="34">
        <f>($B28/12)*(1+INDEX($C28:$E28,1,Control!$B$10))^BL5*INDEX($B$13:$M$13,1,MOD(59-1,12)+1)</f>
        <v/>
      </c>
      <c r="BM28" s="34">
        <f>($B28/12)*(1+INDEX($C28:$E28,1,Control!$B$10))^BM5*INDEX($B$13:$M$13,1,MOD(60-1,12)+1)</f>
        <v/>
      </c>
      <c r="BN28" s="34">
        <f>($B28/12)*(1+INDEX($C28:$E28,1,Control!$B$10))^BN5*INDEX($B$13:$M$13,1,MOD(61-1,12)+1)</f>
        <v/>
      </c>
      <c r="BO28" s="34">
        <f>($B28/12)*(1+INDEX($C28:$E28,1,Control!$B$10))^BO5*INDEX($B$13:$M$13,1,MOD(62-1,12)+1)</f>
        <v/>
      </c>
      <c r="BP28" s="34">
        <f>($B28/12)*(1+INDEX($C28:$E28,1,Control!$B$10))^BP5*INDEX($B$13:$M$13,1,MOD(63-1,12)+1)</f>
        <v/>
      </c>
      <c r="BQ28" s="34">
        <f>($B28/12)*(1+INDEX($C28:$E28,1,Control!$B$10))^BQ5*INDEX($B$13:$M$13,1,MOD(64-1,12)+1)</f>
        <v/>
      </c>
      <c r="BR28" s="34">
        <f>($B28/12)*(1+INDEX($C28:$E28,1,Control!$B$10))^BR5*INDEX($B$13:$M$13,1,MOD(65-1,12)+1)</f>
        <v/>
      </c>
      <c r="BS28" s="34">
        <f>($B28/12)*(1+INDEX($C28:$E28,1,Control!$B$10))^BS5*INDEX($B$13:$M$13,1,MOD(66-1,12)+1)</f>
        <v/>
      </c>
      <c r="BT28" s="34">
        <f>($B28/12)*(1+INDEX($C28:$E28,1,Control!$B$10))^BT5*INDEX($B$13:$M$13,1,MOD(67-1,12)+1)</f>
        <v/>
      </c>
      <c r="BU28" s="34">
        <f>($B28/12)*(1+INDEX($C28:$E28,1,Control!$B$10))^BU5*INDEX($B$13:$M$13,1,MOD(68-1,12)+1)</f>
        <v/>
      </c>
      <c r="BV28" s="34">
        <f>($B28/12)*(1+INDEX($C28:$E28,1,Control!$B$10))^BV5*INDEX($B$13:$M$13,1,MOD(69-1,12)+1)</f>
        <v/>
      </c>
      <c r="BW28" s="34">
        <f>($B28/12)*(1+INDEX($C28:$E28,1,Control!$B$10))^BW5*INDEX($B$13:$M$13,1,MOD(70-1,12)+1)</f>
        <v/>
      </c>
      <c r="BX28" s="34">
        <f>($B28/12)*(1+INDEX($C28:$E28,1,Control!$B$10))^BX5*INDEX($B$13:$M$13,1,MOD(71-1,12)+1)</f>
        <v/>
      </c>
      <c r="BY28" s="34">
        <f>($B28/12)*(1+INDEX($C28:$E28,1,Control!$B$10))^BY5*INDEX($B$13:$M$13,1,MOD(72-1,12)+1)</f>
        <v/>
      </c>
      <c r="BZ28" s="34">
        <f>($B28/12)*(1+INDEX($C28:$E28,1,Control!$B$10))^BZ5*INDEX($B$13:$M$13,1,MOD(73-1,12)+1)</f>
        <v/>
      </c>
      <c r="CA28" s="34">
        <f>($B28/12)*(1+INDEX($C28:$E28,1,Control!$B$10))^CA5*INDEX($B$13:$M$13,1,MOD(74-1,12)+1)</f>
        <v/>
      </c>
      <c r="CB28" s="34">
        <f>($B28/12)*(1+INDEX($C28:$E28,1,Control!$B$10))^CB5*INDEX($B$13:$M$13,1,MOD(75-1,12)+1)</f>
        <v/>
      </c>
      <c r="CC28" s="34">
        <f>($B28/12)*(1+INDEX($C28:$E28,1,Control!$B$10))^CC5*INDEX($B$13:$M$13,1,MOD(76-1,12)+1)</f>
        <v/>
      </c>
      <c r="CD28" s="34">
        <f>($B28/12)*(1+INDEX($C28:$E28,1,Control!$B$10))^CD5*INDEX($B$13:$M$13,1,MOD(77-1,12)+1)</f>
        <v/>
      </c>
      <c r="CE28" s="34">
        <f>($B28/12)*(1+INDEX($C28:$E28,1,Control!$B$10))^CE5*INDEX($B$13:$M$13,1,MOD(78-1,12)+1)</f>
        <v/>
      </c>
      <c r="CF28" s="34">
        <f>($B28/12)*(1+INDEX($C28:$E28,1,Control!$B$10))^CF5*INDEX($B$13:$M$13,1,MOD(79-1,12)+1)</f>
        <v/>
      </c>
      <c r="CG28" s="34">
        <f>($B28/12)*(1+INDEX($C28:$E28,1,Control!$B$10))^CG5*INDEX($B$13:$M$13,1,MOD(80-1,12)+1)</f>
        <v/>
      </c>
      <c r="CH28" s="34">
        <f>($B28/12)*(1+INDEX($C28:$E28,1,Control!$B$10))^CH5*INDEX($B$13:$M$13,1,MOD(81-1,12)+1)</f>
        <v/>
      </c>
      <c r="CI28" s="34">
        <f>($B28/12)*(1+INDEX($C28:$E28,1,Control!$B$10))^CI5*INDEX($B$13:$M$13,1,MOD(82-1,12)+1)</f>
        <v/>
      </c>
      <c r="CJ28" s="34">
        <f>($B28/12)*(1+INDEX($C28:$E28,1,Control!$B$10))^CJ5*INDEX($B$13:$M$13,1,MOD(83-1,12)+1)</f>
        <v/>
      </c>
      <c r="CK28" s="34">
        <f>($B28/12)*(1+INDEX($C28:$E28,1,Control!$B$10))^CK5*INDEX($B$13:$M$13,1,MOD(84-1,12)+1)</f>
        <v/>
      </c>
      <c r="CL28" s="34">
        <f>($B28/12)*(1+INDEX($C28:$E28,1,Control!$B$10))^CL5*INDEX($B$13:$M$13,1,MOD(85-1,12)+1)</f>
        <v/>
      </c>
      <c r="CM28" s="34">
        <f>($B28/12)*(1+INDEX($C28:$E28,1,Control!$B$10))^CM5*INDEX($B$13:$M$13,1,MOD(86-1,12)+1)</f>
        <v/>
      </c>
      <c r="CN28" s="34">
        <f>($B28/12)*(1+INDEX($C28:$E28,1,Control!$B$10))^CN5*INDEX($B$13:$M$13,1,MOD(87-1,12)+1)</f>
        <v/>
      </c>
      <c r="CO28" s="34">
        <f>($B28/12)*(1+INDEX($C28:$E28,1,Control!$B$10))^CO5*INDEX($B$13:$M$13,1,MOD(88-1,12)+1)</f>
        <v/>
      </c>
      <c r="CP28" s="34">
        <f>($B28/12)*(1+INDEX($C28:$E28,1,Control!$B$10))^CP5*INDEX($B$13:$M$13,1,MOD(89-1,12)+1)</f>
        <v/>
      </c>
      <c r="CQ28" s="34">
        <f>($B28/12)*(1+INDEX($C28:$E28,1,Control!$B$10))^CQ5*INDEX($B$13:$M$13,1,MOD(90-1,12)+1)</f>
        <v/>
      </c>
      <c r="CR28" s="34">
        <f>($B28/12)*(1+INDEX($C28:$E28,1,Control!$B$10))^CR5*INDEX($B$13:$M$13,1,MOD(91-1,12)+1)</f>
        <v/>
      </c>
      <c r="CS28" s="34">
        <f>($B28/12)*(1+INDEX($C28:$E28,1,Control!$B$10))^CS5*INDEX($B$13:$M$13,1,MOD(92-1,12)+1)</f>
        <v/>
      </c>
      <c r="CT28" s="34">
        <f>($B28/12)*(1+INDEX($C28:$E28,1,Control!$B$10))^CT5*INDEX($B$13:$M$13,1,MOD(93-1,12)+1)</f>
        <v/>
      </c>
      <c r="CU28" s="34">
        <f>($B28/12)*(1+INDEX($C28:$E28,1,Control!$B$10))^CU5*INDEX($B$13:$M$13,1,MOD(94-1,12)+1)</f>
        <v/>
      </c>
      <c r="CV28" s="34">
        <f>($B28/12)*(1+INDEX($C28:$E28,1,Control!$B$10))^CV5*INDEX($B$13:$M$13,1,MOD(95-1,12)+1)</f>
        <v/>
      </c>
      <c r="CW28" s="34">
        <f>($B28/12)*(1+INDEX($C28:$E28,1,Control!$B$10))^CW5*INDEX($B$13:$M$13,1,MOD(96-1,12)+1)</f>
        <v/>
      </c>
      <c r="CX28" s="34">
        <f>($B28/12)*(1+INDEX($C28:$E28,1,Control!$B$10))^CX5*INDEX($B$13:$M$13,1,MOD(97-1,12)+1)</f>
        <v/>
      </c>
      <c r="CY28" s="34">
        <f>($B28/12)*(1+INDEX($C28:$E28,1,Control!$B$10))^CY5*INDEX($B$13:$M$13,1,MOD(98-1,12)+1)</f>
        <v/>
      </c>
      <c r="CZ28" s="34">
        <f>($B28/12)*(1+INDEX($C28:$E28,1,Control!$B$10))^CZ5*INDEX($B$13:$M$13,1,MOD(99-1,12)+1)</f>
        <v/>
      </c>
      <c r="DA28" s="34">
        <f>($B28/12)*(1+INDEX($C28:$E28,1,Control!$B$10))^DA5*INDEX($B$13:$M$13,1,MOD(100-1,12)+1)</f>
        <v/>
      </c>
      <c r="DB28" s="34">
        <f>($B28/12)*(1+INDEX($C28:$E28,1,Control!$B$10))^DB5*INDEX($B$13:$M$13,1,MOD(101-1,12)+1)</f>
        <v/>
      </c>
      <c r="DC28" s="34">
        <f>($B28/12)*(1+INDEX($C28:$E28,1,Control!$B$10))^DC5*INDEX($B$13:$M$13,1,MOD(102-1,12)+1)</f>
        <v/>
      </c>
      <c r="DD28" s="34">
        <f>($B28/12)*(1+INDEX($C28:$E28,1,Control!$B$10))^DD5*INDEX($B$13:$M$13,1,MOD(103-1,12)+1)</f>
        <v/>
      </c>
      <c r="DE28" s="34">
        <f>($B28/12)*(1+INDEX($C28:$E28,1,Control!$B$10))^DE5*INDEX($B$13:$M$13,1,MOD(104-1,12)+1)</f>
        <v/>
      </c>
      <c r="DF28" s="34">
        <f>($B28/12)*(1+INDEX($C28:$E28,1,Control!$B$10))^DF5*INDEX($B$13:$M$13,1,MOD(105-1,12)+1)</f>
        <v/>
      </c>
      <c r="DG28" s="34">
        <f>($B28/12)*(1+INDEX($C28:$E28,1,Control!$B$10))^DG5*INDEX($B$13:$M$13,1,MOD(106-1,12)+1)</f>
        <v/>
      </c>
      <c r="DH28" s="34">
        <f>($B28/12)*(1+INDEX($C28:$E28,1,Control!$B$10))^DH5*INDEX($B$13:$M$13,1,MOD(107-1,12)+1)</f>
        <v/>
      </c>
      <c r="DI28" s="34">
        <f>($B28/12)*(1+INDEX($C28:$E28,1,Control!$B$10))^DI5*INDEX($B$13:$M$13,1,MOD(108-1,12)+1)</f>
        <v/>
      </c>
      <c r="DJ28" s="34">
        <f>($B28/12)*(1+INDEX($C28:$E28,1,Control!$B$10))^DJ5*INDEX($B$13:$M$13,1,MOD(109-1,12)+1)</f>
        <v/>
      </c>
      <c r="DK28" s="34">
        <f>($B28/12)*(1+INDEX($C28:$E28,1,Control!$B$10))^DK5*INDEX($B$13:$M$13,1,MOD(110-1,12)+1)</f>
        <v/>
      </c>
      <c r="DL28" s="34">
        <f>($B28/12)*(1+INDEX($C28:$E28,1,Control!$B$10))^DL5*INDEX($B$13:$M$13,1,MOD(111-1,12)+1)</f>
        <v/>
      </c>
      <c r="DM28" s="34">
        <f>($B28/12)*(1+INDEX($C28:$E28,1,Control!$B$10))^DM5*INDEX($B$13:$M$13,1,MOD(112-1,12)+1)</f>
        <v/>
      </c>
      <c r="DN28" s="34">
        <f>($B28/12)*(1+INDEX($C28:$E28,1,Control!$B$10))^DN5*INDEX($B$13:$M$13,1,MOD(113-1,12)+1)</f>
        <v/>
      </c>
      <c r="DO28" s="34">
        <f>($B28/12)*(1+INDEX($C28:$E28,1,Control!$B$10))^DO5*INDEX($B$13:$M$13,1,MOD(114-1,12)+1)</f>
        <v/>
      </c>
      <c r="DP28" s="34">
        <f>($B28/12)*(1+INDEX($C28:$E28,1,Control!$B$10))^DP5*INDEX($B$13:$M$13,1,MOD(115-1,12)+1)</f>
        <v/>
      </c>
      <c r="DQ28" s="34">
        <f>($B28/12)*(1+INDEX($C28:$E28,1,Control!$B$10))^DQ5*INDEX($B$13:$M$13,1,MOD(116-1,12)+1)</f>
        <v/>
      </c>
      <c r="DR28" s="34">
        <f>($B28/12)*(1+INDEX($C28:$E28,1,Control!$B$10))^DR5*INDEX($B$13:$M$13,1,MOD(117-1,12)+1)</f>
        <v/>
      </c>
      <c r="DS28" s="34">
        <f>($B28/12)*(1+INDEX($C28:$E28,1,Control!$B$10))^DS5*INDEX($B$13:$M$13,1,MOD(118-1,12)+1)</f>
        <v/>
      </c>
      <c r="DT28" s="34">
        <f>($B28/12)*(1+INDEX($C28:$E28,1,Control!$B$10))^DT5*INDEX($B$13:$M$13,1,MOD(119-1,12)+1)</f>
        <v/>
      </c>
      <c r="DU28" s="34">
        <f>($B28/12)*(1+INDEX($C28:$E28,1,Control!$B$10))^DU5*INDEX($B$13:$M$13,1,MOD(120-1,12)+1)</f>
        <v/>
      </c>
    </row>
    <row r="29">
      <c r="A29" t="inlineStr">
        <is>
          <t>AllDark-Kegs-OnTrade</t>
        </is>
      </c>
      <c r="B29" s="33" t="n">
        <v>17000</v>
      </c>
      <c r="C29" s="22" t="n">
        <v>0.04</v>
      </c>
      <c r="D29" s="22" t="n">
        <v>0.06</v>
      </c>
      <c r="E29" s="22" t="n">
        <v>0.02</v>
      </c>
      <c r="F29" s="34">
        <f>($B29/12)*(1+INDEX($C29:$E29,1,Control!$B$10))^F5*INDEX($B$13:$M$13,1,MOD(1-1,12)+1)</f>
        <v/>
      </c>
      <c r="G29" s="34">
        <f>($B29/12)*(1+INDEX($C29:$E29,1,Control!$B$10))^G5*INDEX($B$13:$M$13,1,MOD(2-1,12)+1)</f>
        <v/>
      </c>
      <c r="H29" s="34">
        <f>($B29/12)*(1+INDEX($C29:$E29,1,Control!$B$10))^H5*INDEX($B$13:$M$13,1,MOD(3-1,12)+1)</f>
        <v/>
      </c>
      <c r="I29" s="34">
        <f>($B29/12)*(1+INDEX($C29:$E29,1,Control!$B$10))^I5*INDEX($B$13:$M$13,1,MOD(4-1,12)+1)</f>
        <v/>
      </c>
      <c r="J29" s="34">
        <f>($B29/12)*(1+INDEX($C29:$E29,1,Control!$B$10))^J5*INDEX($B$13:$M$13,1,MOD(5-1,12)+1)</f>
        <v/>
      </c>
      <c r="K29" s="34">
        <f>($B29/12)*(1+INDEX($C29:$E29,1,Control!$B$10))^K5*INDEX($B$13:$M$13,1,MOD(6-1,12)+1)</f>
        <v/>
      </c>
      <c r="L29" s="34">
        <f>($B29/12)*(1+INDEX($C29:$E29,1,Control!$B$10))^L5*INDEX($B$13:$M$13,1,MOD(7-1,12)+1)</f>
        <v/>
      </c>
      <c r="M29" s="34">
        <f>($B29/12)*(1+INDEX($C29:$E29,1,Control!$B$10))^M5*INDEX($B$13:$M$13,1,MOD(8-1,12)+1)</f>
        <v/>
      </c>
      <c r="N29" s="34">
        <f>($B29/12)*(1+INDEX($C29:$E29,1,Control!$B$10))^N5*INDEX($B$13:$M$13,1,MOD(9-1,12)+1)</f>
        <v/>
      </c>
      <c r="O29" s="34">
        <f>($B29/12)*(1+INDEX($C29:$E29,1,Control!$B$10))^O5*INDEX($B$13:$M$13,1,MOD(10-1,12)+1)</f>
        <v/>
      </c>
      <c r="P29" s="34">
        <f>($B29/12)*(1+INDEX($C29:$E29,1,Control!$B$10))^P5*INDEX($B$13:$M$13,1,MOD(11-1,12)+1)</f>
        <v/>
      </c>
      <c r="Q29" s="34">
        <f>($B29/12)*(1+INDEX($C29:$E29,1,Control!$B$10))^Q5*INDEX($B$13:$M$13,1,MOD(12-1,12)+1)</f>
        <v/>
      </c>
      <c r="R29" s="34">
        <f>($B29/12)*(1+INDEX($C29:$E29,1,Control!$B$10))^R5*INDEX($B$13:$M$13,1,MOD(13-1,12)+1)</f>
        <v/>
      </c>
      <c r="S29" s="34">
        <f>($B29/12)*(1+INDEX($C29:$E29,1,Control!$B$10))^S5*INDEX($B$13:$M$13,1,MOD(14-1,12)+1)</f>
        <v/>
      </c>
      <c r="T29" s="34">
        <f>($B29/12)*(1+INDEX($C29:$E29,1,Control!$B$10))^T5*INDEX($B$13:$M$13,1,MOD(15-1,12)+1)</f>
        <v/>
      </c>
      <c r="U29" s="34">
        <f>($B29/12)*(1+INDEX($C29:$E29,1,Control!$B$10))^U5*INDEX($B$13:$M$13,1,MOD(16-1,12)+1)</f>
        <v/>
      </c>
      <c r="V29" s="34">
        <f>($B29/12)*(1+INDEX($C29:$E29,1,Control!$B$10))^V5*INDEX($B$13:$M$13,1,MOD(17-1,12)+1)</f>
        <v/>
      </c>
      <c r="W29" s="34">
        <f>($B29/12)*(1+INDEX($C29:$E29,1,Control!$B$10))^W5*INDEX($B$13:$M$13,1,MOD(18-1,12)+1)</f>
        <v/>
      </c>
      <c r="X29" s="34">
        <f>($B29/12)*(1+INDEX($C29:$E29,1,Control!$B$10))^X5*INDEX($B$13:$M$13,1,MOD(19-1,12)+1)</f>
        <v/>
      </c>
      <c r="Y29" s="34">
        <f>($B29/12)*(1+INDEX($C29:$E29,1,Control!$B$10))^Y5*INDEX($B$13:$M$13,1,MOD(20-1,12)+1)</f>
        <v/>
      </c>
      <c r="Z29" s="34">
        <f>($B29/12)*(1+INDEX($C29:$E29,1,Control!$B$10))^Z5*INDEX($B$13:$M$13,1,MOD(21-1,12)+1)</f>
        <v/>
      </c>
      <c r="AA29" s="34">
        <f>($B29/12)*(1+INDEX($C29:$E29,1,Control!$B$10))^AA5*INDEX($B$13:$M$13,1,MOD(22-1,12)+1)</f>
        <v/>
      </c>
      <c r="AB29" s="34">
        <f>($B29/12)*(1+INDEX($C29:$E29,1,Control!$B$10))^AB5*INDEX($B$13:$M$13,1,MOD(23-1,12)+1)</f>
        <v/>
      </c>
      <c r="AC29" s="34">
        <f>($B29/12)*(1+INDEX($C29:$E29,1,Control!$B$10))^AC5*INDEX($B$13:$M$13,1,MOD(24-1,12)+1)</f>
        <v/>
      </c>
      <c r="AD29" s="34">
        <f>($B29/12)*(1+INDEX($C29:$E29,1,Control!$B$10))^AD5*INDEX($B$13:$M$13,1,MOD(25-1,12)+1)</f>
        <v/>
      </c>
      <c r="AE29" s="34">
        <f>($B29/12)*(1+INDEX($C29:$E29,1,Control!$B$10))^AE5*INDEX($B$13:$M$13,1,MOD(26-1,12)+1)</f>
        <v/>
      </c>
      <c r="AF29" s="34">
        <f>($B29/12)*(1+INDEX($C29:$E29,1,Control!$B$10))^AF5*INDEX($B$13:$M$13,1,MOD(27-1,12)+1)</f>
        <v/>
      </c>
      <c r="AG29" s="34">
        <f>($B29/12)*(1+INDEX($C29:$E29,1,Control!$B$10))^AG5*INDEX($B$13:$M$13,1,MOD(28-1,12)+1)</f>
        <v/>
      </c>
      <c r="AH29" s="34">
        <f>($B29/12)*(1+INDEX($C29:$E29,1,Control!$B$10))^AH5*INDEX($B$13:$M$13,1,MOD(29-1,12)+1)</f>
        <v/>
      </c>
      <c r="AI29" s="34">
        <f>($B29/12)*(1+INDEX($C29:$E29,1,Control!$B$10))^AI5*INDEX($B$13:$M$13,1,MOD(30-1,12)+1)</f>
        <v/>
      </c>
      <c r="AJ29" s="34">
        <f>($B29/12)*(1+INDEX($C29:$E29,1,Control!$B$10))^AJ5*INDEX($B$13:$M$13,1,MOD(31-1,12)+1)</f>
        <v/>
      </c>
      <c r="AK29" s="34">
        <f>($B29/12)*(1+INDEX($C29:$E29,1,Control!$B$10))^AK5*INDEX($B$13:$M$13,1,MOD(32-1,12)+1)</f>
        <v/>
      </c>
      <c r="AL29" s="34">
        <f>($B29/12)*(1+INDEX($C29:$E29,1,Control!$B$10))^AL5*INDEX($B$13:$M$13,1,MOD(33-1,12)+1)</f>
        <v/>
      </c>
      <c r="AM29" s="34">
        <f>($B29/12)*(1+INDEX($C29:$E29,1,Control!$B$10))^AM5*INDEX($B$13:$M$13,1,MOD(34-1,12)+1)</f>
        <v/>
      </c>
      <c r="AN29" s="34">
        <f>($B29/12)*(1+INDEX($C29:$E29,1,Control!$B$10))^AN5*INDEX($B$13:$M$13,1,MOD(35-1,12)+1)</f>
        <v/>
      </c>
      <c r="AO29" s="34">
        <f>($B29/12)*(1+INDEX($C29:$E29,1,Control!$B$10))^AO5*INDEX($B$13:$M$13,1,MOD(36-1,12)+1)</f>
        <v/>
      </c>
      <c r="AP29" s="34">
        <f>($B29/12)*(1+INDEX($C29:$E29,1,Control!$B$10))^AP5*INDEX($B$13:$M$13,1,MOD(37-1,12)+1)</f>
        <v/>
      </c>
      <c r="AQ29" s="34">
        <f>($B29/12)*(1+INDEX($C29:$E29,1,Control!$B$10))^AQ5*INDEX($B$13:$M$13,1,MOD(38-1,12)+1)</f>
        <v/>
      </c>
      <c r="AR29" s="34">
        <f>($B29/12)*(1+INDEX($C29:$E29,1,Control!$B$10))^AR5*INDEX($B$13:$M$13,1,MOD(39-1,12)+1)</f>
        <v/>
      </c>
      <c r="AS29" s="34">
        <f>($B29/12)*(1+INDEX($C29:$E29,1,Control!$B$10))^AS5*INDEX($B$13:$M$13,1,MOD(40-1,12)+1)</f>
        <v/>
      </c>
      <c r="AT29" s="34">
        <f>($B29/12)*(1+INDEX($C29:$E29,1,Control!$B$10))^AT5*INDEX($B$13:$M$13,1,MOD(41-1,12)+1)</f>
        <v/>
      </c>
      <c r="AU29" s="34">
        <f>($B29/12)*(1+INDEX($C29:$E29,1,Control!$B$10))^AU5*INDEX($B$13:$M$13,1,MOD(42-1,12)+1)</f>
        <v/>
      </c>
      <c r="AV29" s="34">
        <f>($B29/12)*(1+INDEX($C29:$E29,1,Control!$B$10))^AV5*INDEX($B$13:$M$13,1,MOD(43-1,12)+1)</f>
        <v/>
      </c>
      <c r="AW29" s="34">
        <f>($B29/12)*(1+INDEX($C29:$E29,1,Control!$B$10))^AW5*INDEX($B$13:$M$13,1,MOD(44-1,12)+1)</f>
        <v/>
      </c>
      <c r="AX29" s="34">
        <f>($B29/12)*(1+INDEX($C29:$E29,1,Control!$B$10))^AX5*INDEX($B$13:$M$13,1,MOD(45-1,12)+1)</f>
        <v/>
      </c>
      <c r="AY29" s="34">
        <f>($B29/12)*(1+INDEX($C29:$E29,1,Control!$B$10))^AY5*INDEX($B$13:$M$13,1,MOD(46-1,12)+1)</f>
        <v/>
      </c>
      <c r="AZ29" s="34">
        <f>($B29/12)*(1+INDEX($C29:$E29,1,Control!$B$10))^AZ5*INDEX($B$13:$M$13,1,MOD(47-1,12)+1)</f>
        <v/>
      </c>
      <c r="BA29" s="34">
        <f>($B29/12)*(1+INDEX($C29:$E29,1,Control!$B$10))^BA5*INDEX($B$13:$M$13,1,MOD(48-1,12)+1)</f>
        <v/>
      </c>
      <c r="BB29" s="34">
        <f>($B29/12)*(1+INDEX($C29:$E29,1,Control!$B$10))^BB5*INDEX($B$13:$M$13,1,MOD(49-1,12)+1)</f>
        <v/>
      </c>
      <c r="BC29" s="34">
        <f>($B29/12)*(1+INDEX($C29:$E29,1,Control!$B$10))^BC5*INDEX($B$13:$M$13,1,MOD(50-1,12)+1)</f>
        <v/>
      </c>
      <c r="BD29" s="34">
        <f>($B29/12)*(1+INDEX($C29:$E29,1,Control!$B$10))^BD5*INDEX($B$13:$M$13,1,MOD(51-1,12)+1)</f>
        <v/>
      </c>
      <c r="BE29" s="34">
        <f>($B29/12)*(1+INDEX($C29:$E29,1,Control!$B$10))^BE5*INDEX($B$13:$M$13,1,MOD(52-1,12)+1)</f>
        <v/>
      </c>
      <c r="BF29" s="34">
        <f>($B29/12)*(1+INDEX($C29:$E29,1,Control!$B$10))^BF5*INDEX($B$13:$M$13,1,MOD(53-1,12)+1)</f>
        <v/>
      </c>
      <c r="BG29" s="34">
        <f>($B29/12)*(1+INDEX($C29:$E29,1,Control!$B$10))^BG5*INDEX($B$13:$M$13,1,MOD(54-1,12)+1)</f>
        <v/>
      </c>
      <c r="BH29" s="34">
        <f>($B29/12)*(1+INDEX($C29:$E29,1,Control!$B$10))^BH5*INDEX($B$13:$M$13,1,MOD(55-1,12)+1)</f>
        <v/>
      </c>
      <c r="BI29" s="34">
        <f>($B29/12)*(1+INDEX($C29:$E29,1,Control!$B$10))^BI5*INDEX($B$13:$M$13,1,MOD(56-1,12)+1)</f>
        <v/>
      </c>
      <c r="BJ29" s="34">
        <f>($B29/12)*(1+INDEX($C29:$E29,1,Control!$B$10))^BJ5*INDEX($B$13:$M$13,1,MOD(57-1,12)+1)</f>
        <v/>
      </c>
      <c r="BK29" s="34">
        <f>($B29/12)*(1+INDEX($C29:$E29,1,Control!$B$10))^BK5*INDEX($B$13:$M$13,1,MOD(58-1,12)+1)</f>
        <v/>
      </c>
      <c r="BL29" s="34">
        <f>($B29/12)*(1+INDEX($C29:$E29,1,Control!$B$10))^BL5*INDEX($B$13:$M$13,1,MOD(59-1,12)+1)</f>
        <v/>
      </c>
      <c r="BM29" s="34">
        <f>($B29/12)*(1+INDEX($C29:$E29,1,Control!$B$10))^BM5*INDEX($B$13:$M$13,1,MOD(60-1,12)+1)</f>
        <v/>
      </c>
      <c r="BN29" s="34">
        <f>($B29/12)*(1+INDEX($C29:$E29,1,Control!$B$10))^BN5*INDEX($B$13:$M$13,1,MOD(61-1,12)+1)</f>
        <v/>
      </c>
      <c r="BO29" s="34">
        <f>($B29/12)*(1+INDEX($C29:$E29,1,Control!$B$10))^BO5*INDEX($B$13:$M$13,1,MOD(62-1,12)+1)</f>
        <v/>
      </c>
      <c r="BP29" s="34">
        <f>($B29/12)*(1+INDEX($C29:$E29,1,Control!$B$10))^BP5*INDEX($B$13:$M$13,1,MOD(63-1,12)+1)</f>
        <v/>
      </c>
      <c r="BQ29" s="34">
        <f>($B29/12)*(1+INDEX($C29:$E29,1,Control!$B$10))^BQ5*INDEX($B$13:$M$13,1,MOD(64-1,12)+1)</f>
        <v/>
      </c>
      <c r="BR29" s="34">
        <f>($B29/12)*(1+INDEX($C29:$E29,1,Control!$B$10))^BR5*INDEX($B$13:$M$13,1,MOD(65-1,12)+1)</f>
        <v/>
      </c>
      <c r="BS29" s="34">
        <f>($B29/12)*(1+INDEX($C29:$E29,1,Control!$B$10))^BS5*INDEX($B$13:$M$13,1,MOD(66-1,12)+1)</f>
        <v/>
      </c>
      <c r="BT29" s="34">
        <f>($B29/12)*(1+INDEX($C29:$E29,1,Control!$B$10))^BT5*INDEX($B$13:$M$13,1,MOD(67-1,12)+1)</f>
        <v/>
      </c>
      <c r="BU29" s="34">
        <f>($B29/12)*(1+INDEX($C29:$E29,1,Control!$B$10))^BU5*INDEX($B$13:$M$13,1,MOD(68-1,12)+1)</f>
        <v/>
      </c>
      <c r="BV29" s="34">
        <f>($B29/12)*(1+INDEX($C29:$E29,1,Control!$B$10))^BV5*INDEX($B$13:$M$13,1,MOD(69-1,12)+1)</f>
        <v/>
      </c>
      <c r="BW29" s="34">
        <f>($B29/12)*(1+INDEX($C29:$E29,1,Control!$B$10))^BW5*INDEX($B$13:$M$13,1,MOD(70-1,12)+1)</f>
        <v/>
      </c>
      <c r="BX29" s="34">
        <f>($B29/12)*(1+INDEX($C29:$E29,1,Control!$B$10))^BX5*INDEX($B$13:$M$13,1,MOD(71-1,12)+1)</f>
        <v/>
      </c>
      <c r="BY29" s="34">
        <f>($B29/12)*(1+INDEX($C29:$E29,1,Control!$B$10))^BY5*INDEX($B$13:$M$13,1,MOD(72-1,12)+1)</f>
        <v/>
      </c>
      <c r="BZ29" s="34">
        <f>($B29/12)*(1+INDEX($C29:$E29,1,Control!$B$10))^BZ5*INDEX($B$13:$M$13,1,MOD(73-1,12)+1)</f>
        <v/>
      </c>
      <c r="CA29" s="34">
        <f>($B29/12)*(1+INDEX($C29:$E29,1,Control!$B$10))^CA5*INDEX($B$13:$M$13,1,MOD(74-1,12)+1)</f>
        <v/>
      </c>
      <c r="CB29" s="34">
        <f>($B29/12)*(1+INDEX($C29:$E29,1,Control!$B$10))^CB5*INDEX($B$13:$M$13,1,MOD(75-1,12)+1)</f>
        <v/>
      </c>
      <c r="CC29" s="34">
        <f>($B29/12)*(1+INDEX($C29:$E29,1,Control!$B$10))^CC5*INDEX($B$13:$M$13,1,MOD(76-1,12)+1)</f>
        <v/>
      </c>
      <c r="CD29" s="34">
        <f>($B29/12)*(1+INDEX($C29:$E29,1,Control!$B$10))^CD5*INDEX($B$13:$M$13,1,MOD(77-1,12)+1)</f>
        <v/>
      </c>
      <c r="CE29" s="34">
        <f>($B29/12)*(1+INDEX($C29:$E29,1,Control!$B$10))^CE5*INDEX($B$13:$M$13,1,MOD(78-1,12)+1)</f>
        <v/>
      </c>
      <c r="CF29" s="34">
        <f>($B29/12)*(1+INDEX($C29:$E29,1,Control!$B$10))^CF5*INDEX($B$13:$M$13,1,MOD(79-1,12)+1)</f>
        <v/>
      </c>
      <c r="CG29" s="34">
        <f>($B29/12)*(1+INDEX($C29:$E29,1,Control!$B$10))^CG5*INDEX($B$13:$M$13,1,MOD(80-1,12)+1)</f>
        <v/>
      </c>
      <c r="CH29" s="34">
        <f>($B29/12)*(1+INDEX($C29:$E29,1,Control!$B$10))^CH5*INDEX($B$13:$M$13,1,MOD(81-1,12)+1)</f>
        <v/>
      </c>
      <c r="CI29" s="34">
        <f>($B29/12)*(1+INDEX($C29:$E29,1,Control!$B$10))^CI5*INDEX($B$13:$M$13,1,MOD(82-1,12)+1)</f>
        <v/>
      </c>
      <c r="CJ29" s="34">
        <f>($B29/12)*(1+INDEX($C29:$E29,1,Control!$B$10))^CJ5*INDEX($B$13:$M$13,1,MOD(83-1,12)+1)</f>
        <v/>
      </c>
      <c r="CK29" s="34">
        <f>($B29/12)*(1+INDEX($C29:$E29,1,Control!$B$10))^CK5*INDEX($B$13:$M$13,1,MOD(84-1,12)+1)</f>
        <v/>
      </c>
      <c r="CL29" s="34">
        <f>($B29/12)*(1+INDEX($C29:$E29,1,Control!$B$10))^CL5*INDEX($B$13:$M$13,1,MOD(85-1,12)+1)</f>
        <v/>
      </c>
      <c r="CM29" s="34">
        <f>($B29/12)*(1+INDEX($C29:$E29,1,Control!$B$10))^CM5*INDEX($B$13:$M$13,1,MOD(86-1,12)+1)</f>
        <v/>
      </c>
      <c r="CN29" s="34">
        <f>($B29/12)*(1+INDEX($C29:$E29,1,Control!$B$10))^CN5*INDEX($B$13:$M$13,1,MOD(87-1,12)+1)</f>
        <v/>
      </c>
      <c r="CO29" s="34">
        <f>($B29/12)*(1+INDEX($C29:$E29,1,Control!$B$10))^CO5*INDEX($B$13:$M$13,1,MOD(88-1,12)+1)</f>
        <v/>
      </c>
      <c r="CP29" s="34">
        <f>($B29/12)*(1+INDEX($C29:$E29,1,Control!$B$10))^CP5*INDEX($B$13:$M$13,1,MOD(89-1,12)+1)</f>
        <v/>
      </c>
      <c r="CQ29" s="34">
        <f>($B29/12)*(1+INDEX($C29:$E29,1,Control!$B$10))^CQ5*INDEX($B$13:$M$13,1,MOD(90-1,12)+1)</f>
        <v/>
      </c>
      <c r="CR29" s="34">
        <f>($B29/12)*(1+INDEX($C29:$E29,1,Control!$B$10))^CR5*INDEX($B$13:$M$13,1,MOD(91-1,12)+1)</f>
        <v/>
      </c>
      <c r="CS29" s="34">
        <f>($B29/12)*(1+INDEX($C29:$E29,1,Control!$B$10))^CS5*INDEX($B$13:$M$13,1,MOD(92-1,12)+1)</f>
        <v/>
      </c>
      <c r="CT29" s="34">
        <f>($B29/12)*(1+INDEX($C29:$E29,1,Control!$B$10))^CT5*INDEX($B$13:$M$13,1,MOD(93-1,12)+1)</f>
        <v/>
      </c>
      <c r="CU29" s="34">
        <f>($B29/12)*(1+INDEX($C29:$E29,1,Control!$B$10))^CU5*INDEX($B$13:$M$13,1,MOD(94-1,12)+1)</f>
        <v/>
      </c>
      <c r="CV29" s="34">
        <f>($B29/12)*(1+INDEX($C29:$E29,1,Control!$B$10))^CV5*INDEX($B$13:$M$13,1,MOD(95-1,12)+1)</f>
        <v/>
      </c>
      <c r="CW29" s="34">
        <f>($B29/12)*(1+INDEX($C29:$E29,1,Control!$B$10))^CW5*INDEX($B$13:$M$13,1,MOD(96-1,12)+1)</f>
        <v/>
      </c>
      <c r="CX29" s="34">
        <f>($B29/12)*(1+INDEX($C29:$E29,1,Control!$B$10))^CX5*INDEX($B$13:$M$13,1,MOD(97-1,12)+1)</f>
        <v/>
      </c>
      <c r="CY29" s="34">
        <f>($B29/12)*(1+INDEX($C29:$E29,1,Control!$B$10))^CY5*INDEX($B$13:$M$13,1,MOD(98-1,12)+1)</f>
        <v/>
      </c>
      <c r="CZ29" s="34">
        <f>($B29/12)*(1+INDEX($C29:$E29,1,Control!$B$10))^CZ5*INDEX($B$13:$M$13,1,MOD(99-1,12)+1)</f>
        <v/>
      </c>
      <c r="DA29" s="34">
        <f>($B29/12)*(1+INDEX($C29:$E29,1,Control!$B$10))^DA5*INDEX($B$13:$M$13,1,MOD(100-1,12)+1)</f>
        <v/>
      </c>
      <c r="DB29" s="34">
        <f>($B29/12)*(1+INDEX($C29:$E29,1,Control!$B$10))^DB5*INDEX($B$13:$M$13,1,MOD(101-1,12)+1)</f>
        <v/>
      </c>
      <c r="DC29" s="34">
        <f>($B29/12)*(1+INDEX($C29:$E29,1,Control!$B$10))^DC5*INDEX($B$13:$M$13,1,MOD(102-1,12)+1)</f>
        <v/>
      </c>
      <c r="DD29" s="34">
        <f>($B29/12)*(1+INDEX($C29:$E29,1,Control!$B$10))^DD5*INDEX($B$13:$M$13,1,MOD(103-1,12)+1)</f>
        <v/>
      </c>
      <c r="DE29" s="34">
        <f>($B29/12)*(1+INDEX($C29:$E29,1,Control!$B$10))^DE5*INDEX($B$13:$M$13,1,MOD(104-1,12)+1)</f>
        <v/>
      </c>
      <c r="DF29" s="34">
        <f>($B29/12)*(1+INDEX($C29:$E29,1,Control!$B$10))^DF5*INDEX($B$13:$M$13,1,MOD(105-1,12)+1)</f>
        <v/>
      </c>
      <c r="DG29" s="34">
        <f>($B29/12)*(1+INDEX($C29:$E29,1,Control!$B$10))^DG5*INDEX($B$13:$M$13,1,MOD(106-1,12)+1)</f>
        <v/>
      </c>
      <c r="DH29" s="34">
        <f>($B29/12)*(1+INDEX($C29:$E29,1,Control!$B$10))^DH5*INDEX($B$13:$M$13,1,MOD(107-1,12)+1)</f>
        <v/>
      </c>
      <c r="DI29" s="34">
        <f>($B29/12)*(1+INDEX($C29:$E29,1,Control!$B$10))^DI5*INDEX($B$13:$M$13,1,MOD(108-1,12)+1)</f>
        <v/>
      </c>
      <c r="DJ29" s="34">
        <f>($B29/12)*(1+INDEX($C29:$E29,1,Control!$B$10))^DJ5*INDEX($B$13:$M$13,1,MOD(109-1,12)+1)</f>
        <v/>
      </c>
      <c r="DK29" s="34">
        <f>($B29/12)*(1+INDEX($C29:$E29,1,Control!$B$10))^DK5*INDEX($B$13:$M$13,1,MOD(110-1,12)+1)</f>
        <v/>
      </c>
      <c r="DL29" s="34">
        <f>($B29/12)*(1+INDEX($C29:$E29,1,Control!$B$10))^DL5*INDEX($B$13:$M$13,1,MOD(111-1,12)+1)</f>
        <v/>
      </c>
      <c r="DM29" s="34">
        <f>($B29/12)*(1+INDEX($C29:$E29,1,Control!$B$10))^DM5*INDEX($B$13:$M$13,1,MOD(112-1,12)+1)</f>
        <v/>
      </c>
      <c r="DN29" s="34">
        <f>($B29/12)*(1+INDEX($C29:$E29,1,Control!$B$10))^DN5*INDEX($B$13:$M$13,1,MOD(113-1,12)+1)</f>
        <v/>
      </c>
      <c r="DO29" s="34">
        <f>($B29/12)*(1+INDEX($C29:$E29,1,Control!$B$10))^DO5*INDEX($B$13:$M$13,1,MOD(114-1,12)+1)</f>
        <v/>
      </c>
      <c r="DP29" s="34">
        <f>($B29/12)*(1+INDEX($C29:$E29,1,Control!$B$10))^DP5*INDEX($B$13:$M$13,1,MOD(115-1,12)+1)</f>
        <v/>
      </c>
      <c r="DQ29" s="34">
        <f>($B29/12)*(1+INDEX($C29:$E29,1,Control!$B$10))^DQ5*INDEX($B$13:$M$13,1,MOD(116-1,12)+1)</f>
        <v/>
      </c>
      <c r="DR29" s="34">
        <f>($B29/12)*(1+INDEX($C29:$E29,1,Control!$B$10))^DR5*INDEX($B$13:$M$13,1,MOD(117-1,12)+1)</f>
        <v/>
      </c>
      <c r="DS29" s="34">
        <f>($B29/12)*(1+INDEX($C29:$E29,1,Control!$B$10))^DS5*INDEX($B$13:$M$13,1,MOD(118-1,12)+1)</f>
        <v/>
      </c>
      <c r="DT29" s="34">
        <f>($B29/12)*(1+INDEX($C29:$E29,1,Control!$B$10))^DT5*INDEX($B$13:$M$13,1,MOD(119-1,12)+1)</f>
        <v/>
      </c>
      <c r="DU29" s="34">
        <f>($B29/12)*(1+INDEX($C29:$E29,1,Control!$B$10))^DU5*INDEX($B$13:$M$13,1,MOD(120-1,12)+1)</f>
        <v/>
      </c>
    </row>
    <row r="30">
      <c r="A30" t="inlineStr">
        <is>
          <t>AllDark-Kegs-OffTrade</t>
        </is>
      </c>
      <c r="B30" s="33" t="n">
        <v>0</v>
      </c>
      <c r="C30" s="22" t="n">
        <v>0.04</v>
      </c>
      <c r="D30" s="22" t="n">
        <v>0.06</v>
      </c>
      <c r="E30" s="22" t="n">
        <v>0.02</v>
      </c>
      <c r="F30" s="34">
        <f>($B30/12)*(1+INDEX($C30:$E30,1,Control!$B$10))^F5*INDEX($B$13:$M$13,1,MOD(1-1,12)+1)</f>
        <v/>
      </c>
      <c r="G30" s="34">
        <f>($B30/12)*(1+INDEX($C30:$E30,1,Control!$B$10))^G5*INDEX($B$13:$M$13,1,MOD(2-1,12)+1)</f>
        <v/>
      </c>
      <c r="H30" s="34">
        <f>($B30/12)*(1+INDEX($C30:$E30,1,Control!$B$10))^H5*INDEX($B$13:$M$13,1,MOD(3-1,12)+1)</f>
        <v/>
      </c>
      <c r="I30" s="34">
        <f>($B30/12)*(1+INDEX($C30:$E30,1,Control!$B$10))^I5*INDEX($B$13:$M$13,1,MOD(4-1,12)+1)</f>
        <v/>
      </c>
      <c r="J30" s="34">
        <f>($B30/12)*(1+INDEX($C30:$E30,1,Control!$B$10))^J5*INDEX($B$13:$M$13,1,MOD(5-1,12)+1)</f>
        <v/>
      </c>
      <c r="K30" s="34">
        <f>($B30/12)*(1+INDEX($C30:$E30,1,Control!$B$10))^K5*INDEX($B$13:$M$13,1,MOD(6-1,12)+1)</f>
        <v/>
      </c>
      <c r="L30" s="34">
        <f>($B30/12)*(1+INDEX($C30:$E30,1,Control!$B$10))^L5*INDEX($B$13:$M$13,1,MOD(7-1,12)+1)</f>
        <v/>
      </c>
      <c r="M30" s="34">
        <f>($B30/12)*(1+INDEX($C30:$E30,1,Control!$B$10))^M5*INDEX($B$13:$M$13,1,MOD(8-1,12)+1)</f>
        <v/>
      </c>
      <c r="N30" s="34">
        <f>($B30/12)*(1+INDEX($C30:$E30,1,Control!$B$10))^N5*INDEX($B$13:$M$13,1,MOD(9-1,12)+1)</f>
        <v/>
      </c>
      <c r="O30" s="34">
        <f>($B30/12)*(1+INDEX($C30:$E30,1,Control!$B$10))^O5*INDEX($B$13:$M$13,1,MOD(10-1,12)+1)</f>
        <v/>
      </c>
      <c r="P30" s="34">
        <f>($B30/12)*(1+INDEX($C30:$E30,1,Control!$B$10))^P5*INDEX($B$13:$M$13,1,MOD(11-1,12)+1)</f>
        <v/>
      </c>
      <c r="Q30" s="34">
        <f>($B30/12)*(1+INDEX($C30:$E30,1,Control!$B$10))^Q5*INDEX($B$13:$M$13,1,MOD(12-1,12)+1)</f>
        <v/>
      </c>
      <c r="R30" s="34">
        <f>($B30/12)*(1+INDEX($C30:$E30,1,Control!$B$10))^R5*INDEX($B$13:$M$13,1,MOD(13-1,12)+1)</f>
        <v/>
      </c>
      <c r="S30" s="34">
        <f>($B30/12)*(1+INDEX($C30:$E30,1,Control!$B$10))^S5*INDEX($B$13:$M$13,1,MOD(14-1,12)+1)</f>
        <v/>
      </c>
      <c r="T30" s="34">
        <f>($B30/12)*(1+INDEX($C30:$E30,1,Control!$B$10))^T5*INDEX($B$13:$M$13,1,MOD(15-1,12)+1)</f>
        <v/>
      </c>
      <c r="U30" s="34">
        <f>($B30/12)*(1+INDEX($C30:$E30,1,Control!$B$10))^U5*INDEX($B$13:$M$13,1,MOD(16-1,12)+1)</f>
        <v/>
      </c>
      <c r="V30" s="34">
        <f>($B30/12)*(1+INDEX($C30:$E30,1,Control!$B$10))^V5*INDEX($B$13:$M$13,1,MOD(17-1,12)+1)</f>
        <v/>
      </c>
      <c r="W30" s="34">
        <f>($B30/12)*(1+INDEX($C30:$E30,1,Control!$B$10))^W5*INDEX($B$13:$M$13,1,MOD(18-1,12)+1)</f>
        <v/>
      </c>
      <c r="X30" s="34">
        <f>($B30/12)*(1+INDEX($C30:$E30,1,Control!$B$10))^X5*INDEX($B$13:$M$13,1,MOD(19-1,12)+1)</f>
        <v/>
      </c>
      <c r="Y30" s="34">
        <f>($B30/12)*(1+INDEX($C30:$E30,1,Control!$B$10))^Y5*INDEX($B$13:$M$13,1,MOD(20-1,12)+1)</f>
        <v/>
      </c>
      <c r="Z30" s="34">
        <f>($B30/12)*(1+INDEX($C30:$E30,1,Control!$B$10))^Z5*INDEX($B$13:$M$13,1,MOD(21-1,12)+1)</f>
        <v/>
      </c>
      <c r="AA30" s="34">
        <f>($B30/12)*(1+INDEX($C30:$E30,1,Control!$B$10))^AA5*INDEX($B$13:$M$13,1,MOD(22-1,12)+1)</f>
        <v/>
      </c>
      <c r="AB30" s="34">
        <f>($B30/12)*(1+INDEX($C30:$E30,1,Control!$B$10))^AB5*INDEX($B$13:$M$13,1,MOD(23-1,12)+1)</f>
        <v/>
      </c>
      <c r="AC30" s="34">
        <f>($B30/12)*(1+INDEX($C30:$E30,1,Control!$B$10))^AC5*INDEX($B$13:$M$13,1,MOD(24-1,12)+1)</f>
        <v/>
      </c>
      <c r="AD30" s="34">
        <f>($B30/12)*(1+INDEX($C30:$E30,1,Control!$B$10))^AD5*INDEX($B$13:$M$13,1,MOD(25-1,12)+1)</f>
        <v/>
      </c>
      <c r="AE30" s="34">
        <f>($B30/12)*(1+INDEX($C30:$E30,1,Control!$B$10))^AE5*INDEX($B$13:$M$13,1,MOD(26-1,12)+1)</f>
        <v/>
      </c>
      <c r="AF30" s="34">
        <f>($B30/12)*(1+INDEX($C30:$E30,1,Control!$B$10))^AF5*INDEX($B$13:$M$13,1,MOD(27-1,12)+1)</f>
        <v/>
      </c>
      <c r="AG30" s="34">
        <f>($B30/12)*(1+INDEX($C30:$E30,1,Control!$B$10))^AG5*INDEX($B$13:$M$13,1,MOD(28-1,12)+1)</f>
        <v/>
      </c>
      <c r="AH30" s="34">
        <f>($B30/12)*(1+INDEX($C30:$E30,1,Control!$B$10))^AH5*INDEX($B$13:$M$13,1,MOD(29-1,12)+1)</f>
        <v/>
      </c>
      <c r="AI30" s="34">
        <f>($B30/12)*(1+INDEX($C30:$E30,1,Control!$B$10))^AI5*INDEX($B$13:$M$13,1,MOD(30-1,12)+1)</f>
        <v/>
      </c>
      <c r="AJ30" s="34">
        <f>($B30/12)*(1+INDEX($C30:$E30,1,Control!$B$10))^AJ5*INDEX($B$13:$M$13,1,MOD(31-1,12)+1)</f>
        <v/>
      </c>
      <c r="AK30" s="34">
        <f>($B30/12)*(1+INDEX($C30:$E30,1,Control!$B$10))^AK5*INDEX($B$13:$M$13,1,MOD(32-1,12)+1)</f>
        <v/>
      </c>
      <c r="AL30" s="34">
        <f>($B30/12)*(1+INDEX($C30:$E30,1,Control!$B$10))^AL5*INDEX($B$13:$M$13,1,MOD(33-1,12)+1)</f>
        <v/>
      </c>
      <c r="AM30" s="34">
        <f>($B30/12)*(1+INDEX($C30:$E30,1,Control!$B$10))^AM5*INDEX($B$13:$M$13,1,MOD(34-1,12)+1)</f>
        <v/>
      </c>
      <c r="AN30" s="34">
        <f>($B30/12)*(1+INDEX($C30:$E30,1,Control!$B$10))^AN5*INDEX($B$13:$M$13,1,MOD(35-1,12)+1)</f>
        <v/>
      </c>
      <c r="AO30" s="34">
        <f>($B30/12)*(1+INDEX($C30:$E30,1,Control!$B$10))^AO5*INDEX($B$13:$M$13,1,MOD(36-1,12)+1)</f>
        <v/>
      </c>
      <c r="AP30" s="34">
        <f>($B30/12)*(1+INDEX($C30:$E30,1,Control!$B$10))^AP5*INDEX($B$13:$M$13,1,MOD(37-1,12)+1)</f>
        <v/>
      </c>
      <c r="AQ30" s="34">
        <f>($B30/12)*(1+INDEX($C30:$E30,1,Control!$B$10))^AQ5*INDEX($B$13:$M$13,1,MOD(38-1,12)+1)</f>
        <v/>
      </c>
      <c r="AR30" s="34">
        <f>($B30/12)*(1+INDEX($C30:$E30,1,Control!$B$10))^AR5*INDEX($B$13:$M$13,1,MOD(39-1,12)+1)</f>
        <v/>
      </c>
      <c r="AS30" s="34">
        <f>($B30/12)*(1+INDEX($C30:$E30,1,Control!$B$10))^AS5*INDEX($B$13:$M$13,1,MOD(40-1,12)+1)</f>
        <v/>
      </c>
      <c r="AT30" s="34">
        <f>($B30/12)*(1+INDEX($C30:$E30,1,Control!$B$10))^AT5*INDEX($B$13:$M$13,1,MOD(41-1,12)+1)</f>
        <v/>
      </c>
      <c r="AU30" s="34">
        <f>($B30/12)*(1+INDEX($C30:$E30,1,Control!$B$10))^AU5*INDEX($B$13:$M$13,1,MOD(42-1,12)+1)</f>
        <v/>
      </c>
      <c r="AV30" s="34">
        <f>($B30/12)*(1+INDEX($C30:$E30,1,Control!$B$10))^AV5*INDEX($B$13:$M$13,1,MOD(43-1,12)+1)</f>
        <v/>
      </c>
      <c r="AW30" s="34">
        <f>($B30/12)*(1+INDEX($C30:$E30,1,Control!$B$10))^AW5*INDEX($B$13:$M$13,1,MOD(44-1,12)+1)</f>
        <v/>
      </c>
      <c r="AX30" s="34">
        <f>($B30/12)*(1+INDEX($C30:$E30,1,Control!$B$10))^AX5*INDEX($B$13:$M$13,1,MOD(45-1,12)+1)</f>
        <v/>
      </c>
      <c r="AY30" s="34">
        <f>($B30/12)*(1+INDEX($C30:$E30,1,Control!$B$10))^AY5*INDEX($B$13:$M$13,1,MOD(46-1,12)+1)</f>
        <v/>
      </c>
      <c r="AZ30" s="34">
        <f>($B30/12)*(1+INDEX($C30:$E30,1,Control!$B$10))^AZ5*INDEX($B$13:$M$13,1,MOD(47-1,12)+1)</f>
        <v/>
      </c>
      <c r="BA30" s="34">
        <f>($B30/12)*(1+INDEX($C30:$E30,1,Control!$B$10))^BA5*INDEX($B$13:$M$13,1,MOD(48-1,12)+1)</f>
        <v/>
      </c>
      <c r="BB30" s="34">
        <f>($B30/12)*(1+INDEX($C30:$E30,1,Control!$B$10))^BB5*INDEX($B$13:$M$13,1,MOD(49-1,12)+1)</f>
        <v/>
      </c>
      <c r="BC30" s="34">
        <f>($B30/12)*(1+INDEX($C30:$E30,1,Control!$B$10))^BC5*INDEX($B$13:$M$13,1,MOD(50-1,12)+1)</f>
        <v/>
      </c>
      <c r="BD30" s="34">
        <f>($B30/12)*(1+INDEX($C30:$E30,1,Control!$B$10))^BD5*INDEX($B$13:$M$13,1,MOD(51-1,12)+1)</f>
        <v/>
      </c>
      <c r="BE30" s="34">
        <f>($B30/12)*(1+INDEX($C30:$E30,1,Control!$B$10))^BE5*INDEX($B$13:$M$13,1,MOD(52-1,12)+1)</f>
        <v/>
      </c>
      <c r="BF30" s="34">
        <f>($B30/12)*(1+INDEX($C30:$E30,1,Control!$B$10))^BF5*INDEX($B$13:$M$13,1,MOD(53-1,12)+1)</f>
        <v/>
      </c>
      <c r="BG30" s="34">
        <f>($B30/12)*(1+INDEX($C30:$E30,1,Control!$B$10))^BG5*INDEX($B$13:$M$13,1,MOD(54-1,12)+1)</f>
        <v/>
      </c>
      <c r="BH30" s="34">
        <f>($B30/12)*(1+INDEX($C30:$E30,1,Control!$B$10))^BH5*INDEX($B$13:$M$13,1,MOD(55-1,12)+1)</f>
        <v/>
      </c>
      <c r="BI30" s="34">
        <f>($B30/12)*(1+INDEX($C30:$E30,1,Control!$B$10))^BI5*INDEX($B$13:$M$13,1,MOD(56-1,12)+1)</f>
        <v/>
      </c>
      <c r="BJ30" s="34">
        <f>($B30/12)*(1+INDEX($C30:$E30,1,Control!$B$10))^BJ5*INDEX($B$13:$M$13,1,MOD(57-1,12)+1)</f>
        <v/>
      </c>
      <c r="BK30" s="34">
        <f>($B30/12)*(1+INDEX($C30:$E30,1,Control!$B$10))^BK5*INDEX($B$13:$M$13,1,MOD(58-1,12)+1)</f>
        <v/>
      </c>
      <c r="BL30" s="34">
        <f>($B30/12)*(1+INDEX($C30:$E30,1,Control!$B$10))^BL5*INDEX($B$13:$M$13,1,MOD(59-1,12)+1)</f>
        <v/>
      </c>
      <c r="BM30" s="34">
        <f>($B30/12)*(1+INDEX($C30:$E30,1,Control!$B$10))^BM5*INDEX($B$13:$M$13,1,MOD(60-1,12)+1)</f>
        <v/>
      </c>
      <c r="BN30" s="34">
        <f>($B30/12)*(1+INDEX($C30:$E30,1,Control!$B$10))^BN5*INDEX($B$13:$M$13,1,MOD(61-1,12)+1)</f>
        <v/>
      </c>
      <c r="BO30" s="34">
        <f>($B30/12)*(1+INDEX($C30:$E30,1,Control!$B$10))^BO5*INDEX($B$13:$M$13,1,MOD(62-1,12)+1)</f>
        <v/>
      </c>
      <c r="BP30" s="34">
        <f>($B30/12)*(1+INDEX($C30:$E30,1,Control!$B$10))^BP5*INDEX($B$13:$M$13,1,MOD(63-1,12)+1)</f>
        <v/>
      </c>
      <c r="BQ30" s="34">
        <f>($B30/12)*(1+INDEX($C30:$E30,1,Control!$B$10))^BQ5*INDEX($B$13:$M$13,1,MOD(64-1,12)+1)</f>
        <v/>
      </c>
      <c r="BR30" s="34">
        <f>($B30/12)*(1+INDEX($C30:$E30,1,Control!$B$10))^BR5*INDEX($B$13:$M$13,1,MOD(65-1,12)+1)</f>
        <v/>
      </c>
      <c r="BS30" s="34">
        <f>($B30/12)*(1+INDEX($C30:$E30,1,Control!$B$10))^BS5*INDEX($B$13:$M$13,1,MOD(66-1,12)+1)</f>
        <v/>
      </c>
      <c r="BT30" s="34">
        <f>($B30/12)*(1+INDEX($C30:$E30,1,Control!$B$10))^BT5*INDEX($B$13:$M$13,1,MOD(67-1,12)+1)</f>
        <v/>
      </c>
      <c r="BU30" s="34">
        <f>($B30/12)*(1+INDEX($C30:$E30,1,Control!$B$10))^BU5*INDEX($B$13:$M$13,1,MOD(68-1,12)+1)</f>
        <v/>
      </c>
      <c r="BV30" s="34">
        <f>($B30/12)*(1+INDEX($C30:$E30,1,Control!$B$10))^BV5*INDEX($B$13:$M$13,1,MOD(69-1,12)+1)</f>
        <v/>
      </c>
      <c r="BW30" s="34">
        <f>($B30/12)*(1+INDEX($C30:$E30,1,Control!$B$10))^BW5*INDEX($B$13:$M$13,1,MOD(70-1,12)+1)</f>
        <v/>
      </c>
      <c r="BX30" s="34">
        <f>($B30/12)*(1+INDEX($C30:$E30,1,Control!$B$10))^BX5*INDEX($B$13:$M$13,1,MOD(71-1,12)+1)</f>
        <v/>
      </c>
      <c r="BY30" s="34">
        <f>($B30/12)*(1+INDEX($C30:$E30,1,Control!$B$10))^BY5*INDEX($B$13:$M$13,1,MOD(72-1,12)+1)</f>
        <v/>
      </c>
      <c r="BZ30" s="34">
        <f>($B30/12)*(1+INDEX($C30:$E30,1,Control!$B$10))^BZ5*INDEX($B$13:$M$13,1,MOD(73-1,12)+1)</f>
        <v/>
      </c>
      <c r="CA30" s="34">
        <f>($B30/12)*(1+INDEX($C30:$E30,1,Control!$B$10))^CA5*INDEX($B$13:$M$13,1,MOD(74-1,12)+1)</f>
        <v/>
      </c>
      <c r="CB30" s="34">
        <f>($B30/12)*(1+INDEX($C30:$E30,1,Control!$B$10))^CB5*INDEX($B$13:$M$13,1,MOD(75-1,12)+1)</f>
        <v/>
      </c>
      <c r="CC30" s="34">
        <f>($B30/12)*(1+INDEX($C30:$E30,1,Control!$B$10))^CC5*INDEX($B$13:$M$13,1,MOD(76-1,12)+1)</f>
        <v/>
      </c>
      <c r="CD30" s="34">
        <f>($B30/12)*(1+INDEX($C30:$E30,1,Control!$B$10))^CD5*INDEX($B$13:$M$13,1,MOD(77-1,12)+1)</f>
        <v/>
      </c>
      <c r="CE30" s="34">
        <f>($B30/12)*(1+INDEX($C30:$E30,1,Control!$B$10))^CE5*INDEX($B$13:$M$13,1,MOD(78-1,12)+1)</f>
        <v/>
      </c>
      <c r="CF30" s="34">
        <f>($B30/12)*(1+INDEX($C30:$E30,1,Control!$B$10))^CF5*INDEX($B$13:$M$13,1,MOD(79-1,12)+1)</f>
        <v/>
      </c>
      <c r="CG30" s="34">
        <f>($B30/12)*(1+INDEX($C30:$E30,1,Control!$B$10))^CG5*INDEX($B$13:$M$13,1,MOD(80-1,12)+1)</f>
        <v/>
      </c>
      <c r="CH30" s="34">
        <f>($B30/12)*(1+INDEX($C30:$E30,1,Control!$B$10))^CH5*INDEX($B$13:$M$13,1,MOD(81-1,12)+1)</f>
        <v/>
      </c>
      <c r="CI30" s="34">
        <f>($B30/12)*(1+INDEX($C30:$E30,1,Control!$B$10))^CI5*INDEX($B$13:$M$13,1,MOD(82-1,12)+1)</f>
        <v/>
      </c>
      <c r="CJ30" s="34">
        <f>($B30/12)*(1+INDEX($C30:$E30,1,Control!$B$10))^CJ5*INDEX($B$13:$M$13,1,MOD(83-1,12)+1)</f>
        <v/>
      </c>
      <c r="CK30" s="34">
        <f>($B30/12)*(1+INDEX($C30:$E30,1,Control!$B$10))^CK5*INDEX($B$13:$M$13,1,MOD(84-1,12)+1)</f>
        <v/>
      </c>
      <c r="CL30" s="34">
        <f>($B30/12)*(1+INDEX($C30:$E30,1,Control!$B$10))^CL5*INDEX($B$13:$M$13,1,MOD(85-1,12)+1)</f>
        <v/>
      </c>
      <c r="CM30" s="34">
        <f>($B30/12)*(1+INDEX($C30:$E30,1,Control!$B$10))^CM5*INDEX($B$13:$M$13,1,MOD(86-1,12)+1)</f>
        <v/>
      </c>
      <c r="CN30" s="34">
        <f>($B30/12)*(1+INDEX($C30:$E30,1,Control!$B$10))^CN5*INDEX($B$13:$M$13,1,MOD(87-1,12)+1)</f>
        <v/>
      </c>
      <c r="CO30" s="34">
        <f>($B30/12)*(1+INDEX($C30:$E30,1,Control!$B$10))^CO5*INDEX($B$13:$M$13,1,MOD(88-1,12)+1)</f>
        <v/>
      </c>
      <c r="CP30" s="34">
        <f>($B30/12)*(1+INDEX($C30:$E30,1,Control!$B$10))^CP5*INDEX($B$13:$M$13,1,MOD(89-1,12)+1)</f>
        <v/>
      </c>
      <c r="CQ30" s="34">
        <f>($B30/12)*(1+INDEX($C30:$E30,1,Control!$B$10))^CQ5*INDEX($B$13:$M$13,1,MOD(90-1,12)+1)</f>
        <v/>
      </c>
      <c r="CR30" s="34">
        <f>($B30/12)*(1+INDEX($C30:$E30,1,Control!$B$10))^CR5*INDEX($B$13:$M$13,1,MOD(91-1,12)+1)</f>
        <v/>
      </c>
      <c r="CS30" s="34">
        <f>($B30/12)*(1+INDEX($C30:$E30,1,Control!$B$10))^CS5*INDEX($B$13:$M$13,1,MOD(92-1,12)+1)</f>
        <v/>
      </c>
      <c r="CT30" s="34">
        <f>($B30/12)*(1+INDEX($C30:$E30,1,Control!$B$10))^CT5*INDEX($B$13:$M$13,1,MOD(93-1,12)+1)</f>
        <v/>
      </c>
      <c r="CU30" s="34">
        <f>($B30/12)*(1+INDEX($C30:$E30,1,Control!$B$10))^CU5*INDEX($B$13:$M$13,1,MOD(94-1,12)+1)</f>
        <v/>
      </c>
      <c r="CV30" s="34">
        <f>($B30/12)*(1+INDEX($C30:$E30,1,Control!$B$10))^CV5*INDEX($B$13:$M$13,1,MOD(95-1,12)+1)</f>
        <v/>
      </c>
      <c r="CW30" s="34">
        <f>($B30/12)*(1+INDEX($C30:$E30,1,Control!$B$10))^CW5*INDEX($B$13:$M$13,1,MOD(96-1,12)+1)</f>
        <v/>
      </c>
      <c r="CX30" s="34">
        <f>($B30/12)*(1+INDEX($C30:$E30,1,Control!$B$10))^CX5*INDEX($B$13:$M$13,1,MOD(97-1,12)+1)</f>
        <v/>
      </c>
      <c r="CY30" s="34">
        <f>($B30/12)*(1+INDEX($C30:$E30,1,Control!$B$10))^CY5*INDEX($B$13:$M$13,1,MOD(98-1,12)+1)</f>
        <v/>
      </c>
      <c r="CZ30" s="34">
        <f>($B30/12)*(1+INDEX($C30:$E30,1,Control!$B$10))^CZ5*INDEX($B$13:$M$13,1,MOD(99-1,12)+1)</f>
        <v/>
      </c>
      <c r="DA30" s="34">
        <f>($B30/12)*(1+INDEX($C30:$E30,1,Control!$B$10))^DA5*INDEX($B$13:$M$13,1,MOD(100-1,12)+1)</f>
        <v/>
      </c>
      <c r="DB30" s="34">
        <f>($B30/12)*(1+INDEX($C30:$E30,1,Control!$B$10))^DB5*INDEX($B$13:$M$13,1,MOD(101-1,12)+1)</f>
        <v/>
      </c>
      <c r="DC30" s="34">
        <f>($B30/12)*(1+INDEX($C30:$E30,1,Control!$B$10))^DC5*INDEX($B$13:$M$13,1,MOD(102-1,12)+1)</f>
        <v/>
      </c>
      <c r="DD30" s="34">
        <f>($B30/12)*(1+INDEX($C30:$E30,1,Control!$B$10))^DD5*INDEX($B$13:$M$13,1,MOD(103-1,12)+1)</f>
        <v/>
      </c>
      <c r="DE30" s="34">
        <f>($B30/12)*(1+INDEX($C30:$E30,1,Control!$B$10))^DE5*INDEX($B$13:$M$13,1,MOD(104-1,12)+1)</f>
        <v/>
      </c>
      <c r="DF30" s="34">
        <f>($B30/12)*(1+INDEX($C30:$E30,1,Control!$B$10))^DF5*INDEX($B$13:$M$13,1,MOD(105-1,12)+1)</f>
        <v/>
      </c>
      <c r="DG30" s="34">
        <f>($B30/12)*(1+INDEX($C30:$E30,1,Control!$B$10))^DG5*INDEX($B$13:$M$13,1,MOD(106-1,12)+1)</f>
        <v/>
      </c>
      <c r="DH30" s="34">
        <f>($B30/12)*(1+INDEX($C30:$E30,1,Control!$B$10))^DH5*INDEX($B$13:$M$13,1,MOD(107-1,12)+1)</f>
        <v/>
      </c>
      <c r="DI30" s="34">
        <f>($B30/12)*(1+INDEX($C30:$E30,1,Control!$B$10))^DI5*INDEX($B$13:$M$13,1,MOD(108-1,12)+1)</f>
        <v/>
      </c>
      <c r="DJ30" s="34">
        <f>($B30/12)*(1+INDEX($C30:$E30,1,Control!$B$10))^DJ5*INDEX($B$13:$M$13,1,MOD(109-1,12)+1)</f>
        <v/>
      </c>
      <c r="DK30" s="34">
        <f>($B30/12)*(1+INDEX($C30:$E30,1,Control!$B$10))^DK5*INDEX($B$13:$M$13,1,MOD(110-1,12)+1)</f>
        <v/>
      </c>
      <c r="DL30" s="34">
        <f>($B30/12)*(1+INDEX($C30:$E30,1,Control!$B$10))^DL5*INDEX($B$13:$M$13,1,MOD(111-1,12)+1)</f>
        <v/>
      </c>
      <c r="DM30" s="34">
        <f>($B30/12)*(1+INDEX($C30:$E30,1,Control!$B$10))^DM5*INDEX($B$13:$M$13,1,MOD(112-1,12)+1)</f>
        <v/>
      </c>
      <c r="DN30" s="34">
        <f>($B30/12)*(1+INDEX($C30:$E30,1,Control!$B$10))^DN5*INDEX($B$13:$M$13,1,MOD(113-1,12)+1)</f>
        <v/>
      </c>
      <c r="DO30" s="34">
        <f>($B30/12)*(1+INDEX($C30:$E30,1,Control!$B$10))^DO5*INDEX($B$13:$M$13,1,MOD(114-1,12)+1)</f>
        <v/>
      </c>
      <c r="DP30" s="34">
        <f>($B30/12)*(1+INDEX($C30:$E30,1,Control!$B$10))^DP5*INDEX($B$13:$M$13,1,MOD(115-1,12)+1)</f>
        <v/>
      </c>
      <c r="DQ30" s="34">
        <f>($B30/12)*(1+INDEX($C30:$E30,1,Control!$B$10))^DQ5*INDEX($B$13:$M$13,1,MOD(116-1,12)+1)</f>
        <v/>
      </c>
      <c r="DR30" s="34">
        <f>($B30/12)*(1+INDEX($C30:$E30,1,Control!$B$10))^DR5*INDEX($B$13:$M$13,1,MOD(117-1,12)+1)</f>
        <v/>
      </c>
      <c r="DS30" s="34">
        <f>($B30/12)*(1+INDEX($C30:$E30,1,Control!$B$10))^DS5*INDEX($B$13:$M$13,1,MOD(118-1,12)+1)</f>
        <v/>
      </c>
      <c r="DT30" s="34">
        <f>($B30/12)*(1+INDEX($C30:$E30,1,Control!$B$10))^DT5*INDEX($B$13:$M$13,1,MOD(119-1,12)+1)</f>
        <v/>
      </c>
      <c r="DU30" s="34">
        <f>($B30/12)*(1+INDEX($C30:$E30,1,Control!$B$10))^DU5*INDEX($B$13:$M$13,1,MOD(120-1,12)+1)</f>
        <v/>
      </c>
    </row>
    <row r="31">
      <c r="A31" t="inlineStr">
        <is>
          <t>GoldCoast-Bottles-OnTrade</t>
        </is>
      </c>
      <c r="B31" s="33" t="n">
        <v>20000</v>
      </c>
      <c r="C31" s="22" t="n">
        <v>0.04</v>
      </c>
      <c r="D31" s="22" t="n">
        <v>0.06</v>
      </c>
      <c r="E31" s="22" t="n">
        <v>0.02</v>
      </c>
      <c r="F31" s="34">
        <f>($B31/12)*(1+INDEX($C31:$E31,1,Control!$B$10))^F5*INDEX($B$13:$M$13,1,MOD(1-1,12)+1)</f>
        <v/>
      </c>
      <c r="G31" s="34">
        <f>($B31/12)*(1+INDEX($C31:$E31,1,Control!$B$10))^G5*INDEX($B$13:$M$13,1,MOD(2-1,12)+1)</f>
        <v/>
      </c>
      <c r="H31" s="34">
        <f>($B31/12)*(1+INDEX($C31:$E31,1,Control!$B$10))^H5*INDEX($B$13:$M$13,1,MOD(3-1,12)+1)</f>
        <v/>
      </c>
      <c r="I31" s="34">
        <f>($B31/12)*(1+INDEX($C31:$E31,1,Control!$B$10))^I5*INDEX($B$13:$M$13,1,MOD(4-1,12)+1)</f>
        <v/>
      </c>
      <c r="J31" s="34">
        <f>($B31/12)*(1+INDEX($C31:$E31,1,Control!$B$10))^J5*INDEX($B$13:$M$13,1,MOD(5-1,12)+1)</f>
        <v/>
      </c>
      <c r="K31" s="34">
        <f>($B31/12)*(1+INDEX($C31:$E31,1,Control!$B$10))^K5*INDEX($B$13:$M$13,1,MOD(6-1,12)+1)</f>
        <v/>
      </c>
      <c r="L31" s="34">
        <f>($B31/12)*(1+INDEX($C31:$E31,1,Control!$B$10))^L5*INDEX($B$13:$M$13,1,MOD(7-1,12)+1)</f>
        <v/>
      </c>
      <c r="M31" s="34">
        <f>($B31/12)*(1+INDEX($C31:$E31,1,Control!$B$10))^M5*INDEX($B$13:$M$13,1,MOD(8-1,12)+1)</f>
        <v/>
      </c>
      <c r="N31" s="34">
        <f>($B31/12)*(1+INDEX($C31:$E31,1,Control!$B$10))^N5*INDEX($B$13:$M$13,1,MOD(9-1,12)+1)</f>
        <v/>
      </c>
      <c r="O31" s="34">
        <f>($B31/12)*(1+INDEX($C31:$E31,1,Control!$B$10))^O5*INDEX($B$13:$M$13,1,MOD(10-1,12)+1)</f>
        <v/>
      </c>
      <c r="P31" s="34">
        <f>($B31/12)*(1+INDEX($C31:$E31,1,Control!$B$10))^P5*INDEX($B$13:$M$13,1,MOD(11-1,12)+1)</f>
        <v/>
      </c>
      <c r="Q31" s="34">
        <f>($B31/12)*(1+INDEX($C31:$E31,1,Control!$B$10))^Q5*INDEX($B$13:$M$13,1,MOD(12-1,12)+1)</f>
        <v/>
      </c>
      <c r="R31" s="34">
        <f>($B31/12)*(1+INDEX($C31:$E31,1,Control!$B$10))^R5*INDEX($B$13:$M$13,1,MOD(13-1,12)+1)</f>
        <v/>
      </c>
      <c r="S31" s="34">
        <f>($B31/12)*(1+INDEX($C31:$E31,1,Control!$B$10))^S5*INDEX($B$13:$M$13,1,MOD(14-1,12)+1)</f>
        <v/>
      </c>
      <c r="T31" s="34">
        <f>($B31/12)*(1+INDEX($C31:$E31,1,Control!$B$10))^T5*INDEX($B$13:$M$13,1,MOD(15-1,12)+1)</f>
        <v/>
      </c>
      <c r="U31" s="34">
        <f>($B31/12)*(1+INDEX($C31:$E31,1,Control!$B$10))^U5*INDEX($B$13:$M$13,1,MOD(16-1,12)+1)</f>
        <v/>
      </c>
      <c r="V31" s="34">
        <f>($B31/12)*(1+INDEX($C31:$E31,1,Control!$B$10))^V5*INDEX($B$13:$M$13,1,MOD(17-1,12)+1)</f>
        <v/>
      </c>
      <c r="W31" s="34">
        <f>($B31/12)*(1+INDEX($C31:$E31,1,Control!$B$10))^W5*INDEX($B$13:$M$13,1,MOD(18-1,12)+1)</f>
        <v/>
      </c>
      <c r="X31" s="34">
        <f>($B31/12)*(1+INDEX($C31:$E31,1,Control!$B$10))^X5*INDEX($B$13:$M$13,1,MOD(19-1,12)+1)</f>
        <v/>
      </c>
      <c r="Y31" s="34">
        <f>($B31/12)*(1+INDEX($C31:$E31,1,Control!$B$10))^Y5*INDEX($B$13:$M$13,1,MOD(20-1,12)+1)</f>
        <v/>
      </c>
      <c r="Z31" s="34">
        <f>($B31/12)*(1+INDEX($C31:$E31,1,Control!$B$10))^Z5*INDEX($B$13:$M$13,1,MOD(21-1,12)+1)</f>
        <v/>
      </c>
      <c r="AA31" s="34">
        <f>($B31/12)*(1+INDEX($C31:$E31,1,Control!$B$10))^AA5*INDEX($B$13:$M$13,1,MOD(22-1,12)+1)</f>
        <v/>
      </c>
      <c r="AB31" s="34">
        <f>($B31/12)*(1+INDEX($C31:$E31,1,Control!$B$10))^AB5*INDEX($B$13:$M$13,1,MOD(23-1,12)+1)</f>
        <v/>
      </c>
      <c r="AC31" s="34">
        <f>($B31/12)*(1+INDEX($C31:$E31,1,Control!$B$10))^AC5*INDEX($B$13:$M$13,1,MOD(24-1,12)+1)</f>
        <v/>
      </c>
      <c r="AD31" s="34">
        <f>($B31/12)*(1+INDEX($C31:$E31,1,Control!$B$10))^AD5*INDEX($B$13:$M$13,1,MOD(25-1,12)+1)</f>
        <v/>
      </c>
      <c r="AE31" s="34">
        <f>($B31/12)*(1+INDEX($C31:$E31,1,Control!$B$10))^AE5*INDEX($B$13:$M$13,1,MOD(26-1,12)+1)</f>
        <v/>
      </c>
      <c r="AF31" s="34">
        <f>($B31/12)*(1+INDEX($C31:$E31,1,Control!$B$10))^AF5*INDEX($B$13:$M$13,1,MOD(27-1,12)+1)</f>
        <v/>
      </c>
      <c r="AG31" s="34">
        <f>($B31/12)*(1+INDEX($C31:$E31,1,Control!$B$10))^AG5*INDEX($B$13:$M$13,1,MOD(28-1,12)+1)</f>
        <v/>
      </c>
      <c r="AH31" s="34">
        <f>($B31/12)*(1+INDEX($C31:$E31,1,Control!$B$10))^AH5*INDEX($B$13:$M$13,1,MOD(29-1,12)+1)</f>
        <v/>
      </c>
      <c r="AI31" s="34">
        <f>($B31/12)*(1+INDEX($C31:$E31,1,Control!$B$10))^AI5*INDEX($B$13:$M$13,1,MOD(30-1,12)+1)</f>
        <v/>
      </c>
      <c r="AJ31" s="34">
        <f>($B31/12)*(1+INDEX($C31:$E31,1,Control!$B$10))^AJ5*INDEX($B$13:$M$13,1,MOD(31-1,12)+1)</f>
        <v/>
      </c>
      <c r="AK31" s="34">
        <f>($B31/12)*(1+INDEX($C31:$E31,1,Control!$B$10))^AK5*INDEX($B$13:$M$13,1,MOD(32-1,12)+1)</f>
        <v/>
      </c>
      <c r="AL31" s="34">
        <f>($B31/12)*(1+INDEX($C31:$E31,1,Control!$B$10))^AL5*INDEX($B$13:$M$13,1,MOD(33-1,12)+1)</f>
        <v/>
      </c>
      <c r="AM31" s="34">
        <f>($B31/12)*(1+INDEX($C31:$E31,1,Control!$B$10))^AM5*INDEX($B$13:$M$13,1,MOD(34-1,12)+1)</f>
        <v/>
      </c>
      <c r="AN31" s="34">
        <f>($B31/12)*(1+INDEX($C31:$E31,1,Control!$B$10))^AN5*INDEX($B$13:$M$13,1,MOD(35-1,12)+1)</f>
        <v/>
      </c>
      <c r="AO31" s="34">
        <f>($B31/12)*(1+INDEX($C31:$E31,1,Control!$B$10))^AO5*INDEX($B$13:$M$13,1,MOD(36-1,12)+1)</f>
        <v/>
      </c>
      <c r="AP31" s="34">
        <f>($B31/12)*(1+INDEX($C31:$E31,1,Control!$B$10))^AP5*INDEX($B$13:$M$13,1,MOD(37-1,12)+1)</f>
        <v/>
      </c>
      <c r="AQ31" s="34">
        <f>($B31/12)*(1+INDEX($C31:$E31,1,Control!$B$10))^AQ5*INDEX($B$13:$M$13,1,MOD(38-1,12)+1)</f>
        <v/>
      </c>
      <c r="AR31" s="34">
        <f>($B31/12)*(1+INDEX($C31:$E31,1,Control!$B$10))^AR5*INDEX($B$13:$M$13,1,MOD(39-1,12)+1)</f>
        <v/>
      </c>
      <c r="AS31" s="34">
        <f>($B31/12)*(1+INDEX($C31:$E31,1,Control!$B$10))^AS5*INDEX($B$13:$M$13,1,MOD(40-1,12)+1)</f>
        <v/>
      </c>
      <c r="AT31" s="34">
        <f>($B31/12)*(1+INDEX($C31:$E31,1,Control!$B$10))^AT5*INDEX($B$13:$M$13,1,MOD(41-1,12)+1)</f>
        <v/>
      </c>
      <c r="AU31" s="34">
        <f>($B31/12)*(1+INDEX($C31:$E31,1,Control!$B$10))^AU5*INDEX($B$13:$M$13,1,MOD(42-1,12)+1)</f>
        <v/>
      </c>
      <c r="AV31" s="34">
        <f>($B31/12)*(1+INDEX($C31:$E31,1,Control!$B$10))^AV5*INDEX($B$13:$M$13,1,MOD(43-1,12)+1)</f>
        <v/>
      </c>
      <c r="AW31" s="34">
        <f>($B31/12)*(1+INDEX($C31:$E31,1,Control!$B$10))^AW5*INDEX($B$13:$M$13,1,MOD(44-1,12)+1)</f>
        <v/>
      </c>
      <c r="AX31" s="34">
        <f>($B31/12)*(1+INDEX($C31:$E31,1,Control!$B$10))^AX5*INDEX($B$13:$M$13,1,MOD(45-1,12)+1)</f>
        <v/>
      </c>
      <c r="AY31" s="34">
        <f>($B31/12)*(1+INDEX($C31:$E31,1,Control!$B$10))^AY5*INDEX($B$13:$M$13,1,MOD(46-1,12)+1)</f>
        <v/>
      </c>
      <c r="AZ31" s="34">
        <f>($B31/12)*(1+INDEX($C31:$E31,1,Control!$B$10))^AZ5*INDEX($B$13:$M$13,1,MOD(47-1,12)+1)</f>
        <v/>
      </c>
      <c r="BA31" s="34">
        <f>($B31/12)*(1+INDEX($C31:$E31,1,Control!$B$10))^BA5*INDEX($B$13:$M$13,1,MOD(48-1,12)+1)</f>
        <v/>
      </c>
      <c r="BB31" s="34">
        <f>($B31/12)*(1+INDEX($C31:$E31,1,Control!$B$10))^BB5*INDEX($B$13:$M$13,1,MOD(49-1,12)+1)</f>
        <v/>
      </c>
      <c r="BC31" s="34">
        <f>($B31/12)*(1+INDEX($C31:$E31,1,Control!$B$10))^BC5*INDEX($B$13:$M$13,1,MOD(50-1,12)+1)</f>
        <v/>
      </c>
      <c r="BD31" s="34">
        <f>($B31/12)*(1+INDEX($C31:$E31,1,Control!$B$10))^BD5*INDEX($B$13:$M$13,1,MOD(51-1,12)+1)</f>
        <v/>
      </c>
      <c r="BE31" s="34">
        <f>($B31/12)*(1+INDEX($C31:$E31,1,Control!$B$10))^BE5*INDEX($B$13:$M$13,1,MOD(52-1,12)+1)</f>
        <v/>
      </c>
      <c r="BF31" s="34">
        <f>($B31/12)*(1+INDEX($C31:$E31,1,Control!$B$10))^BF5*INDEX($B$13:$M$13,1,MOD(53-1,12)+1)</f>
        <v/>
      </c>
      <c r="BG31" s="34">
        <f>($B31/12)*(1+INDEX($C31:$E31,1,Control!$B$10))^BG5*INDEX($B$13:$M$13,1,MOD(54-1,12)+1)</f>
        <v/>
      </c>
      <c r="BH31" s="34">
        <f>($B31/12)*(1+INDEX($C31:$E31,1,Control!$B$10))^BH5*INDEX($B$13:$M$13,1,MOD(55-1,12)+1)</f>
        <v/>
      </c>
      <c r="BI31" s="34">
        <f>($B31/12)*(1+INDEX($C31:$E31,1,Control!$B$10))^BI5*INDEX($B$13:$M$13,1,MOD(56-1,12)+1)</f>
        <v/>
      </c>
      <c r="BJ31" s="34">
        <f>($B31/12)*(1+INDEX($C31:$E31,1,Control!$B$10))^BJ5*INDEX($B$13:$M$13,1,MOD(57-1,12)+1)</f>
        <v/>
      </c>
      <c r="BK31" s="34">
        <f>($B31/12)*(1+INDEX($C31:$E31,1,Control!$B$10))^BK5*INDEX($B$13:$M$13,1,MOD(58-1,12)+1)</f>
        <v/>
      </c>
      <c r="BL31" s="34">
        <f>($B31/12)*(1+INDEX($C31:$E31,1,Control!$B$10))^BL5*INDEX($B$13:$M$13,1,MOD(59-1,12)+1)</f>
        <v/>
      </c>
      <c r="BM31" s="34">
        <f>($B31/12)*(1+INDEX($C31:$E31,1,Control!$B$10))^BM5*INDEX($B$13:$M$13,1,MOD(60-1,12)+1)</f>
        <v/>
      </c>
      <c r="BN31" s="34">
        <f>($B31/12)*(1+INDEX($C31:$E31,1,Control!$B$10))^BN5*INDEX($B$13:$M$13,1,MOD(61-1,12)+1)</f>
        <v/>
      </c>
      <c r="BO31" s="34">
        <f>($B31/12)*(1+INDEX($C31:$E31,1,Control!$B$10))^BO5*INDEX($B$13:$M$13,1,MOD(62-1,12)+1)</f>
        <v/>
      </c>
      <c r="BP31" s="34">
        <f>($B31/12)*(1+INDEX($C31:$E31,1,Control!$B$10))^BP5*INDEX($B$13:$M$13,1,MOD(63-1,12)+1)</f>
        <v/>
      </c>
      <c r="BQ31" s="34">
        <f>($B31/12)*(1+INDEX($C31:$E31,1,Control!$B$10))^BQ5*INDEX($B$13:$M$13,1,MOD(64-1,12)+1)</f>
        <v/>
      </c>
      <c r="BR31" s="34">
        <f>($B31/12)*(1+INDEX($C31:$E31,1,Control!$B$10))^BR5*INDEX($B$13:$M$13,1,MOD(65-1,12)+1)</f>
        <v/>
      </c>
      <c r="BS31" s="34">
        <f>($B31/12)*(1+INDEX($C31:$E31,1,Control!$B$10))^BS5*INDEX($B$13:$M$13,1,MOD(66-1,12)+1)</f>
        <v/>
      </c>
      <c r="BT31" s="34">
        <f>($B31/12)*(1+INDEX($C31:$E31,1,Control!$B$10))^BT5*INDEX($B$13:$M$13,1,MOD(67-1,12)+1)</f>
        <v/>
      </c>
      <c r="BU31" s="34">
        <f>($B31/12)*(1+INDEX($C31:$E31,1,Control!$B$10))^BU5*INDEX($B$13:$M$13,1,MOD(68-1,12)+1)</f>
        <v/>
      </c>
      <c r="BV31" s="34">
        <f>($B31/12)*(1+INDEX($C31:$E31,1,Control!$B$10))^BV5*INDEX($B$13:$M$13,1,MOD(69-1,12)+1)</f>
        <v/>
      </c>
      <c r="BW31" s="34">
        <f>($B31/12)*(1+INDEX($C31:$E31,1,Control!$B$10))^BW5*INDEX($B$13:$M$13,1,MOD(70-1,12)+1)</f>
        <v/>
      </c>
      <c r="BX31" s="34">
        <f>($B31/12)*(1+INDEX($C31:$E31,1,Control!$B$10))^BX5*INDEX($B$13:$M$13,1,MOD(71-1,12)+1)</f>
        <v/>
      </c>
      <c r="BY31" s="34">
        <f>($B31/12)*(1+INDEX($C31:$E31,1,Control!$B$10))^BY5*INDEX($B$13:$M$13,1,MOD(72-1,12)+1)</f>
        <v/>
      </c>
      <c r="BZ31" s="34">
        <f>($B31/12)*(1+INDEX($C31:$E31,1,Control!$B$10))^BZ5*INDEX($B$13:$M$13,1,MOD(73-1,12)+1)</f>
        <v/>
      </c>
      <c r="CA31" s="34">
        <f>($B31/12)*(1+INDEX($C31:$E31,1,Control!$B$10))^CA5*INDEX($B$13:$M$13,1,MOD(74-1,12)+1)</f>
        <v/>
      </c>
      <c r="CB31" s="34">
        <f>($B31/12)*(1+INDEX($C31:$E31,1,Control!$B$10))^CB5*INDEX($B$13:$M$13,1,MOD(75-1,12)+1)</f>
        <v/>
      </c>
      <c r="CC31" s="34">
        <f>($B31/12)*(1+INDEX($C31:$E31,1,Control!$B$10))^CC5*INDEX($B$13:$M$13,1,MOD(76-1,12)+1)</f>
        <v/>
      </c>
      <c r="CD31" s="34">
        <f>($B31/12)*(1+INDEX($C31:$E31,1,Control!$B$10))^CD5*INDEX($B$13:$M$13,1,MOD(77-1,12)+1)</f>
        <v/>
      </c>
      <c r="CE31" s="34">
        <f>($B31/12)*(1+INDEX($C31:$E31,1,Control!$B$10))^CE5*INDEX($B$13:$M$13,1,MOD(78-1,12)+1)</f>
        <v/>
      </c>
      <c r="CF31" s="34">
        <f>($B31/12)*(1+INDEX($C31:$E31,1,Control!$B$10))^CF5*INDEX($B$13:$M$13,1,MOD(79-1,12)+1)</f>
        <v/>
      </c>
      <c r="CG31" s="34">
        <f>($B31/12)*(1+INDEX($C31:$E31,1,Control!$B$10))^CG5*INDEX($B$13:$M$13,1,MOD(80-1,12)+1)</f>
        <v/>
      </c>
      <c r="CH31" s="34">
        <f>($B31/12)*(1+INDEX($C31:$E31,1,Control!$B$10))^CH5*INDEX($B$13:$M$13,1,MOD(81-1,12)+1)</f>
        <v/>
      </c>
      <c r="CI31" s="34">
        <f>($B31/12)*(1+INDEX($C31:$E31,1,Control!$B$10))^CI5*INDEX($B$13:$M$13,1,MOD(82-1,12)+1)</f>
        <v/>
      </c>
      <c r="CJ31" s="34">
        <f>($B31/12)*(1+INDEX($C31:$E31,1,Control!$B$10))^CJ5*INDEX($B$13:$M$13,1,MOD(83-1,12)+1)</f>
        <v/>
      </c>
      <c r="CK31" s="34">
        <f>($B31/12)*(1+INDEX($C31:$E31,1,Control!$B$10))^CK5*INDEX($B$13:$M$13,1,MOD(84-1,12)+1)</f>
        <v/>
      </c>
      <c r="CL31" s="34">
        <f>($B31/12)*(1+INDEX($C31:$E31,1,Control!$B$10))^CL5*INDEX($B$13:$M$13,1,MOD(85-1,12)+1)</f>
        <v/>
      </c>
      <c r="CM31" s="34">
        <f>($B31/12)*(1+INDEX($C31:$E31,1,Control!$B$10))^CM5*INDEX($B$13:$M$13,1,MOD(86-1,12)+1)</f>
        <v/>
      </c>
      <c r="CN31" s="34">
        <f>($B31/12)*(1+INDEX($C31:$E31,1,Control!$B$10))^CN5*INDEX($B$13:$M$13,1,MOD(87-1,12)+1)</f>
        <v/>
      </c>
      <c r="CO31" s="34">
        <f>($B31/12)*(1+INDEX($C31:$E31,1,Control!$B$10))^CO5*INDEX($B$13:$M$13,1,MOD(88-1,12)+1)</f>
        <v/>
      </c>
      <c r="CP31" s="34">
        <f>($B31/12)*(1+INDEX($C31:$E31,1,Control!$B$10))^CP5*INDEX($B$13:$M$13,1,MOD(89-1,12)+1)</f>
        <v/>
      </c>
      <c r="CQ31" s="34">
        <f>($B31/12)*(1+INDEX($C31:$E31,1,Control!$B$10))^CQ5*INDEX($B$13:$M$13,1,MOD(90-1,12)+1)</f>
        <v/>
      </c>
      <c r="CR31" s="34">
        <f>($B31/12)*(1+INDEX($C31:$E31,1,Control!$B$10))^CR5*INDEX($B$13:$M$13,1,MOD(91-1,12)+1)</f>
        <v/>
      </c>
      <c r="CS31" s="34">
        <f>($B31/12)*(1+INDEX($C31:$E31,1,Control!$B$10))^CS5*INDEX($B$13:$M$13,1,MOD(92-1,12)+1)</f>
        <v/>
      </c>
      <c r="CT31" s="34">
        <f>($B31/12)*(1+INDEX($C31:$E31,1,Control!$B$10))^CT5*INDEX($B$13:$M$13,1,MOD(93-1,12)+1)</f>
        <v/>
      </c>
      <c r="CU31" s="34">
        <f>($B31/12)*(1+INDEX($C31:$E31,1,Control!$B$10))^CU5*INDEX($B$13:$M$13,1,MOD(94-1,12)+1)</f>
        <v/>
      </c>
      <c r="CV31" s="34">
        <f>($B31/12)*(1+INDEX($C31:$E31,1,Control!$B$10))^CV5*INDEX($B$13:$M$13,1,MOD(95-1,12)+1)</f>
        <v/>
      </c>
      <c r="CW31" s="34">
        <f>($B31/12)*(1+INDEX($C31:$E31,1,Control!$B$10))^CW5*INDEX($B$13:$M$13,1,MOD(96-1,12)+1)</f>
        <v/>
      </c>
      <c r="CX31" s="34">
        <f>($B31/12)*(1+INDEX($C31:$E31,1,Control!$B$10))^CX5*INDEX($B$13:$M$13,1,MOD(97-1,12)+1)</f>
        <v/>
      </c>
      <c r="CY31" s="34">
        <f>($B31/12)*(1+INDEX($C31:$E31,1,Control!$B$10))^CY5*INDEX($B$13:$M$13,1,MOD(98-1,12)+1)</f>
        <v/>
      </c>
      <c r="CZ31" s="34">
        <f>($B31/12)*(1+INDEX($C31:$E31,1,Control!$B$10))^CZ5*INDEX($B$13:$M$13,1,MOD(99-1,12)+1)</f>
        <v/>
      </c>
      <c r="DA31" s="34">
        <f>($B31/12)*(1+INDEX($C31:$E31,1,Control!$B$10))^DA5*INDEX($B$13:$M$13,1,MOD(100-1,12)+1)</f>
        <v/>
      </c>
      <c r="DB31" s="34">
        <f>($B31/12)*(1+INDEX($C31:$E31,1,Control!$B$10))^DB5*INDEX($B$13:$M$13,1,MOD(101-1,12)+1)</f>
        <v/>
      </c>
      <c r="DC31" s="34">
        <f>($B31/12)*(1+INDEX($C31:$E31,1,Control!$B$10))^DC5*INDEX($B$13:$M$13,1,MOD(102-1,12)+1)</f>
        <v/>
      </c>
      <c r="DD31" s="34">
        <f>($B31/12)*(1+INDEX($C31:$E31,1,Control!$B$10))^DD5*INDEX($B$13:$M$13,1,MOD(103-1,12)+1)</f>
        <v/>
      </c>
      <c r="DE31" s="34">
        <f>($B31/12)*(1+INDEX($C31:$E31,1,Control!$B$10))^DE5*INDEX($B$13:$M$13,1,MOD(104-1,12)+1)</f>
        <v/>
      </c>
      <c r="DF31" s="34">
        <f>($B31/12)*(1+INDEX($C31:$E31,1,Control!$B$10))^DF5*INDEX($B$13:$M$13,1,MOD(105-1,12)+1)</f>
        <v/>
      </c>
      <c r="DG31" s="34">
        <f>($B31/12)*(1+INDEX($C31:$E31,1,Control!$B$10))^DG5*INDEX($B$13:$M$13,1,MOD(106-1,12)+1)</f>
        <v/>
      </c>
      <c r="DH31" s="34">
        <f>($B31/12)*(1+INDEX($C31:$E31,1,Control!$B$10))^DH5*INDEX($B$13:$M$13,1,MOD(107-1,12)+1)</f>
        <v/>
      </c>
      <c r="DI31" s="34">
        <f>($B31/12)*(1+INDEX($C31:$E31,1,Control!$B$10))^DI5*INDEX($B$13:$M$13,1,MOD(108-1,12)+1)</f>
        <v/>
      </c>
      <c r="DJ31" s="34">
        <f>($B31/12)*(1+INDEX($C31:$E31,1,Control!$B$10))^DJ5*INDEX($B$13:$M$13,1,MOD(109-1,12)+1)</f>
        <v/>
      </c>
      <c r="DK31" s="34">
        <f>($B31/12)*(1+INDEX($C31:$E31,1,Control!$B$10))^DK5*INDEX($B$13:$M$13,1,MOD(110-1,12)+1)</f>
        <v/>
      </c>
      <c r="DL31" s="34">
        <f>($B31/12)*(1+INDEX($C31:$E31,1,Control!$B$10))^DL5*INDEX($B$13:$M$13,1,MOD(111-1,12)+1)</f>
        <v/>
      </c>
      <c r="DM31" s="34">
        <f>($B31/12)*(1+INDEX($C31:$E31,1,Control!$B$10))^DM5*INDEX($B$13:$M$13,1,MOD(112-1,12)+1)</f>
        <v/>
      </c>
      <c r="DN31" s="34">
        <f>($B31/12)*(1+INDEX($C31:$E31,1,Control!$B$10))^DN5*INDEX($B$13:$M$13,1,MOD(113-1,12)+1)</f>
        <v/>
      </c>
      <c r="DO31" s="34">
        <f>($B31/12)*(1+INDEX($C31:$E31,1,Control!$B$10))^DO5*INDEX($B$13:$M$13,1,MOD(114-1,12)+1)</f>
        <v/>
      </c>
      <c r="DP31" s="34">
        <f>($B31/12)*(1+INDEX($C31:$E31,1,Control!$B$10))^DP5*INDEX($B$13:$M$13,1,MOD(115-1,12)+1)</f>
        <v/>
      </c>
      <c r="DQ31" s="34">
        <f>($B31/12)*(1+INDEX($C31:$E31,1,Control!$B$10))^DQ5*INDEX($B$13:$M$13,1,MOD(116-1,12)+1)</f>
        <v/>
      </c>
      <c r="DR31" s="34">
        <f>($B31/12)*(1+INDEX($C31:$E31,1,Control!$B$10))^DR5*INDEX($B$13:$M$13,1,MOD(117-1,12)+1)</f>
        <v/>
      </c>
      <c r="DS31" s="34">
        <f>($B31/12)*(1+INDEX($C31:$E31,1,Control!$B$10))^DS5*INDEX($B$13:$M$13,1,MOD(118-1,12)+1)</f>
        <v/>
      </c>
      <c r="DT31" s="34">
        <f>($B31/12)*(1+INDEX($C31:$E31,1,Control!$B$10))^DT5*INDEX($B$13:$M$13,1,MOD(119-1,12)+1)</f>
        <v/>
      </c>
      <c r="DU31" s="34">
        <f>($B31/12)*(1+INDEX($C31:$E31,1,Control!$B$10))^DU5*INDEX($B$13:$M$13,1,MOD(120-1,12)+1)</f>
        <v/>
      </c>
    </row>
    <row r="32">
      <c r="A32" t="inlineStr">
        <is>
          <t>GoldCoast-Bottles-OffTrade</t>
        </is>
      </c>
      <c r="B32" s="33" t="n">
        <v>35000</v>
      </c>
      <c r="C32" s="22" t="n">
        <v>0.04</v>
      </c>
      <c r="D32" s="22" t="n">
        <v>0.06</v>
      </c>
      <c r="E32" s="22" t="n">
        <v>0.02</v>
      </c>
      <c r="F32" s="34">
        <f>($B32/12)*(1+INDEX($C32:$E32,1,Control!$B$10))^F5*INDEX($B$13:$M$13,1,MOD(1-1,12)+1)</f>
        <v/>
      </c>
      <c r="G32" s="34">
        <f>($B32/12)*(1+INDEX($C32:$E32,1,Control!$B$10))^G5*INDEX($B$13:$M$13,1,MOD(2-1,12)+1)</f>
        <v/>
      </c>
      <c r="H32" s="34">
        <f>($B32/12)*(1+INDEX($C32:$E32,1,Control!$B$10))^H5*INDEX($B$13:$M$13,1,MOD(3-1,12)+1)</f>
        <v/>
      </c>
      <c r="I32" s="34">
        <f>($B32/12)*(1+INDEX($C32:$E32,1,Control!$B$10))^I5*INDEX($B$13:$M$13,1,MOD(4-1,12)+1)</f>
        <v/>
      </c>
      <c r="J32" s="34">
        <f>($B32/12)*(1+INDEX($C32:$E32,1,Control!$B$10))^J5*INDEX($B$13:$M$13,1,MOD(5-1,12)+1)</f>
        <v/>
      </c>
      <c r="K32" s="34">
        <f>($B32/12)*(1+INDEX($C32:$E32,1,Control!$B$10))^K5*INDEX($B$13:$M$13,1,MOD(6-1,12)+1)</f>
        <v/>
      </c>
      <c r="L32" s="34">
        <f>($B32/12)*(1+INDEX($C32:$E32,1,Control!$B$10))^L5*INDEX($B$13:$M$13,1,MOD(7-1,12)+1)</f>
        <v/>
      </c>
      <c r="M32" s="34">
        <f>($B32/12)*(1+INDEX($C32:$E32,1,Control!$B$10))^M5*INDEX($B$13:$M$13,1,MOD(8-1,12)+1)</f>
        <v/>
      </c>
      <c r="N32" s="34">
        <f>($B32/12)*(1+INDEX($C32:$E32,1,Control!$B$10))^N5*INDEX($B$13:$M$13,1,MOD(9-1,12)+1)</f>
        <v/>
      </c>
      <c r="O32" s="34">
        <f>($B32/12)*(1+INDEX($C32:$E32,1,Control!$B$10))^O5*INDEX($B$13:$M$13,1,MOD(10-1,12)+1)</f>
        <v/>
      </c>
      <c r="P32" s="34">
        <f>($B32/12)*(1+INDEX($C32:$E32,1,Control!$B$10))^P5*INDEX($B$13:$M$13,1,MOD(11-1,12)+1)</f>
        <v/>
      </c>
      <c r="Q32" s="34">
        <f>($B32/12)*(1+INDEX($C32:$E32,1,Control!$B$10))^Q5*INDEX($B$13:$M$13,1,MOD(12-1,12)+1)</f>
        <v/>
      </c>
      <c r="R32" s="34">
        <f>($B32/12)*(1+INDEX($C32:$E32,1,Control!$B$10))^R5*INDEX($B$13:$M$13,1,MOD(13-1,12)+1)</f>
        <v/>
      </c>
      <c r="S32" s="34">
        <f>($B32/12)*(1+INDEX($C32:$E32,1,Control!$B$10))^S5*INDEX($B$13:$M$13,1,MOD(14-1,12)+1)</f>
        <v/>
      </c>
      <c r="T32" s="34">
        <f>($B32/12)*(1+INDEX($C32:$E32,1,Control!$B$10))^T5*INDEX($B$13:$M$13,1,MOD(15-1,12)+1)</f>
        <v/>
      </c>
      <c r="U32" s="34">
        <f>($B32/12)*(1+INDEX($C32:$E32,1,Control!$B$10))^U5*INDEX($B$13:$M$13,1,MOD(16-1,12)+1)</f>
        <v/>
      </c>
      <c r="V32" s="34">
        <f>($B32/12)*(1+INDEX($C32:$E32,1,Control!$B$10))^V5*INDEX($B$13:$M$13,1,MOD(17-1,12)+1)</f>
        <v/>
      </c>
      <c r="W32" s="34">
        <f>($B32/12)*(1+INDEX($C32:$E32,1,Control!$B$10))^W5*INDEX($B$13:$M$13,1,MOD(18-1,12)+1)</f>
        <v/>
      </c>
      <c r="X32" s="34">
        <f>($B32/12)*(1+INDEX($C32:$E32,1,Control!$B$10))^X5*INDEX($B$13:$M$13,1,MOD(19-1,12)+1)</f>
        <v/>
      </c>
      <c r="Y32" s="34">
        <f>($B32/12)*(1+INDEX($C32:$E32,1,Control!$B$10))^Y5*INDEX($B$13:$M$13,1,MOD(20-1,12)+1)</f>
        <v/>
      </c>
      <c r="Z32" s="34">
        <f>($B32/12)*(1+INDEX($C32:$E32,1,Control!$B$10))^Z5*INDEX($B$13:$M$13,1,MOD(21-1,12)+1)</f>
        <v/>
      </c>
      <c r="AA32" s="34">
        <f>($B32/12)*(1+INDEX($C32:$E32,1,Control!$B$10))^AA5*INDEX($B$13:$M$13,1,MOD(22-1,12)+1)</f>
        <v/>
      </c>
      <c r="AB32" s="34">
        <f>($B32/12)*(1+INDEX($C32:$E32,1,Control!$B$10))^AB5*INDEX($B$13:$M$13,1,MOD(23-1,12)+1)</f>
        <v/>
      </c>
      <c r="AC32" s="34">
        <f>($B32/12)*(1+INDEX($C32:$E32,1,Control!$B$10))^AC5*INDEX($B$13:$M$13,1,MOD(24-1,12)+1)</f>
        <v/>
      </c>
      <c r="AD32" s="34">
        <f>($B32/12)*(1+INDEX($C32:$E32,1,Control!$B$10))^AD5*INDEX($B$13:$M$13,1,MOD(25-1,12)+1)</f>
        <v/>
      </c>
      <c r="AE32" s="34">
        <f>($B32/12)*(1+INDEX($C32:$E32,1,Control!$B$10))^AE5*INDEX($B$13:$M$13,1,MOD(26-1,12)+1)</f>
        <v/>
      </c>
      <c r="AF32" s="34">
        <f>($B32/12)*(1+INDEX($C32:$E32,1,Control!$B$10))^AF5*INDEX($B$13:$M$13,1,MOD(27-1,12)+1)</f>
        <v/>
      </c>
      <c r="AG32" s="34">
        <f>($B32/12)*(1+INDEX($C32:$E32,1,Control!$B$10))^AG5*INDEX($B$13:$M$13,1,MOD(28-1,12)+1)</f>
        <v/>
      </c>
      <c r="AH32" s="34">
        <f>($B32/12)*(1+INDEX($C32:$E32,1,Control!$B$10))^AH5*INDEX($B$13:$M$13,1,MOD(29-1,12)+1)</f>
        <v/>
      </c>
      <c r="AI32" s="34">
        <f>($B32/12)*(1+INDEX($C32:$E32,1,Control!$B$10))^AI5*INDEX($B$13:$M$13,1,MOD(30-1,12)+1)</f>
        <v/>
      </c>
      <c r="AJ32" s="34">
        <f>($B32/12)*(1+INDEX($C32:$E32,1,Control!$B$10))^AJ5*INDEX($B$13:$M$13,1,MOD(31-1,12)+1)</f>
        <v/>
      </c>
      <c r="AK32" s="34">
        <f>($B32/12)*(1+INDEX($C32:$E32,1,Control!$B$10))^AK5*INDEX($B$13:$M$13,1,MOD(32-1,12)+1)</f>
        <v/>
      </c>
      <c r="AL32" s="34">
        <f>($B32/12)*(1+INDEX($C32:$E32,1,Control!$B$10))^AL5*INDEX($B$13:$M$13,1,MOD(33-1,12)+1)</f>
        <v/>
      </c>
      <c r="AM32" s="34">
        <f>($B32/12)*(1+INDEX($C32:$E32,1,Control!$B$10))^AM5*INDEX($B$13:$M$13,1,MOD(34-1,12)+1)</f>
        <v/>
      </c>
      <c r="AN32" s="34">
        <f>($B32/12)*(1+INDEX($C32:$E32,1,Control!$B$10))^AN5*INDEX($B$13:$M$13,1,MOD(35-1,12)+1)</f>
        <v/>
      </c>
      <c r="AO32" s="34">
        <f>($B32/12)*(1+INDEX($C32:$E32,1,Control!$B$10))^AO5*INDEX($B$13:$M$13,1,MOD(36-1,12)+1)</f>
        <v/>
      </c>
      <c r="AP32" s="34">
        <f>($B32/12)*(1+INDEX($C32:$E32,1,Control!$B$10))^AP5*INDEX($B$13:$M$13,1,MOD(37-1,12)+1)</f>
        <v/>
      </c>
      <c r="AQ32" s="34">
        <f>($B32/12)*(1+INDEX($C32:$E32,1,Control!$B$10))^AQ5*INDEX($B$13:$M$13,1,MOD(38-1,12)+1)</f>
        <v/>
      </c>
      <c r="AR32" s="34">
        <f>($B32/12)*(1+INDEX($C32:$E32,1,Control!$B$10))^AR5*INDEX($B$13:$M$13,1,MOD(39-1,12)+1)</f>
        <v/>
      </c>
      <c r="AS32" s="34">
        <f>($B32/12)*(1+INDEX($C32:$E32,1,Control!$B$10))^AS5*INDEX($B$13:$M$13,1,MOD(40-1,12)+1)</f>
        <v/>
      </c>
      <c r="AT32" s="34">
        <f>($B32/12)*(1+INDEX($C32:$E32,1,Control!$B$10))^AT5*INDEX($B$13:$M$13,1,MOD(41-1,12)+1)</f>
        <v/>
      </c>
      <c r="AU32" s="34">
        <f>($B32/12)*(1+INDEX($C32:$E32,1,Control!$B$10))^AU5*INDEX($B$13:$M$13,1,MOD(42-1,12)+1)</f>
        <v/>
      </c>
      <c r="AV32" s="34">
        <f>($B32/12)*(1+INDEX($C32:$E32,1,Control!$B$10))^AV5*INDEX($B$13:$M$13,1,MOD(43-1,12)+1)</f>
        <v/>
      </c>
      <c r="AW32" s="34">
        <f>($B32/12)*(1+INDEX($C32:$E32,1,Control!$B$10))^AW5*INDEX($B$13:$M$13,1,MOD(44-1,12)+1)</f>
        <v/>
      </c>
      <c r="AX32" s="34">
        <f>($B32/12)*(1+INDEX($C32:$E32,1,Control!$B$10))^AX5*INDEX($B$13:$M$13,1,MOD(45-1,12)+1)</f>
        <v/>
      </c>
      <c r="AY32" s="34">
        <f>($B32/12)*(1+INDEX($C32:$E32,1,Control!$B$10))^AY5*INDEX($B$13:$M$13,1,MOD(46-1,12)+1)</f>
        <v/>
      </c>
      <c r="AZ32" s="34">
        <f>($B32/12)*(1+INDEX($C32:$E32,1,Control!$B$10))^AZ5*INDEX($B$13:$M$13,1,MOD(47-1,12)+1)</f>
        <v/>
      </c>
      <c r="BA32" s="34">
        <f>($B32/12)*(1+INDEX($C32:$E32,1,Control!$B$10))^BA5*INDEX($B$13:$M$13,1,MOD(48-1,12)+1)</f>
        <v/>
      </c>
      <c r="BB32" s="34">
        <f>($B32/12)*(1+INDEX($C32:$E32,1,Control!$B$10))^BB5*INDEX($B$13:$M$13,1,MOD(49-1,12)+1)</f>
        <v/>
      </c>
      <c r="BC32" s="34">
        <f>($B32/12)*(1+INDEX($C32:$E32,1,Control!$B$10))^BC5*INDEX($B$13:$M$13,1,MOD(50-1,12)+1)</f>
        <v/>
      </c>
      <c r="BD32" s="34">
        <f>($B32/12)*(1+INDEX($C32:$E32,1,Control!$B$10))^BD5*INDEX($B$13:$M$13,1,MOD(51-1,12)+1)</f>
        <v/>
      </c>
      <c r="BE32" s="34">
        <f>($B32/12)*(1+INDEX($C32:$E32,1,Control!$B$10))^BE5*INDEX($B$13:$M$13,1,MOD(52-1,12)+1)</f>
        <v/>
      </c>
      <c r="BF32" s="34">
        <f>($B32/12)*(1+INDEX($C32:$E32,1,Control!$B$10))^BF5*INDEX($B$13:$M$13,1,MOD(53-1,12)+1)</f>
        <v/>
      </c>
      <c r="BG32" s="34">
        <f>($B32/12)*(1+INDEX($C32:$E32,1,Control!$B$10))^BG5*INDEX($B$13:$M$13,1,MOD(54-1,12)+1)</f>
        <v/>
      </c>
      <c r="BH32" s="34">
        <f>($B32/12)*(1+INDEX($C32:$E32,1,Control!$B$10))^BH5*INDEX($B$13:$M$13,1,MOD(55-1,12)+1)</f>
        <v/>
      </c>
      <c r="BI32" s="34">
        <f>($B32/12)*(1+INDEX($C32:$E32,1,Control!$B$10))^BI5*INDEX($B$13:$M$13,1,MOD(56-1,12)+1)</f>
        <v/>
      </c>
      <c r="BJ32" s="34">
        <f>($B32/12)*(1+INDEX($C32:$E32,1,Control!$B$10))^BJ5*INDEX($B$13:$M$13,1,MOD(57-1,12)+1)</f>
        <v/>
      </c>
      <c r="BK32" s="34">
        <f>($B32/12)*(1+INDEX($C32:$E32,1,Control!$B$10))^BK5*INDEX($B$13:$M$13,1,MOD(58-1,12)+1)</f>
        <v/>
      </c>
      <c r="BL32" s="34">
        <f>($B32/12)*(1+INDEX($C32:$E32,1,Control!$B$10))^BL5*INDEX($B$13:$M$13,1,MOD(59-1,12)+1)</f>
        <v/>
      </c>
      <c r="BM32" s="34">
        <f>($B32/12)*(1+INDEX($C32:$E32,1,Control!$B$10))^BM5*INDEX($B$13:$M$13,1,MOD(60-1,12)+1)</f>
        <v/>
      </c>
      <c r="BN32" s="34">
        <f>($B32/12)*(1+INDEX($C32:$E32,1,Control!$B$10))^BN5*INDEX($B$13:$M$13,1,MOD(61-1,12)+1)</f>
        <v/>
      </c>
      <c r="BO32" s="34">
        <f>($B32/12)*(1+INDEX($C32:$E32,1,Control!$B$10))^BO5*INDEX($B$13:$M$13,1,MOD(62-1,12)+1)</f>
        <v/>
      </c>
      <c r="BP32" s="34">
        <f>($B32/12)*(1+INDEX($C32:$E32,1,Control!$B$10))^BP5*INDEX($B$13:$M$13,1,MOD(63-1,12)+1)</f>
        <v/>
      </c>
      <c r="BQ32" s="34">
        <f>($B32/12)*(1+INDEX($C32:$E32,1,Control!$B$10))^BQ5*INDEX($B$13:$M$13,1,MOD(64-1,12)+1)</f>
        <v/>
      </c>
      <c r="BR32" s="34">
        <f>($B32/12)*(1+INDEX($C32:$E32,1,Control!$B$10))^BR5*INDEX($B$13:$M$13,1,MOD(65-1,12)+1)</f>
        <v/>
      </c>
      <c r="BS32" s="34">
        <f>($B32/12)*(1+INDEX($C32:$E32,1,Control!$B$10))^BS5*INDEX($B$13:$M$13,1,MOD(66-1,12)+1)</f>
        <v/>
      </c>
      <c r="BT32" s="34">
        <f>($B32/12)*(1+INDEX($C32:$E32,1,Control!$B$10))^BT5*INDEX($B$13:$M$13,1,MOD(67-1,12)+1)</f>
        <v/>
      </c>
      <c r="BU32" s="34">
        <f>($B32/12)*(1+INDEX($C32:$E32,1,Control!$B$10))^BU5*INDEX($B$13:$M$13,1,MOD(68-1,12)+1)</f>
        <v/>
      </c>
      <c r="BV32" s="34">
        <f>($B32/12)*(1+INDEX($C32:$E32,1,Control!$B$10))^BV5*INDEX($B$13:$M$13,1,MOD(69-1,12)+1)</f>
        <v/>
      </c>
      <c r="BW32" s="34">
        <f>($B32/12)*(1+INDEX($C32:$E32,1,Control!$B$10))^BW5*INDEX($B$13:$M$13,1,MOD(70-1,12)+1)</f>
        <v/>
      </c>
      <c r="BX32" s="34">
        <f>($B32/12)*(1+INDEX($C32:$E32,1,Control!$B$10))^BX5*INDEX($B$13:$M$13,1,MOD(71-1,12)+1)</f>
        <v/>
      </c>
      <c r="BY32" s="34">
        <f>($B32/12)*(1+INDEX($C32:$E32,1,Control!$B$10))^BY5*INDEX($B$13:$M$13,1,MOD(72-1,12)+1)</f>
        <v/>
      </c>
      <c r="BZ32" s="34">
        <f>($B32/12)*(1+INDEX($C32:$E32,1,Control!$B$10))^BZ5*INDEX($B$13:$M$13,1,MOD(73-1,12)+1)</f>
        <v/>
      </c>
      <c r="CA32" s="34">
        <f>($B32/12)*(1+INDEX($C32:$E32,1,Control!$B$10))^CA5*INDEX($B$13:$M$13,1,MOD(74-1,12)+1)</f>
        <v/>
      </c>
      <c r="CB32" s="34">
        <f>($B32/12)*(1+INDEX($C32:$E32,1,Control!$B$10))^CB5*INDEX($B$13:$M$13,1,MOD(75-1,12)+1)</f>
        <v/>
      </c>
      <c r="CC32" s="34">
        <f>($B32/12)*(1+INDEX($C32:$E32,1,Control!$B$10))^CC5*INDEX($B$13:$M$13,1,MOD(76-1,12)+1)</f>
        <v/>
      </c>
      <c r="CD32" s="34">
        <f>($B32/12)*(1+INDEX($C32:$E32,1,Control!$B$10))^CD5*INDEX($B$13:$M$13,1,MOD(77-1,12)+1)</f>
        <v/>
      </c>
      <c r="CE32" s="34">
        <f>($B32/12)*(1+INDEX($C32:$E32,1,Control!$B$10))^CE5*INDEX($B$13:$M$13,1,MOD(78-1,12)+1)</f>
        <v/>
      </c>
      <c r="CF32" s="34">
        <f>($B32/12)*(1+INDEX($C32:$E32,1,Control!$B$10))^CF5*INDEX($B$13:$M$13,1,MOD(79-1,12)+1)</f>
        <v/>
      </c>
      <c r="CG32" s="34">
        <f>($B32/12)*(1+INDEX($C32:$E32,1,Control!$B$10))^CG5*INDEX($B$13:$M$13,1,MOD(80-1,12)+1)</f>
        <v/>
      </c>
      <c r="CH32" s="34">
        <f>($B32/12)*(1+INDEX($C32:$E32,1,Control!$B$10))^CH5*INDEX($B$13:$M$13,1,MOD(81-1,12)+1)</f>
        <v/>
      </c>
      <c r="CI32" s="34">
        <f>($B32/12)*(1+INDEX($C32:$E32,1,Control!$B$10))^CI5*INDEX($B$13:$M$13,1,MOD(82-1,12)+1)</f>
        <v/>
      </c>
      <c r="CJ32" s="34">
        <f>($B32/12)*(1+INDEX($C32:$E32,1,Control!$B$10))^CJ5*INDEX($B$13:$M$13,1,MOD(83-1,12)+1)</f>
        <v/>
      </c>
      <c r="CK32" s="34">
        <f>($B32/12)*(1+INDEX($C32:$E32,1,Control!$B$10))^CK5*INDEX($B$13:$M$13,1,MOD(84-1,12)+1)</f>
        <v/>
      </c>
      <c r="CL32" s="34">
        <f>($B32/12)*(1+INDEX($C32:$E32,1,Control!$B$10))^CL5*INDEX($B$13:$M$13,1,MOD(85-1,12)+1)</f>
        <v/>
      </c>
      <c r="CM32" s="34">
        <f>($B32/12)*(1+INDEX($C32:$E32,1,Control!$B$10))^CM5*INDEX($B$13:$M$13,1,MOD(86-1,12)+1)</f>
        <v/>
      </c>
      <c r="CN32" s="34">
        <f>($B32/12)*(1+INDEX($C32:$E32,1,Control!$B$10))^CN5*INDEX($B$13:$M$13,1,MOD(87-1,12)+1)</f>
        <v/>
      </c>
      <c r="CO32" s="34">
        <f>($B32/12)*(1+INDEX($C32:$E32,1,Control!$B$10))^CO5*INDEX($B$13:$M$13,1,MOD(88-1,12)+1)</f>
        <v/>
      </c>
      <c r="CP32" s="34">
        <f>($B32/12)*(1+INDEX($C32:$E32,1,Control!$B$10))^CP5*INDEX($B$13:$M$13,1,MOD(89-1,12)+1)</f>
        <v/>
      </c>
      <c r="CQ32" s="34">
        <f>($B32/12)*(1+INDEX($C32:$E32,1,Control!$B$10))^CQ5*INDEX($B$13:$M$13,1,MOD(90-1,12)+1)</f>
        <v/>
      </c>
      <c r="CR32" s="34">
        <f>($B32/12)*(1+INDEX($C32:$E32,1,Control!$B$10))^CR5*INDEX($B$13:$M$13,1,MOD(91-1,12)+1)</f>
        <v/>
      </c>
      <c r="CS32" s="34">
        <f>($B32/12)*(1+INDEX($C32:$E32,1,Control!$B$10))^CS5*INDEX($B$13:$M$13,1,MOD(92-1,12)+1)</f>
        <v/>
      </c>
      <c r="CT32" s="34">
        <f>($B32/12)*(1+INDEX($C32:$E32,1,Control!$B$10))^CT5*INDEX($B$13:$M$13,1,MOD(93-1,12)+1)</f>
        <v/>
      </c>
      <c r="CU32" s="34">
        <f>($B32/12)*(1+INDEX($C32:$E32,1,Control!$B$10))^CU5*INDEX($B$13:$M$13,1,MOD(94-1,12)+1)</f>
        <v/>
      </c>
      <c r="CV32" s="34">
        <f>($B32/12)*(1+INDEX($C32:$E32,1,Control!$B$10))^CV5*INDEX($B$13:$M$13,1,MOD(95-1,12)+1)</f>
        <v/>
      </c>
      <c r="CW32" s="34">
        <f>($B32/12)*(1+INDEX($C32:$E32,1,Control!$B$10))^CW5*INDEX($B$13:$M$13,1,MOD(96-1,12)+1)</f>
        <v/>
      </c>
      <c r="CX32" s="34">
        <f>($B32/12)*(1+INDEX($C32:$E32,1,Control!$B$10))^CX5*INDEX($B$13:$M$13,1,MOD(97-1,12)+1)</f>
        <v/>
      </c>
      <c r="CY32" s="34">
        <f>($B32/12)*(1+INDEX($C32:$E32,1,Control!$B$10))^CY5*INDEX($B$13:$M$13,1,MOD(98-1,12)+1)</f>
        <v/>
      </c>
      <c r="CZ32" s="34">
        <f>($B32/12)*(1+INDEX($C32:$E32,1,Control!$B$10))^CZ5*INDEX($B$13:$M$13,1,MOD(99-1,12)+1)</f>
        <v/>
      </c>
      <c r="DA32" s="34">
        <f>($B32/12)*(1+INDEX($C32:$E32,1,Control!$B$10))^DA5*INDEX($B$13:$M$13,1,MOD(100-1,12)+1)</f>
        <v/>
      </c>
      <c r="DB32" s="34">
        <f>($B32/12)*(1+INDEX($C32:$E32,1,Control!$B$10))^DB5*INDEX($B$13:$M$13,1,MOD(101-1,12)+1)</f>
        <v/>
      </c>
      <c r="DC32" s="34">
        <f>($B32/12)*(1+INDEX($C32:$E32,1,Control!$B$10))^DC5*INDEX($B$13:$M$13,1,MOD(102-1,12)+1)</f>
        <v/>
      </c>
      <c r="DD32" s="34">
        <f>($B32/12)*(1+INDEX($C32:$E32,1,Control!$B$10))^DD5*INDEX($B$13:$M$13,1,MOD(103-1,12)+1)</f>
        <v/>
      </c>
      <c r="DE32" s="34">
        <f>($B32/12)*(1+INDEX($C32:$E32,1,Control!$B$10))^DE5*INDEX($B$13:$M$13,1,MOD(104-1,12)+1)</f>
        <v/>
      </c>
      <c r="DF32" s="34">
        <f>($B32/12)*(1+INDEX($C32:$E32,1,Control!$B$10))^DF5*INDEX($B$13:$M$13,1,MOD(105-1,12)+1)</f>
        <v/>
      </c>
      <c r="DG32" s="34">
        <f>($B32/12)*(1+INDEX($C32:$E32,1,Control!$B$10))^DG5*INDEX($B$13:$M$13,1,MOD(106-1,12)+1)</f>
        <v/>
      </c>
      <c r="DH32" s="34">
        <f>($B32/12)*(1+INDEX($C32:$E32,1,Control!$B$10))^DH5*INDEX($B$13:$M$13,1,MOD(107-1,12)+1)</f>
        <v/>
      </c>
      <c r="DI32" s="34">
        <f>($B32/12)*(1+INDEX($C32:$E32,1,Control!$B$10))^DI5*INDEX($B$13:$M$13,1,MOD(108-1,12)+1)</f>
        <v/>
      </c>
      <c r="DJ32" s="34">
        <f>($B32/12)*(1+INDEX($C32:$E32,1,Control!$B$10))^DJ5*INDEX($B$13:$M$13,1,MOD(109-1,12)+1)</f>
        <v/>
      </c>
      <c r="DK32" s="34">
        <f>($B32/12)*(1+INDEX($C32:$E32,1,Control!$B$10))^DK5*INDEX($B$13:$M$13,1,MOD(110-1,12)+1)</f>
        <v/>
      </c>
      <c r="DL32" s="34">
        <f>($B32/12)*(1+INDEX($C32:$E32,1,Control!$B$10))^DL5*INDEX($B$13:$M$13,1,MOD(111-1,12)+1)</f>
        <v/>
      </c>
      <c r="DM32" s="34">
        <f>($B32/12)*(1+INDEX($C32:$E32,1,Control!$B$10))^DM5*INDEX($B$13:$M$13,1,MOD(112-1,12)+1)</f>
        <v/>
      </c>
      <c r="DN32" s="34">
        <f>($B32/12)*(1+INDEX($C32:$E32,1,Control!$B$10))^DN5*INDEX($B$13:$M$13,1,MOD(113-1,12)+1)</f>
        <v/>
      </c>
      <c r="DO32" s="34">
        <f>($B32/12)*(1+INDEX($C32:$E32,1,Control!$B$10))^DO5*INDEX($B$13:$M$13,1,MOD(114-1,12)+1)</f>
        <v/>
      </c>
      <c r="DP32" s="34">
        <f>($B32/12)*(1+INDEX($C32:$E32,1,Control!$B$10))^DP5*INDEX($B$13:$M$13,1,MOD(115-1,12)+1)</f>
        <v/>
      </c>
      <c r="DQ32" s="34">
        <f>($B32/12)*(1+INDEX($C32:$E32,1,Control!$B$10))^DQ5*INDEX($B$13:$M$13,1,MOD(116-1,12)+1)</f>
        <v/>
      </c>
      <c r="DR32" s="34">
        <f>($B32/12)*(1+INDEX($C32:$E32,1,Control!$B$10))^DR5*INDEX($B$13:$M$13,1,MOD(117-1,12)+1)</f>
        <v/>
      </c>
      <c r="DS32" s="34">
        <f>($B32/12)*(1+INDEX($C32:$E32,1,Control!$B$10))^DS5*INDEX($B$13:$M$13,1,MOD(118-1,12)+1)</f>
        <v/>
      </c>
      <c r="DT32" s="34">
        <f>($B32/12)*(1+INDEX($C32:$E32,1,Control!$B$10))^DT5*INDEX($B$13:$M$13,1,MOD(119-1,12)+1)</f>
        <v/>
      </c>
      <c r="DU32" s="34">
        <f>($B32/12)*(1+INDEX($C32:$E32,1,Control!$B$10))^DU5*INDEX($B$13:$M$13,1,MOD(120-1,12)+1)</f>
        <v/>
      </c>
    </row>
    <row r="33">
      <c r="A33" t="inlineStr">
        <is>
          <t>GoldCoast-Cans-OnTrade</t>
        </is>
      </c>
      <c r="B33" s="33" t="n">
        <v>12000</v>
      </c>
      <c r="C33" s="22" t="n">
        <v>0.04</v>
      </c>
      <c r="D33" s="22" t="n">
        <v>0.06</v>
      </c>
      <c r="E33" s="22" t="n">
        <v>0.02</v>
      </c>
      <c r="F33" s="34">
        <f>($B33/12)*(1+INDEX($C33:$E33,1,Control!$B$10))^F5*INDEX($B$13:$M$13,1,MOD(1-1,12)+1)</f>
        <v/>
      </c>
      <c r="G33" s="34">
        <f>($B33/12)*(1+INDEX($C33:$E33,1,Control!$B$10))^G5*INDEX($B$13:$M$13,1,MOD(2-1,12)+1)</f>
        <v/>
      </c>
      <c r="H33" s="34">
        <f>($B33/12)*(1+INDEX($C33:$E33,1,Control!$B$10))^H5*INDEX($B$13:$M$13,1,MOD(3-1,12)+1)</f>
        <v/>
      </c>
      <c r="I33" s="34">
        <f>($B33/12)*(1+INDEX($C33:$E33,1,Control!$B$10))^I5*INDEX($B$13:$M$13,1,MOD(4-1,12)+1)</f>
        <v/>
      </c>
      <c r="J33" s="34">
        <f>($B33/12)*(1+INDEX($C33:$E33,1,Control!$B$10))^J5*INDEX($B$13:$M$13,1,MOD(5-1,12)+1)</f>
        <v/>
      </c>
      <c r="K33" s="34">
        <f>($B33/12)*(1+INDEX($C33:$E33,1,Control!$B$10))^K5*INDEX($B$13:$M$13,1,MOD(6-1,12)+1)</f>
        <v/>
      </c>
      <c r="L33" s="34">
        <f>($B33/12)*(1+INDEX($C33:$E33,1,Control!$B$10))^L5*INDEX($B$13:$M$13,1,MOD(7-1,12)+1)</f>
        <v/>
      </c>
      <c r="M33" s="34">
        <f>($B33/12)*(1+INDEX($C33:$E33,1,Control!$B$10))^M5*INDEX($B$13:$M$13,1,MOD(8-1,12)+1)</f>
        <v/>
      </c>
      <c r="N33" s="34">
        <f>($B33/12)*(1+INDEX($C33:$E33,1,Control!$B$10))^N5*INDEX($B$13:$M$13,1,MOD(9-1,12)+1)</f>
        <v/>
      </c>
      <c r="O33" s="34">
        <f>($B33/12)*(1+INDEX($C33:$E33,1,Control!$B$10))^O5*INDEX($B$13:$M$13,1,MOD(10-1,12)+1)</f>
        <v/>
      </c>
      <c r="P33" s="34">
        <f>($B33/12)*(1+INDEX($C33:$E33,1,Control!$B$10))^P5*INDEX($B$13:$M$13,1,MOD(11-1,12)+1)</f>
        <v/>
      </c>
      <c r="Q33" s="34">
        <f>($B33/12)*(1+INDEX($C33:$E33,1,Control!$B$10))^Q5*INDEX($B$13:$M$13,1,MOD(12-1,12)+1)</f>
        <v/>
      </c>
      <c r="R33" s="34">
        <f>($B33/12)*(1+INDEX($C33:$E33,1,Control!$B$10))^R5*INDEX($B$13:$M$13,1,MOD(13-1,12)+1)</f>
        <v/>
      </c>
      <c r="S33" s="34">
        <f>($B33/12)*(1+INDEX($C33:$E33,1,Control!$B$10))^S5*INDEX($B$13:$M$13,1,MOD(14-1,12)+1)</f>
        <v/>
      </c>
      <c r="T33" s="34">
        <f>($B33/12)*(1+INDEX($C33:$E33,1,Control!$B$10))^T5*INDEX($B$13:$M$13,1,MOD(15-1,12)+1)</f>
        <v/>
      </c>
      <c r="U33" s="34">
        <f>($B33/12)*(1+INDEX($C33:$E33,1,Control!$B$10))^U5*INDEX($B$13:$M$13,1,MOD(16-1,12)+1)</f>
        <v/>
      </c>
      <c r="V33" s="34">
        <f>($B33/12)*(1+INDEX($C33:$E33,1,Control!$B$10))^V5*INDEX($B$13:$M$13,1,MOD(17-1,12)+1)</f>
        <v/>
      </c>
      <c r="W33" s="34">
        <f>($B33/12)*(1+INDEX($C33:$E33,1,Control!$B$10))^W5*INDEX($B$13:$M$13,1,MOD(18-1,12)+1)</f>
        <v/>
      </c>
      <c r="X33" s="34">
        <f>($B33/12)*(1+INDEX($C33:$E33,1,Control!$B$10))^X5*INDEX($B$13:$M$13,1,MOD(19-1,12)+1)</f>
        <v/>
      </c>
      <c r="Y33" s="34">
        <f>($B33/12)*(1+INDEX($C33:$E33,1,Control!$B$10))^Y5*INDEX($B$13:$M$13,1,MOD(20-1,12)+1)</f>
        <v/>
      </c>
      <c r="Z33" s="34">
        <f>($B33/12)*(1+INDEX($C33:$E33,1,Control!$B$10))^Z5*INDEX($B$13:$M$13,1,MOD(21-1,12)+1)</f>
        <v/>
      </c>
      <c r="AA33" s="34">
        <f>($B33/12)*(1+INDEX($C33:$E33,1,Control!$B$10))^AA5*INDEX($B$13:$M$13,1,MOD(22-1,12)+1)</f>
        <v/>
      </c>
      <c r="AB33" s="34">
        <f>($B33/12)*(1+INDEX($C33:$E33,1,Control!$B$10))^AB5*INDEX($B$13:$M$13,1,MOD(23-1,12)+1)</f>
        <v/>
      </c>
      <c r="AC33" s="34">
        <f>($B33/12)*(1+INDEX($C33:$E33,1,Control!$B$10))^AC5*INDEX($B$13:$M$13,1,MOD(24-1,12)+1)</f>
        <v/>
      </c>
      <c r="AD33" s="34">
        <f>($B33/12)*(1+INDEX($C33:$E33,1,Control!$B$10))^AD5*INDEX($B$13:$M$13,1,MOD(25-1,12)+1)</f>
        <v/>
      </c>
      <c r="AE33" s="34">
        <f>($B33/12)*(1+INDEX($C33:$E33,1,Control!$B$10))^AE5*INDEX($B$13:$M$13,1,MOD(26-1,12)+1)</f>
        <v/>
      </c>
      <c r="AF33" s="34">
        <f>($B33/12)*(1+INDEX($C33:$E33,1,Control!$B$10))^AF5*INDEX($B$13:$M$13,1,MOD(27-1,12)+1)</f>
        <v/>
      </c>
      <c r="AG33" s="34">
        <f>($B33/12)*(1+INDEX($C33:$E33,1,Control!$B$10))^AG5*INDEX($B$13:$M$13,1,MOD(28-1,12)+1)</f>
        <v/>
      </c>
      <c r="AH33" s="34">
        <f>($B33/12)*(1+INDEX($C33:$E33,1,Control!$B$10))^AH5*INDEX($B$13:$M$13,1,MOD(29-1,12)+1)</f>
        <v/>
      </c>
      <c r="AI33" s="34">
        <f>($B33/12)*(1+INDEX($C33:$E33,1,Control!$B$10))^AI5*INDEX($B$13:$M$13,1,MOD(30-1,12)+1)</f>
        <v/>
      </c>
      <c r="AJ33" s="34">
        <f>($B33/12)*(1+INDEX($C33:$E33,1,Control!$B$10))^AJ5*INDEX($B$13:$M$13,1,MOD(31-1,12)+1)</f>
        <v/>
      </c>
      <c r="AK33" s="34">
        <f>($B33/12)*(1+INDEX($C33:$E33,1,Control!$B$10))^AK5*INDEX($B$13:$M$13,1,MOD(32-1,12)+1)</f>
        <v/>
      </c>
      <c r="AL33" s="34">
        <f>($B33/12)*(1+INDEX($C33:$E33,1,Control!$B$10))^AL5*INDEX($B$13:$M$13,1,MOD(33-1,12)+1)</f>
        <v/>
      </c>
      <c r="AM33" s="34">
        <f>($B33/12)*(1+INDEX($C33:$E33,1,Control!$B$10))^AM5*INDEX($B$13:$M$13,1,MOD(34-1,12)+1)</f>
        <v/>
      </c>
      <c r="AN33" s="34">
        <f>($B33/12)*(1+INDEX($C33:$E33,1,Control!$B$10))^AN5*INDEX($B$13:$M$13,1,MOD(35-1,12)+1)</f>
        <v/>
      </c>
      <c r="AO33" s="34">
        <f>($B33/12)*(1+INDEX($C33:$E33,1,Control!$B$10))^AO5*INDEX($B$13:$M$13,1,MOD(36-1,12)+1)</f>
        <v/>
      </c>
      <c r="AP33" s="34">
        <f>($B33/12)*(1+INDEX($C33:$E33,1,Control!$B$10))^AP5*INDEX($B$13:$M$13,1,MOD(37-1,12)+1)</f>
        <v/>
      </c>
      <c r="AQ33" s="34">
        <f>($B33/12)*(1+INDEX($C33:$E33,1,Control!$B$10))^AQ5*INDEX($B$13:$M$13,1,MOD(38-1,12)+1)</f>
        <v/>
      </c>
      <c r="AR33" s="34">
        <f>($B33/12)*(1+INDEX($C33:$E33,1,Control!$B$10))^AR5*INDEX($B$13:$M$13,1,MOD(39-1,12)+1)</f>
        <v/>
      </c>
      <c r="AS33" s="34">
        <f>($B33/12)*(1+INDEX($C33:$E33,1,Control!$B$10))^AS5*INDEX($B$13:$M$13,1,MOD(40-1,12)+1)</f>
        <v/>
      </c>
      <c r="AT33" s="34">
        <f>($B33/12)*(1+INDEX($C33:$E33,1,Control!$B$10))^AT5*INDEX($B$13:$M$13,1,MOD(41-1,12)+1)</f>
        <v/>
      </c>
      <c r="AU33" s="34">
        <f>($B33/12)*(1+INDEX($C33:$E33,1,Control!$B$10))^AU5*INDEX($B$13:$M$13,1,MOD(42-1,12)+1)</f>
        <v/>
      </c>
      <c r="AV33" s="34">
        <f>($B33/12)*(1+INDEX($C33:$E33,1,Control!$B$10))^AV5*INDEX($B$13:$M$13,1,MOD(43-1,12)+1)</f>
        <v/>
      </c>
      <c r="AW33" s="34">
        <f>($B33/12)*(1+INDEX($C33:$E33,1,Control!$B$10))^AW5*INDEX($B$13:$M$13,1,MOD(44-1,12)+1)</f>
        <v/>
      </c>
      <c r="AX33" s="34">
        <f>($B33/12)*(1+INDEX($C33:$E33,1,Control!$B$10))^AX5*INDEX($B$13:$M$13,1,MOD(45-1,12)+1)</f>
        <v/>
      </c>
      <c r="AY33" s="34">
        <f>($B33/12)*(1+INDEX($C33:$E33,1,Control!$B$10))^AY5*INDEX($B$13:$M$13,1,MOD(46-1,12)+1)</f>
        <v/>
      </c>
      <c r="AZ33" s="34">
        <f>($B33/12)*(1+INDEX($C33:$E33,1,Control!$B$10))^AZ5*INDEX($B$13:$M$13,1,MOD(47-1,12)+1)</f>
        <v/>
      </c>
      <c r="BA33" s="34">
        <f>($B33/12)*(1+INDEX($C33:$E33,1,Control!$B$10))^BA5*INDEX($B$13:$M$13,1,MOD(48-1,12)+1)</f>
        <v/>
      </c>
      <c r="BB33" s="34">
        <f>($B33/12)*(1+INDEX($C33:$E33,1,Control!$B$10))^BB5*INDEX($B$13:$M$13,1,MOD(49-1,12)+1)</f>
        <v/>
      </c>
      <c r="BC33" s="34">
        <f>($B33/12)*(1+INDEX($C33:$E33,1,Control!$B$10))^BC5*INDEX($B$13:$M$13,1,MOD(50-1,12)+1)</f>
        <v/>
      </c>
      <c r="BD33" s="34">
        <f>($B33/12)*(1+INDEX($C33:$E33,1,Control!$B$10))^BD5*INDEX($B$13:$M$13,1,MOD(51-1,12)+1)</f>
        <v/>
      </c>
      <c r="BE33" s="34">
        <f>($B33/12)*(1+INDEX($C33:$E33,1,Control!$B$10))^BE5*INDEX($B$13:$M$13,1,MOD(52-1,12)+1)</f>
        <v/>
      </c>
      <c r="BF33" s="34">
        <f>($B33/12)*(1+INDEX($C33:$E33,1,Control!$B$10))^BF5*INDEX($B$13:$M$13,1,MOD(53-1,12)+1)</f>
        <v/>
      </c>
      <c r="BG33" s="34">
        <f>($B33/12)*(1+INDEX($C33:$E33,1,Control!$B$10))^BG5*INDEX($B$13:$M$13,1,MOD(54-1,12)+1)</f>
        <v/>
      </c>
      <c r="BH33" s="34">
        <f>($B33/12)*(1+INDEX($C33:$E33,1,Control!$B$10))^BH5*INDEX($B$13:$M$13,1,MOD(55-1,12)+1)</f>
        <v/>
      </c>
      <c r="BI33" s="34">
        <f>($B33/12)*(1+INDEX($C33:$E33,1,Control!$B$10))^BI5*INDEX($B$13:$M$13,1,MOD(56-1,12)+1)</f>
        <v/>
      </c>
      <c r="BJ33" s="34">
        <f>($B33/12)*(1+INDEX($C33:$E33,1,Control!$B$10))^BJ5*INDEX($B$13:$M$13,1,MOD(57-1,12)+1)</f>
        <v/>
      </c>
      <c r="BK33" s="34">
        <f>($B33/12)*(1+INDEX($C33:$E33,1,Control!$B$10))^BK5*INDEX($B$13:$M$13,1,MOD(58-1,12)+1)</f>
        <v/>
      </c>
      <c r="BL33" s="34">
        <f>($B33/12)*(1+INDEX($C33:$E33,1,Control!$B$10))^BL5*INDEX($B$13:$M$13,1,MOD(59-1,12)+1)</f>
        <v/>
      </c>
      <c r="BM33" s="34">
        <f>($B33/12)*(1+INDEX($C33:$E33,1,Control!$B$10))^BM5*INDEX($B$13:$M$13,1,MOD(60-1,12)+1)</f>
        <v/>
      </c>
      <c r="BN33" s="34">
        <f>($B33/12)*(1+INDEX($C33:$E33,1,Control!$B$10))^BN5*INDEX($B$13:$M$13,1,MOD(61-1,12)+1)</f>
        <v/>
      </c>
      <c r="BO33" s="34">
        <f>($B33/12)*(1+INDEX($C33:$E33,1,Control!$B$10))^BO5*INDEX($B$13:$M$13,1,MOD(62-1,12)+1)</f>
        <v/>
      </c>
      <c r="BP33" s="34">
        <f>($B33/12)*(1+INDEX($C33:$E33,1,Control!$B$10))^BP5*INDEX($B$13:$M$13,1,MOD(63-1,12)+1)</f>
        <v/>
      </c>
      <c r="BQ33" s="34">
        <f>($B33/12)*(1+INDEX($C33:$E33,1,Control!$B$10))^BQ5*INDEX($B$13:$M$13,1,MOD(64-1,12)+1)</f>
        <v/>
      </c>
      <c r="BR33" s="34">
        <f>($B33/12)*(1+INDEX($C33:$E33,1,Control!$B$10))^BR5*INDEX($B$13:$M$13,1,MOD(65-1,12)+1)</f>
        <v/>
      </c>
      <c r="BS33" s="34">
        <f>($B33/12)*(1+INDEX($C33:$E33,1,Control!$B$10))^BS5*INDEX($B$13:$M$13,1,MOD(66-1,12)+1)</f>
        <v/>
      </c>
      <c r="BT33" s="34">
        <f>($B33/12)*(1+INDEX($C33:$E33,1,Control!$B$10))^BT5*INDEX($B$13:$M$13,1,MOD(67-1,12)+1)</f>
        <v/>
      </c>
      <c r="BU33" s="34">
        <f>($B33/12)*(1+INDEX($C33:$E33,1,Control!$B$10))^BU5*INDEX($B$13:$M$13,1,MOD(68-1,12)+1)</f>
        <v/>
      </c>
      <c r="BV33" s="34">
        <f>($B33/12)*(1+INDEX($C33:$E33,1,Control!$B$10))^BV5*INDEX($B$13:$M$13,1,MOD(69-1,12)+1)</f>
        <v/>
      </c>
      <c r="BW33" s="34">
        <f>($B33/12)*(1+INDEX($C33:$E33,1,Control!$B$10))^BW5*INDEX($B$13:$M$13,1,MOD(70-1,12)+1)</f>
        <v/>
      </c>
      <c r="BX33" s="34">
        <f>($B33/12)*(1+INDEX($C33:$E33,1,Control!$B$10))^BX5*INDEX($B$13:$M$13,1,MOD(71-1,12)+1)</f>
        <v/>
      </c>
      <c r="BY33" s="34">
        <f>($B33/12)*(1+INDEX($C33:$E33,1,Control!$B$10))^BY5*INDEX($B$13:$M$13,1,MOD(72-1,12)+1)</f>
        <v/>
      </c>
      <c r="BZ33" s="34">
        <f>($B33/12)*(1+INDEX($C33:$E33,1,Control!$B$10))^BZ5*INDEX($B$13:$M$13,1,MOD(73-1,12)+1)</f>
        <v/>
      </c>
      <c r="CA33" s="34">
        <f>($B33/12)*(1+INDEX($C33:$E33,1,Control!$B$10))^CA5*INDEX($B$13:$M$13,1,MOD(74-1,12)+1)</f>
        <v/>
      </c>
      <c r="CB33" s="34">
        <f>($B33/12)*(1+INDEX($C33:$E33,1,Control!$B$10))^CB5*INDEX($B$13:$M$13,1,MOD(75-1,12)+1)</f>
        <v/>
      </c>
      <c r="CC33" s="34">
        <f>($B33/12)*(1+INDEX($C33:$E33,1,Control!$B$10))^CC5*INDEX($B$13:$M$13,1,MOD(76-1,12)+1)</f>
        <v/>
      </c>
      <c r="CD33" s="34">
        <f>($B33/12)*(1+INDEX($C33:$E33,1,Control!$B$10))^CD5*INDEX($B$13:$M$13,1,MOD(77-1,12)+1)</f>
        <v/>
      </c>
      <c r="CE33" s="34">
        <f>($B33/12)*(1+INDEX($C33:$E33,1,Control!$B$10))^CE5*INDEX($B$13:$M$13,1,MOD(78-1,12)+1)</f>
        <v/>
      </c>
      <c r="CF33" s="34">
        <f>($B33/12)*(1+INDEX($C33:$E33,1,Control!$B$10))^CF5*INDEX($B$13:$M$13,1,MOD(79-1,12)+1)</f>
        <v/>
      </c>
      <c r="CG33" s="34">
        <f>($B33/12)*(1+INDEX($C33:$E33,1,Control!$B$10))^CG5*INDEX($B$13:$M$13,1,MOD(80-1,12)+1)</f>
        <v/>
      </c>
      <c r="CH33" s="34">
        <f>($B33/12)*(1+INDEX($C33:$E33,1,Control!$B$10))^CH5*INDEX($B$13:$M$13,1,MOD(81-1,12)+1)</f>
        <v/>
      </c>
      <c r="CI33" s="34">
        <f>($B33/12)*(1+INDEX($C33:$E33,1,Control!$B$10))^CI5*INDEX($B$13:$M$13,1,MOD(82-1,12)+1)</f>
        <v/>
      </c>
      <c r="CJ33" s="34">
        <f>($B33/12)*(1+INDEX($C33:$E33,1,Control!$B$10))^CJ5*INDEX($B$13:$M$13,1,MOD(83-1,12)+1)</f>
        <v/>
      </c>
      <c r="CK33" s="34">
        <f>($B33/12)*(1+INDEX($C33:$E33,1,Control!$B$10))^CK5*INDEX($B$13:$M$13,1,MOD(84-1,12)+1)</f>
        <v/>
      </c>
      <c r="CL33" s="34">
        <f>($B33/12)*(1+INDEX($C33:$E33,1,Control!$B$10))^CL5*INDEX($B$13:$M$13,1,MOD(85-1,12)+1)</f>
        <v/>
      </c>
      <c r="CM33" s="34">
        <f>($B33/12)*(1+INDEX($C33:$E33,1,Control!$B$10))^CM5*INDEX($B$13:$M$13,1,MOD(86-1,12)+1)</f>
        <v/>
      </c>
      <c r="CN33" s="34">
        <f>($B33/12)*(1+INDEX($C33:$E33,1,Control!$B$10))^CN5*INDEX($B$13:$M$13,1,MOD(87-1,12)+1)</f>
        <v/>
      </c>
      <c r="CO33" s="34">
        <f>($B33/12)*(1+INDEX($C33:$E33,1,Control!$B$10))^CO5*INDEX($B$13:$M$13,1,MOD(88-1,12)+1)</f>
        <v/>
      </c>
      <c r="CP33" s="34">
        <f>($B33/12)*(1+INDEX($C33:$E33,1,Control!$B$10))^CP5*INDEX($B$13:$M$13,1,MOD(89-1,12)+1)</f>
        <v/>
      </c>
      <c r="CQ33" s="34">
        <f>($B33/12)*(1+INDEX($C33:$E33,1,Control!$B$10))^CQ5*INDEX($B$13:$M$13,1,MOD(90-1,12)+1)</f>
        <v/>
      </c>
      <c r="CR33" s="34">
        <f>($B33/12)*(1+INDEX($C33:$E33,1,Control!$B$10))^CR5*INDEX($B$13:$M$13,1,MOD(91-1,12)+1)</f>
        <v/>
      </c>
      <c r="CS33" s="34">
        <f>($B33/12)*(1+INDEX($C33:$E33,1,Control!$B$10))^CS5*INDEX($B$13:$M$13,1,MOD(92-1,12)+1)</f>
        <v/>
      </c>
      <c r="CT33" s="34">
        <f>($B33/12)*(1+INDEX($C33:$E33,1,Control!$B$10))^CT5*INDEX($B$13:$M$13,1,MOD(93-1,12)+1)</f>
        <v/>
      </c>
      <c r="CU33" s="34">
        <f>($B33/12)*(1+INDEX($C33:$E33,1,Control!$B$10))^CU5*INDEX($B$13:$M$13,1,MOD(94-1,12)+1)</f>
        <v/>
      </c>
      <c r="CV33" s="34">
        <f>($B33/12)*(1+INDEX($C33:$E33,1,Control!$B$10))^CV5*INDEX($B$13:$M$13,1,MOD(95-1,12)+1)</f>
        <v/>
      </c>
      <c r="CW33" s="34">
        <f>($B33/12)*(1+INDEX($C33:$E33,1,Control!$B$10))^CW5*INDEX($B$13:$M$13,1,MOD(96-1,12)+1)</f>
        <v/>
      </c>
      <c r="CX33" s="34">
        <f>($B33/12)*(1+INDEX($C33:$E33,1,Control!$B$10))^CX5*INDEX($B$13:$M$13,1,MOD(97-1,12)+1)</f>
        <v/>
      </c>
      <c r="CY33" s="34">
        <f>($B33/12)*(1+INDEX($C33:$E33,1,Control!$B$10))^CY5*INDEX($B$13:$M$13,1,MOD(98-1,12)+1)</f>
        <v/>
      </c>
      <c r="CZ33" s="34">
        <f>($B33/12)*(1+INDEX($C33:$E33,1,Control!$B$10))^CZ5*INDEX($B$13:$M$13,1,MOD(99-1,12)+1)</f>
        <v/>
      </c>
      <c r="DA33" s="34">
        <f>($B33/12)*(1+INDEX($C33:$E33,1,Control!$B$10))^DA5*INDEX($B$13:$M$13,1,MOD(100-1,12)+1)</f>
        <v/>
      </c>
      <c r="DB33" s="34">
        <f>($B33/12)*(1+INDEX($C33:$E33,1,Control!$B$10))^DB5*INDEX($B$13:$M$13,1,MOD(101-1,12)+1)</f>
        <v/>
      </c>
      <c r="DC33" s="34">
        <f>($B33/12)*(1+INDEX($C33:$E33,1,Control!$B$10))^DC5*INDEX($B$13:$M$13,1,MOD(102-1,12)+1)</f>
        <v/>
      </c>
      <c r="DD33" s="34">
        <f>($B33/12)*(1+INDEX($C33:$E33,1,Control!$B$10))^DD5*INDEX($B$13:$M$13,1,MOD(103-1,12)+1)</f>
        <v/>
      </c>
      <c r="DE33" s="34">
        <f>($B33/12)*(1+INDEX($C33:$E33,1,Control!$B$10))^DE5*INDEX($B$13:$M$13,1,MOD(104-1,12)+1)</f>
        <v/>
      </c>
      <c r="DF33" s="34">
        <f>($B33/12)*(1+INDEX($C33:$E33,1,Control!$B$10))^DF5*INDEX($B$13:$M$13,1,MOD(105-1,12)+1)</f>
        <v/>
      </c>
      <c r="DG33" s="34">
        <f>($B33/12)*(1+INDEX($C33:$E33,1,Control!$B$10))^DG5*INDEX($B$13:$M$13,1,MOD(106-1,12)+1)</f>
        <v/>
      </c>
      <c r="DH33" s="34">
        <f>($B33/12)*(1+INDEX($C33:$E33,1,Control!$B$10))^DH5*INDEX($B$13:$M$13,1,MOD(107-1,12)+1)</f>
        <v/>
      </c>
      <c r="DI33" s="34">
        <f>($B33/12)*(1+INDEX($C33:$E33,1,Control!$B$10))^DI5*INDEX($B$13:$M$13,1,MOD(108-1,12)+1)</f>
        <v/>
      </c>
      <c r="DJ33" s="34">
        <f>($B33/12)*(1+INDEX($C33:$E33,1,Control!$B$10))^DJ5*INDEX($B$13:$M$13,1,MOD(109-1,12)+1)</f>
        <v/>
      </c>
      <c r="DK33" s="34">
        <f>($B33/12)*(1+INDEX($C33:$E33,1,Control!$B$10))^DK5*INDEX($B$13:$M$13,1,MOD(110-1,12)+1)</f>
        <v/>
      </c>
      <c r="DL33" s="34">
        <f>($B33/12)*(1+INDEX($C33:$E33,1,Control!$B$10))^DL5*INDEX($B$13:$M$13,1,MOD(111-1,12)+1)</f>
        <v/>
      </c>
      <c r="DM33" s="34">
        <f>($B33/12)*(1+INDEX($C33:$E33,1,Control!$B$10))^DM5*INDEX($B$13:$M$13,1,MOD(112-1,12)+1)</f>
        <v/>
      </c>
      <c r="DN33" s="34">
        <f>($B33/12)*(1+INDEX($C33:$E33,1,Control!$B$10))^DN5*INDEX($B$13:$M$13,1,MOD(113-1,12)+1)</f>
        <v/>
      </c>
      <c r="DO33" s="34">
        <f>($B33/12)*(1+INDEX($C33:$E33,1,Control!$B$10))^DO5*INDEX($B$13:$M$13,1,MOD(114-1,12)+1)</f>
        <v/>
      </c>
      <c r="DP33" s="34">
        <f>($B33/12)*(1+INDEX($C33:$E33,1,Control!$B$10))^DP5*INDEX($B$13:$M$13,1,MOD(115-1,12)+1)</f>
        <v/>
      </c>
      <c r="DQ33" s="34">
        <f>($B33/12)*(1+INDEX($C33:$E33,1,Control!$B$10))^DQ5*INDEX($B$13:$M$13,1,MOD(116-1,12)+1)</f>
        <v/>
      </c>
      <c r="DR33" s="34">
        <f>($B33/12)*(1+INDEX($C33:$E33,1,Control!$B$10))^DR5*INDEX($B$13:$M$13,1,MOD(117-1,12)+1)</f>
        <v/>
      </c>
      <c r="DS33" s="34">
        <f>($B33/12)*(1+INDEX($C33:$E33,1,Control!$B$10))^DS5*INDEX($B$13:$M$13,1,MOD(118-1,12)+1)</f>
        <v/>
      </c>
      <c r="DT33" s="34">
        <f>($B33/12)*(1+INDEX($C33:$E33,1,Control!$B$10))^DT5*INDEX($B$13:$M$13,1,MOD(119-1,12)+1)</f>
        <v/>
      </c>
      <c r="DU33" s="34">
        <f>($B33/12)*(1+INDEX($C33:$E33,1,Control!$B$10))^DU5*INDEX($B$13:$M$13,1,MOD(120-1,12)+1)</f>
        <v/>
      </c>
    </row>
    <row r="34">
      <c r="A34" t="inlineStr">
        <is>
          <t>GoldCoast-Cans-OffTrade</t>
        </is>
      </c>
      <c r="B34" s="33" t="n">
        <v>45000</v>
      </c>
      <c r="C34" s="22" t="n">
        <v>0.04</v>
      </c>
      <c r="D34" s="22" t="n">
        <v>0.06</v>
      </c>
      <c r="E34" s="22" t="n">
        <v>0.02</v>
      </c>
      <c r="F34" s="34">
        <f>($B34/12)*(1+INDEX($C34:$E34,1,Control!$B$10))^F5*INDEX($B$13:$M$13,1,MOD(1-1,12)+1)</f>
        <v/>
      </c>
      <c r="G34" s="34">
        <f>($B34/12)*(1+INDEX($C34:$E34,1,Control!$B$10))^G5*INDEX($B$13:$M$13,1,MOD(2-1,12)+1)</f>
        <v/>
      </c>
      <c r="H34" s="34">
        <f>($B34/12)*(1+INDEX($C34:$E34,1,Control!$B$10))^H5*INDEX($B$13:$M$13,1,MOD(3-1,12)+1)</f>
        <v/>
      </c>
      <c r="I34" s="34">
        <f>($B34/12)*(1+INDEX($C34:$E34,1,Control!$B$10))^I5*INDEX($B$13:$M$13,1,MOD(4-1,12)+1)</f>
        <v/>
      </c>
      <c r="J34" s="34">
        <f>($B34/12)*(1+INDEX($C34:$E34,1,Control!$B$10))^J5*INDEX($B$13:$M$13,1,MOD(5-1,12)+1)</f>
        <v/>
      </c>
      <c r="K34" s="34">
        <f>($B34/12)*(1+INDEX($C34:$E34,1,Control!$B$10))^K5*INDEX($B$13:$M$13,1,MOD(6-1,12)+1)</f>
        <v/>
      </c>
      <c r="L34" s="34">
        <f>($B34/12)*(1+INDEX($C34:$E34,1,Control!$B$10))^L5*INDEX($B$13:$M$13,1,MOD(7-1,12)+1)</f>
        <v/>
      </c>
      <c r="M34" s="34">
        <f>($B34/12)*(1+INDEX($C34:$E34,1,Control!$B$10))^M5*INDEX($B$13:$M$13,1,MOD(8-1,12)+1)</f>
        <v/>
      </c>
      <c r="N34" s="34">
        <f>($B34/12)*(1+INDEX($C34:$E34,1,Control!$B$10))^N5*INDEX($B$13:$M$13,1,MOD(9-1,12)+1)</f>
        <v/>
      </c>
      <c r="O34" s="34">
        <f>($B34/12)*(1+INDEX($C34:$E34,1,Control!$B$10))^O5*INDEX($B$13:$M$13,1,MOD(10-1,12)+1)</f>
        <v/>
      </c>
      <c r="P34" s="34">
        <f>($B34/12)*(1+INDEX($C34:$E34,1,Control!$B$10))^P5*INDEX($B$13:$M$13,1,MOD(11-1,12)+1)</f>
        <v/>
      </c>
      <c r="Q34" s="34">
        <f>($B34/12)*(1+INDEX($C34:$E34,1,Control!$B$10))^Q5*INDEX($B$13:$M$13,1,MOD(12-1,12)+1)</f>
        <v/>
      </c>
      <c r="R34" s="34">
        <f>($B34/12)*(1+INDEX($C34:$E34,1,Control!$B$10))^R5*INDEX($B$13:$M$13,1,MOD(13-1,12)+1)</f>
        <v/>
      </c>
      <c r="S34" s="34">
        <f>($B34/12)*(1+INDEX($C34:$E34,1,Control!$B$10))^S5*INDEX($B$13:$M$13,1,MOD(14-1,12)+1)</f>
        <v/>
      </c>
      <c r="T34" s="34">
        <f>($B34/12)*(1+INDEX($C34:$E34,1,Control!$B$10))^T5*INDEX($B$13:$M$13,1,MOD(15-1,12)+1)</f>
        <v/>
      </c>
      <c r="U34" s="34">
        <f>($B34/12)*(1+INDEX($C34:$E34,1,Control!$B$10))^U5*INDEX($B$13:$M$13,1,MOD(16-1,12)+1)</f>
        <v/>
      </c>
      <c r="V34" s="34">
        <f>($B34/12)*(1+INDEX($C34:$E34,1,Control!$B$10))^V5*INDEX($B$13:$M$13,1,MOD(17-1,12)+1)</f>
        <v/>
      </c>
      <c r="W34" s="34">
        <f>($B34/12)*(1+INDEX($C34:$E34,1,Control!$B$10))^W5*INDEX($B$13:$M$13,1,MOD(18-1,12)+1)</f>
        <v/>
      </c>
      <c r="X34" s="34">
        <f>($B34/12)*(1+INDEX($C34:$E34,1,Control!$B$10))^X5*INDEX($B$13:$M$13,1,MOD(19-1,12)+1)</f>
        <v/>
      </c>
      <c r="Y34" s="34">
        <f>($B34/12)*(1+INDEX($C34:$E34,1,Control!$B$10))^Y5*INDEX($B$13:$M$13,1,MOD(20-1,12)+1)</f>
        <v/>
      </c>
      <c r="Z34" s="34">
        <f>($B34/12)*(1+INDEX($C34:$E34,1,Control!$B$10))^Z5*INDEX($B$13:$M$13,1,MOD(21-1,12)+1)</f>
        <v/>
      </c>
      <c r="AA34" s="34">
        <f>($B34/12)*(1+INDEX($C34:$E34,1,Control!$B$10))^AA5*INDEX($B$13:$M$13,1,MOD(22-1,12)+1)</f>
        <v/>
      </c>
      <c r="AB34" s="34">
        <f>($B34/12)*(1+INDEX($C34:$E34,1,Control!$B$10))^AB5*INDEX($B$13:$M$13,1,MOD(23-1,12)+1)</f>
        <v/>
      </c>
      <c r="AC34" s="34">
        <f>($B34/12)*(1+INDEX($C34:$E34,1,Control!$B$10))^AC5*INDEX($B$13:$M$13,1,MOD(24-1,12)+1)</f>
        <v/>
      </c>
      <c r="AD34" s="34">
        <f>($B34/12)*(1+INDEX($C34:$E34,1,Control!$B$10))^AD5*INDEX($B$13:$M$13,1,MOD(25-1,12)+1)</f>
        <v/>
      </c>
      <c r="AE34" s="34">
        <f>($B34/12)*(1+INDEX($C34:$E34,1,Control!$B$10))^AE5*INDEX($B$13:$M$13,1,MOD(26-1,12)+1)</f>
        <v/>
      </c>
      <c r="AF34" s="34">
        <f>($B34/12)*(1+INDEX($C34:$E34,1,Control!$B$10))^AF5*INDEX($B$13:$M$13,1,MOD(27-1,12)+1)</f>
        <v/>
      </c>
      <c r="AG34" s="34">
        <f>($B34/12)*(1+INDEX($C34:$E34,1,Control!$B$10))^AG5*INDEX($B$13:$M$13,1,MOD(28-1,12)+1)</f>
        <v/>
      </c>
      <c r="AH34" s="34">
        <f>($B34/12)*(1+INDEX($C34:$E34,1,Control!$B$10))^AH5*INDEX($B$13:$M$13,1,MOD(29-1,12)+1)</f>
        <v/>
      </c>
      <c r="AI34" s="34">
        <f>($B34/12)*(1+INDEX($C34:$E34,1,Control!$B$10))^AI5*INDEX($B$13:$M$13,1,MOD(30-1,12)+1)</f>
        <v/>
      </c>
      <c r="AJ34" s="34">
        <f>($B34/12)*(1+INDEX($C34:$E34,1,Control!$B$10))^AJ5*INDEX($B$13:$M$13,1,MOD(31-1,12)+1)</f>
        <v/>
      </c>
      <c r="AK34" s="34">
        <f>($B34/12)*(1+INDEX($C34:$E34,1,Control!$B$10))^AK5*INDEX($B$13:$M$13,1,MOD(32-1,12)+1)</f>
        <v/>
      </c>
      <c r="AL34" s="34">
        <f>($B34/12)*(1+INDEX($C34:$E34,1,Control!$B$10))^AL5*INDEX($B$13:$M$13,1,MOD(33-1,12)+1)</f>
        <v/>
      </c>
      <c r="AM34" s="34">
        <f>($B34/12)*(1+INDEX($C34:$E34,1,Control!$B$10))^AM5*INDEX($B$13:$M$13,1,MOD(34-1,12)+1)</f>
        <v/>
      </c>
      <c r="AN34" s="34">
        <f>($B34/12)*(1+INDEX($C34:$E34,1,Control!$B$10))^AN5*INDEX($B$13:$M$13,1,MOD(35-1,12)+1)</f>
        <v/>
      </c>
      <c r="AO34" s="34">
        <f>($B34/12)*(1+INDEX($C34:$E34,1,Control!$B$10))^AO5*INDEX($B$13:$M$13,1,MOD(36-1,12)+1)</f>
        <v/>
      </c>
      <c r="AP34" s="34">
        <f>($B34/12)*(1+INDEX($C34:$E34,1,Control!$B$10))^AP5*INDEX($B$13:$M$13,1,MOD(37-1,12)+1)</f>
        <v/>
      </c>
      <c r="AQ34" s="34">
        <f>($B34/12)*(1+INDEX($C34:$E34,1,Control!$B$10))^AQ5*INDEX($B$13:$M$13,1,MOD(38-1,12)+1)</f>
        <v/>
      </c>
      <c r="AR34" s="34">
        <f>($B34/12)*(1+INDEX($C34:$E34,1,Control!$B$10))^AR5*INDEX($B$13:$M$13,1,MOD(39-1,12)+1)</f>
        <v/>
      </c>
      <c r="AS34" s="34">
        <f>($B34/12)*(1+INDEX($C34:$E34,1,Control!$B$10))^AS5*INDEX($B$13:$M$13,1,MOD(40-1,12)+1)</f>
        <v/>
      </c>
      <c r="AT34" s="34">
        <f>($B34/12)*(1+INDEX($C34:$E34,1,Control!$B$10))^AT5*INDEX($B$13:$M$13,1,MOD(41-1,12)+1)</f>
        <v/>
      </c>
      <c r="AU34" s="34">
        <f>($B34/12)*(1+INDEX($C34:$E34,1,Control!$B$10))^AU5*INDEX($B$13:$M$13,1,MOD(42-1,12)+1)</f>
        <v/>
      </c>
      <c r="AV34" s="34">
        <f>($B34/12)*(1+INDEX($C34:$E34,1,Control!$B$10))^AV5*INDEX($B$13:$M$13,1,MOD(43-1,12)+1)</f>
        <v/>
      </c>
      <c r="AW34" s="34">
        <f>($B34/12)*(1+INDEX($C34:$E34,1,Control!$B$10))^AW5*INDEX($B$13:$M$13,1,MOD(44-1,12)+1)</f>
        <v/>
      </c>
      <c r="AX34" s="34">
        <f>($B34/12)*(1+INDEX($C34:$E34,1,Control!$B$10))^AX5*INDEX($B$13:$M$13,1,MOD(45-1,12)+1)</f>
        <v/>
      </c>
      <c r="AY34" s="34">
        <f>($B34/12)*(1+INDEX($C34:$E34,1,Control!$B$10))^AY5*INDEX($B$13:$M$13,1,MOD(46-1,12)+1)</f>
        <v/>
      </c>
      <c r="AZ34" s="34">
        <f>($B34/12)*(1+INDEX($C34:$E34,1,Control!$B$10))^AZ5*INDEX($B$13:$M$13,1,MOD(47-1,12)+1)</f>
        <v/>
      </c>
      <c r="BA34" s="34">
        <f>($B34/12)*(1+INDEX($C34:$E34,1,Control!$B$10))^BA5*INDEX($B$13:$M$13,1,MOD(48-1,12)+1)</f>
        <v/>
      </c>
      <c r="BB34" s="34">
        <f>($B34/12)*(1+INDEX($C34:$E34,1,Control!$B$10))^BB5*INDEX($B$13:$M$13,1,MOD(49-1,12)+1)</f>
        <v/>
      </c>
      <c r="BC34" s="34">
        <f>($B34/12)*(1+INDEX($C34:$E34,1,Control!$B$10))^BC5*INDEX($B$13:$M$13,1,MOD(50-1,12)+1)</f>
        <v/>
      </c>
      <c r="BD34" s="34">
        <f>($B34/12)*(1+INDEX($C34:$E34,1,Control!$B$10))^BD5*INDEX($B$13:$M$13,1,MOD(51-1,12)+1)</f>
        <v/>
      </c>
      <c r="BE34" s="34">
        <f>($B34/12)*(1+INDEX($C34:$E34,1,Control!$B$10))^BE5*INDEX($B$13:$M$13,1,MOD(52-1,12)+1)</f>
        <v/>
      </c>
      <c r="BF34" s="34">
        <f>($B34/12)*(1+INDEX($C34:$E34,1,Control!$B$10))^BF5*INDEX($B$13:$M$13,1,MOD(53-1,12)+1)</f>
        <v/>
      </c>
      <c r="BG34" s="34">
        <f>($B34/12)*(1+INDEX($C34:$E34,1,Control!$B$10))^BG5*INDEX($B$13:$M$13,1,MOD(54-1,12)+1)</f>
        <v/>
      </c>
      <c r="BH34" s="34">
        <f>($B34/12)*(1+INDEX($C34:$E34,1,Control!$B$10))^BH5*INDEX($B$13:$M$13,1,MOD(55-1,12)+1)</f>
        <v/>
      </c>
      <c r="BI34" s="34">
        <f>($B34/12)*(1+INDEX($C34:$E34,1,Control!$B$10))^BI5*INDEX($B$13:$M$13,1,MOD(56-1,12)+1)</f>
        <v/>
      </c>
      <c r="BJ34" s="34">
        <f>($B34/12)*(1+INDEX($C34:$E34,1,Control!$B$10))^BJ5*INDEX($B$13:$M$13,1,MOD(57-1,12)+1)</f>
        <v/>
      </c>
      <c r="BK34" s="34">
        <f>($B34/12)*(1+INDEX($C34:$E34,1,Control!$B$10))^BK5*INDEX($B$13:$M$13,1,MOD(58-1,12)+1)</f>
        <v/>
      </c>
      <c r="BL34" s="34">
        <f>($B34/12)*(1+INDEX($C34:$E34,1,Control!$B$10))^BL5*INDEX($B$13:$M$13,1,MOD(59-1,12)+1)</f>
        <v/>
      </c>
      <c r="BM34" s="34">
        <f>($B34/12)*(1+INDEX($C34:$E34,1,Control!$B$10))^BM5*INDEX($B$13:$M$13,1,MOD(60-1,12)+1)</f>
        <v/>
      </c>
      <c r="BN34" s="34">
        <f>($B34/12)*(1+INDEX($C34:$E34,1,Control!$B$10))^BN5*INDEX($B$13:$M$13,1,MOD(61-1,12)+1)</f>
        <v/>
      </c>
      <c r="BO34" s="34">
        <f>($B34/12)*(1+INDEX($C34:$E34,1,Control!$B$10))^BO5*INDEX($B$13:$M$13,1,MOD(62-1,12)+1)</f>
        <v/>
      </c>
      <c r="BP34" s="34">
        <f>($B34/12)*(1+INDEX($C34:$E34,1,Control!$B$10))^BP5*INDEX($B$13:$M$13,1,MOD(63-1,12)+1)</f>
        <v/>
      </c>
      <c r="BQ34" s="34">
        <f>($B34/12)*(1+INDEX($C34:$E34,1,Control!$B$10))^BQ5*INDEX($B$13:$M$13,1,MOD(64-1,12)+1)</f>
        <v/>
      </c>
      <c r="BR34" s="34">
        <f>($B34/12)*(1+INDEX($C34:$E34,1,Control!$B$10))^BR5*INDEX($B$13:$M$13,1,MOD(65-1,12)+1)</f>
        <v/>
      </c>
      <c r="BS34" s="34">
        <f>($B34/12)*(1+INDEX($C34:$E34,1,Control!$B$10))^BS5*INDEX($B$13:$M$13,1,MOD(66-1,12)+1)</f>
        <v/>
      </c>
      <c r="BT34" s="34">
        <f>($B34/12)*(1+INDEX($C34:$E34,1,Control!$B$10))^BT5*INDEX($B$13:$M$13,1,MOD(67-1,12)+1)</f>
        <v/>
      </c>
      <c r="BU34" s="34">
        <f>($B34/12)*(1+INDEX($C34:$E34,1,Control!$B$10))^BU5*INDEX($B$13:$M$13,1,MOD(68-1,12)+1)</f>
        <v/>
      </c>
      <c r="BV34" s="34">
        <f>($B34/12)*(1+INDEX($C34:$E34,1,Control!$B$10))^BV5*INDEX($B$13:$M$13,1,MOD(69-1,12)+1)</f>
        <v/>
      </c>
      <c r="BW34" s="34">
        <f>($B34/12)*(1+INDEX($C34:$E34,1,Control!$B$10))^BW5*INDEX($B$13:$M$13,1,MOD(70-1,12)+1)</f>
        <v/>
      </c>
      <c r="BX34" s="34">
        <f>($B34/12)*(1+INDEX($C34:$E34,1,Control!$B$10))^BX5*INDEX($B$13:$M$13,1,MOD(71-1,12)+1)</f>
        <v/>
      </c>
      <c r="BY34" s="34">
        <f>($B34/12)*(1+INDEX($C34:$E34,1,Control!$B$10))^BY5*INDEX($B$13:$M$13,1,MOD(72-1,12)+1)</f>
        <v/>
      </c>
      <c r="BZ34" s="34">
        <f>($B34/12)*(1+INDEX($C34:$E34,1,Control!$B$10))^BZ5*INDEX($B$13:$M$13,1,MOD(73-1,12)+1)</f>
        <v/>
      </c>
      <c r="CA34" s="34">
        <f>($B34/12)*(1+INDEX($C34:$E34,1,Control!$B$10))^CA5*INDEX($B$13:$M$13,1,MOD(74-1,12)+1)</f>
        <v/>
      </c>
      <c r="CB34" s="34">
        <f>($B34/12)*(1+INDEX($C34:$E34,1,Control!$B$10))^CB5*INDEX($B$13:$M$13,1,MOD(75-1,12)+1)</f>
        <v/>
      </c>
      <c r="CC34" s="34">
        <f>($B34/12)*(1+INDEX($C34:$E34,1,Control!$B$10))^CC5*INDEX($B$13:$M$13,1,MOD(76-1,12)+1)</f>
        <v/>
      </c>
      <c r="CD34" s="34">
        <f>($B34/12)*(1+INDEX($C34:$E34,1,Control!$B$10))^CD5*INDEX($B$13:$M$13,1,MOD(77-1,12)+1)</f>
        <v/>
      </c>
      <c r="CE34" s="34">
        <f>($B34/12)*(1+INDEX($C34:$E34,1,Control!$B$10))^CE5*INDEX($B$13:$M$13,1,MOD(78-1,12)+1)</f>
        <v/>
      </c>
      <c r="CF34" s="34">
        <f>($B34/12)*(1+INDEX($C34:$E34,1,Control!$B$10))^CF5*INDEX($B$13:$M$13,1,MOD(79-1,12)+1)</f>
        <v/>
      </c>
      <c r="CG34" s="34">
        <f>($B34/12)*(1+INDEX($C34:$E34,1,Control!$B$10))^CG5*INDEX($B$13:$M$13,1,MOD(80-1,12)+1)</f>
        <v/>
      </c>
      <c r="CH34" s="34">
        <f>($B34/12)*(1+INDEX($C34:$E34,1,Control!$B$10))^CH5*INDEX($B$13:$M$13,1,MOD(81-1,12)+1)</f>
        <v/>
      </c>
      <c r="CI34" s="34">
        <f>($B34/12)*(1+INDEX($C34:$E34,1,Control!$B$10))^CI5*INDEX($B$13:$M$13,1,MOD(82-1,12)+1)</f>
        <v/>
      </c>
      <c r="CJ34" s="34">
        <f>($B34/12)*(1+INDEX($C34:$E34,1,Control!$B$10))^CJ5*INDEX($B$13:$M$13,1,MOD(83-1,12)+1)</f>
        <v/>
      </c>
      <c r="CK34" s="34">
        <f>($B34/12)*(1+INDEX($C34:$E34,1,Control!$B$10))^CK5*INDEX($B$13:$M$13,1,MOD(84-1,12)+1)</f>
        <v/>
      </c>
      <c r="CL34" s="34">
        <f>($B34/12)*(1+INDEX($C34:$E34,1,Control!$B$10))^CL5*INDEX($B$13:$M$13,1,MOD(85-1,12)+1)</f>
        <v/>
      </c>
      <c r="CM34" s="34">
        <f>($B34/12)*(1+INDEX($C34:$E34,1,Control!$B$10))^CM5*INDEX($B$13:$M$13,1,MOD(86-1,12)+1)</f>
        <v/>
      </c>
      <c r="CN34" s="34">
        <f>($B34/12)*(1+INDEX($C34:$E34,1,Control!$B$10))^CN5*INDEX($B$13:$M$13,1,MOD(87-1,12)+1)</f>
        <v/>
      </c>
      <c r="CO34" s="34">
        <f>($B34/12)*(1+INDEX($C34:$E34,1,Control!$B$10))^CO5*INDEX($B$13:$M$13,1,MOD(88-1,12)+1)</f>
        <v/>
      </c>
      <c r="CP34" s="34">
        <f>($B34/12)*(1+INDEX($C34:$E34,1,Control!$B$10))^CP5*INDEX($B$13:$M$13,1,MOD(89-1,12)+1)</f>
        <v/>
      </c>
      <c r="CQ34" s="34">
        <f>($B34/12)*(1+INDEX($C34:$E34,1,Control!$B$10))^CQ5*INDEX($B$13:$M$13,1,MOD(90-1,12)+1)</f>
        <v/>
      </c>
      <c r="CR34" s="34">
        <f>($B34/12)*(1+INDEX($C34:$E34,1,Control!$B$10))^CR5*INDEX($B$13:$M$13,1,MOD(91-1,12)+1)</f>
        <v/>
      </c>
      <c r="CS34" s="34">
        <f>($B34/12)*(1+INDEX($C34:$E34,1,Control!$B$10))^CS5*INDEX($B$13:$M$13,1,MOD(92-1,12)+1)</f>
        <v/>
      </c>
      <c r="CT34" s="34">
        <f>($B34/12)*(1+INDEX($C34:$E34,1,Control!$B$10))^CT5*INDEX($B$13:$M$13,1,MOD(93-1,12)+1)</f>
        <v/>
      </c>
      <c r="CU34" s="34">
        <f>($B34/12)*(1+INDEX($C34:$E34,1,Control!$B$10))^CU5*INDEX($B$13:$M$13,1,MOD(94-1,12)+1)</f>
        <v/>
      </c>
      <c r="CV34" s="34">
        <f>($B34/12)*(1+INDEX($C34:$E34,1,Control!$B$10))^CV5*INDEX($B$13:$M$13,1,MOD(95-1,12)+1)</f>
        <v/>
      </c>
      <c r="CW34" s="34">
        <f>($B34/12)*(1+INDEX($C34:$E34,1,Control!$B$10))^CW5*INDEX($B$13:$M$13,1,MOD(96-1,12)+1)</f>
        <v/>
      </c>
      <c r="CX34" s="34">
        <f>($B34/12)*(1+INDEX($C34:$E34,1,Control!$B$10))^CX5*INDEX($B$13:$M$13,1,MOD(97-1,12)+1)</f>
        <v/>
      </c>
      <c r="CY34" s="34">
        <f>($B34/12)*(1+INDEX($C34:$E34,1,Control!$B$10))^CY5*INDEX($B$13:$M$13,1,MOD(98-1,12)+1)</f>
        <v/>
      </c>
      <c r="CZ34" s="34">
        <f>($B34/12)*(1+INDEX($C34:$E34,1,Control!$B$10))^CZ5*INDEX($B$13:$M$13,1,MOD(99-1,12)+1)</f>
        <v/>
      </c>
      <c r="DA34" s="34">
        <f>($B34/12)*(1+INDEX($C34:$E34,1,Control!$B$10))^DA5*INDEX($B$13:$M$13,1,MOD(100-1,12)+1)</f>
        <v/>
      </c>
      <c r="DB34" s="34">
        <f>($B34/12)*(1+INDEX($C34:$E34,1,Control!$B$10))^DB5*INDEX($B$13:$M$13,1,MOD(101-1,12)+1)</f>
        <v/>
      </c>
      <c r="DC34" s="34">
        <f>($B34/12)*(1+INDEX($C34:$E34,1,Control!$B$10))^DC5*INDEX($B$13:$M$13,1,MOD(102-1,12)+1)</f>
        <v/>
      </c>
      <c r="DD34" s="34">
        <f>($B34/12)*(1+INDEX($C34:$E34,1,Control!$B$10))^DD5*INDEX($B$13:$M$13,1,MOD(103-1,12)+1)</f>
        <v/>
      </c>
      <c r="DE34" s="34">
        <f>($B34/12)*(1+INDEX($C34:$E34,1,Control!$B$10))^DE5*INDEX($B$13:$M$13,1,MOD(104-1,12)+1)</f>
        <v/>
      </c>
      <c r="DF34" s="34">
        <f>($B34/12)*(1+INDEX($C34:$E34,1,Control!$B$10))^DF5*INDEX($B$13:$M$13,1,MOD(105-1,12)+1)</f>
        <v/>
      </c>
      <c r="DG34" s="34">
        <f>($B34/12)*(1+INDEX($C34:$E34,1,Control!$B$10))^DG5*INDEX($B$13:$M$13,1,MOD(106-1,12)+1)</f>
        <v/>
      </c>
      <c r="DH34" s="34">
        <f>($B34/12)*(1+INDEX($C34:$E34,1,Control!$B$10))^DH5*INDEX($B$13:$M$13,1,MOD(107-1,12)+1)</f>
        <v/>
      </c>
      <c r="DI34" s="34">
        <f>($B34/12)*(1+INDEX($C34:$E34,1,Control!$B$10))^DI5*INDEX($B$13:$M$13,1,MOD(108-1,12)+1)</f>
        <v/>
      </c>
      <c r="DJ34" s="34">
        <f>($B34/12)*(1+INDEX($C34:$E34,1,Control!$B$10))^DJ5*INDEX($B$13:$M$13,1,MOD(109-1,12)+1)</f>
        <v/>
      </c>
      <c r="DK34" s="34">
        <f>($B34/12)*(1+INDEX($C34:$E34,1,Control!$B$10))^DK5*INDEX($B$13:$M$13,1,MOD(110-1,12)+1)</f>
        <v/>
      </c>
      <c r="DL34" s="34">
        <f>($B34/12)*(1+INDEX($C34:$E34,1,Control!$B$10))^DL5*INDEX($B$13:$M$13,1,MOD(111-1,12)+1)</f>
        <v/>
      </c>
      <c r="DM34" s="34">
        <f>($B34/12)*(1+INDEX($C34:$E34,1,Control!$B$10))^DM5*INDEX($B$13:$M$13,1,MOD(112-1,12)+1)</f>
        <v/>
      </c>
      <c r="DN34" s="34">
        <f>($B34/12)*(1+INDEX($C34:$E34,1,Control!$B$10))^DN5*INDEX($B$13:$M$13,1,MOD(113-1,12)+1)</f>
        <v/>
      </c>
      <c r="DO34" s="34">
        <f>($B34/12)*(1+INDEX($C34:$E34,1,Control!$B$10))^DO5*INDEX($B$13:$M$13,1,MOD(114-1,12)+1)</f>
        <v/>
      </c>
      <c r="DP34" s="34">
        <f>($B34/12)*(1+INDEX($C34:$E34,1,Control!$B$10))^DP5*INDEX($B$13:$M$13,1,MOD(115-1,12)+1)</f>
        <v/>
      </c>
      <c r="DQ34" s="34">
        <f>($B34/12)*(1+INDEX($C34:$E34,1,Control!$B$10))^DQ5*INDEX($B$13:$M$13,1,MOD(116-1,12)+1)</f>
        <v/>
      </c>
      <c r="DR34" s="34">
        <f>($B34/12)*(1+INDEX($C34:$E34,1,Control!$B$10))^DR5*INDEX($B$13:$M$13,1,MOD(117-1,12)+1)</f>
        <v/>
      </c>
      <c r="DS34" s="34">
        <f>($B34/12)*(1+INDEX($C34:$E34,1,Control!$B$10))^DS5*INDEX($B$13:$M$13,1,MOD(118-1,12)+1)</f>
        <v/>
      </c>
      <c r="DT34" s="34">
        <f>($B34/12)*(1+INDEX($C34:$E34,1,Control!$B$10))^DT5*INDEX($B$13:$M$13,1,MOD(119-1,12)+1)</f>
        <v/>
      </c>
      <c r="DU34" s="34">
        <f>($B34/12)*(1+INDEX($C34:$E34,1,Control!$B$10))^DU5*INDEX($B$13:$M$13,1,MOD(120-1,12)+1)</f>
        <v/>
      </c>
    </row>
    <row r="35">
      <c r="A35" t="inlineStr">
        <is>
          <t>GoldCoast-Kegs-OnTrade</t>
        </is>
      </c>
      <c r="B35" s="33" t="n">
        <v>25000</v>
      </c>
      <c r="C35" s="22" t="n">
        <v>0.04</v>
      </c>
      <c r="D35" s="22" t="n">
        <v>0.06</v>
      </c>
      <c r="E35" s="22" t="n">
        <v>0.02</v>
      </c>
      <c r="F35" s="34">
        <f>($B35/12)*(1+INDEX($C35:$E35,1,Control!$B$10))^F5*INDEX($B$13:$M$13,1,MOD(1-1,12)+1)</f>
        <v/>
      </c>
      <c r="G35" s="34">
        <f>($B35/12)*(1+INDEX($C35:$E35,1,Control!$B$10))^G5*INDEX($B$13:$M$13,1,MOD(2-1,12)+1)</f>
        <v/>
      </c>
      <c r="H35" s="34">
        <f>($B35/12)*(1+INDEX($C35:$E35,1,Control!$B$10))^H5*INDEX($B$13:$M$13,1,MOD(3-1,12)+1)</f>
        <v/>
      </c>
      <c r="I35" s="34">
        <f>($B35/12)*(1+INDEX($C35:$E35,1,Control!$B$10))^I5*INDEX($B$13:$M$13,1,MOD(4-1,12)+1)</f>
        <v/>
      </c>
      <c r="J35" s="34">
        <f>($B35/12)*(1+INDEX($C35:$E35,1,Control!$B$10))^J5*INDEX($B$13:$M$13,1,MOD(5-1,12)+1)</f>
        <v/>
      </c>
      <c r="K35" s="34">
        <f>($B35/12)*(1+INDEX($C35:$E35,1,Control!$B$10))^K5*INDEX($B$13:$M$13,1,MOD(6-1,12)+1)</f>
        <v/>
      </c>
      <c r="L35" s="34">
        <f>($B35/12)*(1+INDEX($C35:$E35,1,Control!$B$10))^L5*INDEX($B$13:$M$13,1,MOD(7-1,12)+1)</f>
        <v/>
      </c>
      <c r="M35" s="34">
        <f>($B35/12)*(1+INDEX($C35:$E35,1,Control!$B$10))^M5*INDEX($B$13:$M$13,1,MOD(8-1,12)+1)</f>
        <v/>
      </c>
      <c r="N35" s="34">
        <f>($B35/12)*(1+INDEX($C35:$E35,1,Control!$B$10))^N5*INDEX($B$13:$M$13,1,MOD(9-1,12)+1)</f>
        <v/>
      </c>
      <c r="O35" s="34">
        <f>($B35/12)*(1+INDEX($C35:$E35,1,Control!$B$10))^O5*INDEX($B$13:$M$13,1,MOD(10-1,12)+1)</f>
        <v/>
      </c>
      <c r="P35" s="34">
        <f>($B35/12)*(1+INDEX($C35:$E35,1,Control!$B$10))^P5*INDEX($B$13:$M$13,1,MOD(11-1,12)+1)</f>
        <v/>
      </c>
      <c r="Q35" s="34">
        <f>($B35/12)*(1+INDEX($C35:$E35,1,Control!$B$10))^Q5*INDEX($B$13:$M$13,1,MOD(12-1,12)+1)</f>
        <v/>
      </c>
      <c r="R35" s="34">
        <f>($B35/12)*(1+INDEX($C35:$E35,1,Control!$B$10))^R5*INDEX($B$13:$M$13,1,MOD(13-1,12)+1)</f>
        <v/>
      </c>
      <c r="S35" s="34">
        <f>($B35/12)*(1+INDEX($C35:$E35,1,Control!$B$10))^S5*INDEX($B$13:$M$13,1,MOD(14-1,12)+1)</f>
        <v/>
      </c>
      <c r="T35" s="34">
        <f>($B35/12)*(1+INDEX($C35:$E35,1,Control!$B$10))^T5*INDEX($B$13:$M$13,1,MOD(15-1,12)+1)</f>
        <v/>
      </c>
      <c r="U35" s="34">
        <f>($B35/12)*(1+INDEX($C35:$E35,1,Control!$B$10))^U5*INDEX($B$13:$M$13,1,MOD(16-1,12)+1)</f>
        <v/>
      </c>
      <c r="V35" s="34">
        <f>($B35/12)*(1+INDEX($C35:$E35,1,Control!$B$10))^V5*INDEX($B$13:$M$13,1,MOD(17-1,12)+1)</f>
        <v/>
      </c>
      <c r="W35" s="34">
        <f>($B35/12)*(1+INDEX($C35:$E35,1,Control!$B$10))^W5*INDEX($B$13:$M$13,1,MOD(18-1,12)+1)</f>
        <v/>
      </c>
      <c r="X35" s="34">
        <f>($B35/12)*(1+INDEX($C35:$E35,1,Control!$B$10))^X5*INDEX($B$13:$M$13,1,MOD(19-1,12)+1)</f>
        <v/>
      </c>
      <c r="Y35" s="34">
        <f>($B35/12)*(1+INDEX($C35:$E35,1,Control!$B$10))^Y5*INDEX($B$13:$M$13,1,MOD(20-1,12)+1)</f>
        <v/>
      </c>
      <c r="Z35" s="34">
        <f>($B35/12)*(1+INDEX($C35:$E35,1,Control!$B$10))^Z5*INDEX($B$13:$M$13,1,MOD(21-1,12)+1)</f>
        <v/>
      </c>
      <c r="AA35" s="34">
        <f>($B35/12)*(1+INDEX($C35:$E35,1,Control!$B$10))^AA5*INDEX($B$13:$M$13,1,MOD(22-1,12)+1)</f>
        <v/>
      </c>
      <c r="AB35" s="34">
        <f>($B35/12)*(1+INDEX($C35:$E35,1,Control!$B$10))^AB5*INDEX($B$13:$M$13,1,MOD(23-1,12)+1)</f>
        <v/>
      </c>
      <c r="AC35" s="34">
        <f>($B35/12)*(1+INDEX($C35:$E35,1,Control!$B$10))^AC5*INDEX($B$13:$M$13,1,MOD(24-1,12)+1)</f>
        <v/>
      </c>
      <c r="AD35" s="34">
        <f>($B35/12)*(1+INDEX($C35:$E35,1,Control!$B$10))^AD5*INDEX($B$13:$M$13,1,MOD(25-1,12)+1)</f>
        <v/>
      </c>
      <c r="AE35" s="34">
        <f>($B35/12)*(1+INDEX($C35:$E35,1,Control!$B$10))^AE5*INDEX($B$13:$M$13,1,MOD(26-1,12)+1)</f>
        <v/>
      </c>
      <c r="AF35" s="34">
        <f>($B35/12)*(1+INDEX($C35:$E35,1,Control!$B$10))^AF5*INDEX($B$13:$M$13,1,MOD(27-1,12)+1)</f>
        <v/>
      </c>
      <c r="AG35" s="34">
        <f>($B35/12)*(1+INDEX($C35:$E35,1,Control!$B$10))^AG5*INDEX($B$13:$M$13,1,MOD(28-1,12)+1)</f>
        <v/>
      </c>
      <c r="AH35" s="34">
        <f>($B35/12)*(1+INDEX($C35:$E35,1,Control!$B$10))^AH5*INDEX($B$13:$M$13,1,MOD(29-1,12)+1)</f>
        <v/>
      </c>
      <c r="AI35" s="34">
        <f>($B35/12)*(1+INDEX($C35:$E35,1,Control!$B$10))^AI5*INDEX($B$13:$M$13,1,MOD(30-1,12)+1)</f>
        <v/>
      </c>
      <c r="AJ35" s="34">
        <f>($B35/12)*(1+INDEX($C35:$E35,1,Control!$B$10))^AJ5*INDEX($B$13:$M$13,1,MOD(31-1,12)+1)</f>
        <v/>
      </c>
      <c r="AK35" s="34">
        <f>($B35/12)*(1+INDEX($C35:$E35,1,Control!$B$10))^AK5*INDEX($B$13:$M$13,1,MOD(32-1,12)+1)</f>
        <v/>
      </c>
      <c r="AL35" s="34">
        <f>($B35/12)*(1+INDEX($C35:$E35,1,Control!$B$10))^AL5*INDEX($B$13:$M$13,1,MOD(33-1,12)+1)</f>
        <v/>
      </c>
      <c r="AM35" s="34">
        <f>($B35/12)*(1+INDEX($C35:$E35,1,Control!$B$10))^AM5*INDEX($B$13:$M$13,1,MOD(34-1,12)+1)</f>
        <v/>
      </c>
      <c r="AN35" s="34">
        <f>($B35/12)*(1+INDEX($C35:$E35,1,Control!$B$10))^AN5*INDEX($B$13:$M$13,1,MOD(35-1,12)+1)</f>
        <v/>
      </c>
      <c r="AO35" s="34">
        <f>($B35/12)*(1+INDEX($C35:$E35,1,Control!$B$10))^AO5*INDEX($B$13:$M$13,1,MOD(36-1,12)+1)</f>
        <v/>
      </c>
      <c r="AP35" s="34">
        <f>($B35/12)*(1+INDEX($C35:$E35,1,Control!$B$10))^AP5*INDEX($B$13:$M$13,1,MOD(37-1,12)+1)</f>
        <v/>
      </c>
      <c r="AQ35" s="34">
        <f>($B35/12)*(1+INDEX($C35:$E35,1,Control!$B$10))^AQ5*INDEX($B$13:$M$13,1,MOD(38-1,12)+1)</f>
        <v/>
      </c>
      <c r="AR35" s="34">
        <f>($B35/12)*(1+INDEX($C35:$E35,1,Control!$B$10))^AR5*INDEX($B$13:$M$13,1,MOD(39-1,12)+1)</f>
        <v/>
      </c>
      <c r="AS35" s="34">
        <f>($B35/12)*(1+INDEX($C35:$E35,1,Control!$B$10))^AS5*INDEX($B$13:$M$13,1,MOD(40-1,12)+1)</f>
        <v/>
      </c>
      <c r="AT35" s="34">
        <f>($B35/12)*(1+INDEX($C35:$E35,1,Control!$B$10))^AT5*INDEX($B$13:$M$13,1,MOD(41-1,12)+1)</f>
        <v/>
      </c>
      <c r="AU35" s="34">
        <f>($B35/12)*(1+INDEX($C35:$E35,1,Control!$B$10))^AU5*INDEX($B$13:$M$13,1,MOD(42-1,12)+1)</f>
        <v/>
      </c>
      <c r="AV35" s="34">
        <f>($B35/12)*(1+INDEX($C35:$E35,1,Control!$B$10))^AV5*INDEX($B$13:$M$13,1,MOD(43-1,12)+1)</f>
        <v/>
      </c>
      <c r="AW35" s="34">
        <f>($B35/12)*(1+INDEX($C35:$E35,1,Control!$B$10))^AW5*INDEX($B$13:$M$13,1,MOD(44-1,12)+1)</f>
        <v/>
      </c>
      <c r="AX35" s="34">
        <f>($B35/12)*(1+INDEX($C35:$E35,1,Control!$B$10))^AX5*INDEX($B$13:$M$13,1,MOD(45-1,12)+1)</f>
        <v/>
      </c>
      <c r="AY35" s="34">
        <f>($B35/12)*(1+INDEX($C35:$E35,1,Control!$B$10))^AY5*INDEX($B$13:$M$13,1,MOD(46-1,12)+1)</f>
        <v/>
      </c>
      <c r="AZ35" s="34">
        <f>($B35/12)*(1+INDEX($C35:$E35,1,Control!$B$10))^AZ5*INDEX($B$13:$M$13,1,MOD(47-1,12)+1)</f>
        <v/>
      </c>
      <c r="BA35" s="34">
        <f>($B35/12)*(1+INDEX($C35:$E35,1,Control!$B$10))^BA5*INDEX($B$13:$M$13,1,MOD(48-1,12)+1)</f>
        <v/>
      </c>
      <c r="BB35" s="34">
        <f>($B35/12)*(1+INDEX($C35:$E35,1,Control!$B$10))^BB5*INDEX($B$13:$M$13,1,MOD(49-1,12)+1)</f>
        <v/>
      </c>
      <c r="BC35" s="34">
        <f>($B35/12)*(1+INDEX($C35:$E35,1,Control!$B$10))^BC5*INDEX($B$13:$M$13,1,MOD(50-1,12)+1)</f>
        <v/>
      </c>
      <c r="BD35" s="34">
        <f>($B35/12)*(1+INDEX($C35:$E35,1,Control!$B$10))^BD5*INDEX($B$13:$M$13,1,MOD(51-1,12)+1)</f>
        <v/>
      </c>
      <c r="BE35" s="34">
        <f>($B35/12)*(1+INDEX($C35:$E35,1,Control!$B$10))^BE5*INDEX($B$13:$M$13,1,MOD(52-1,12)+1)</f>
        <v/>
      </c>
      <c r="BF35" s="34">
        <f>($B35/12)*(1+INDEX($C35:$E35,1,Control!$B$10))^BF5*INDEX($B$13:$M$13,1,MOD(53-1,12)+1)</f>
        <v/>
      </c>
      <c r="BG35" s="34">
        <f>($B35/12)*(1+INDEX($C35:$E35,1,Control!$B$10))^BG5*INDEX($B$13:$M$13,1,MOD(54-1,12)+1)</f>
        <v/>
      </c>
      <c r="BH35" s="34">
        <f>($B35/12)*(1+INDEX($C35:$E35,1,Control!$B$10))^BH5*INDEX($B$13:$M$13,1,MOD(55-1,12)+1)</f>
        <v/>
      </c>
      <c r="BI35" s="34">
        <f>($B35/12)*(1+INDEX($C35:$E35,1,Control!$B$10))^BI5*INDEX($B$13:$M$13,1,MOD(56-1,12)+1)</f>
        <v/>
      </c>
      <c r="BJ35" s="34">
        <f>($B35/12)*(1+INDEX($C35:$E35,1,Control!$B$10))^BJ5*INDEX($B$13:$M$13,1,MOD(57-1,12)+1)</f>
        <v/>
      </c>
      <c r="BK35" s="34">
        <f>($B35/12)*(1+INDEX($C35:$E35,1,Control!$B$10))^BK5*INDEX($B$13:$M$13,1,MOD(58-1,12)+1)</f>
        <v/>
      </c>
      <c r="BL35" s="34">
        <f>($B35/12)*(1+INDEX($C35:$E35,1,Control!$B$10))^BL5*INDEX($B$13:$M$13,1,MOD(59-1,12)+1)</f>
        <v/>
      </c>
      <c r="BM35" s="34">
        <f>($B35/12)*(1+INDEX($C35:$E35,1,Control!$B$10))^BM5*INDEX($B$13:$M$13,1,MOD(60-1,12)+1)</f>
        <v/>
      </c>
      <c r="BN35" s="34">
        <f>($B35/12)*(1+INDEX($C35:$E35,1,Control!$B$10))^BN5*INDEX($B$13:$M$13,1,MOD(61-1,12)+1)</f>
        <v/>
      </c>
      <c r="BO35" s="34">
        <f>($B35/12)*(1+INDEX($C35:$E35,1,Control!$B$10))^BO5*INDEX($B$13:$M$13,1,MOD(62-1,12)+1)</f>
        <v/>
      </c>
      <c r="BP35" s="34">
        <f>($B35/12)*(1+INDEX($C35:$E35,1,Control!$B$10))^BP5*INDEX($B$13:$M$13,1,MOD(63-1,12)+1)</f>
        <v/>
      </c>
      <c r="BQ35" s="34">
        <f>($B35/12)*(1+INDEX($C35:$E35,1,Control!$B$10))^BQ5*INDEX($B$13:$M$13,1,MOD(64-1,12)+1)</f>
        <v/>
      </c>
      <c r="BR35" s="34">
        <f>($B35/12)*(1+INDEX($C35:$E35,1,Control!$B$10))^BR5*INDEX($B$13:$M$13,1,MOD(65-1,12)+1)</f>
        <v/>
      </c>
      <c r="BS35" s="34">
        <f>($B35/12)*(1+INDEX($C35:$E35,1,Control!$B$10))^BS5*INDEX($B$13:$M$13,1,MOD(66-1,12)+1)</f>
        <v/>
      </c>
      <c r="BT35" s="34">
        <f>($B35/12)*(1+INDEX($C35:$E35,1,Control!$B$10))^BT5*INDEX($B$13:$M$13,1,MOD(67-1,12)+1)</f>
        <v/>
      </c>
      <c r="BU35" s="34">
        <f>($B35/12)*(1+INDEX($C35:$E35,1,Control!$B$10))^BU5*INDEX($B$13:$M$13,1,MOD(68-1,12)+1)</f>
        <v/>
      </c>
      <c r="BV35" s="34">
        <f>($B35/12)*(1+INDEX($C35:$E35,1,Control!$B$10))^BV5*INDEX($B$13:$M$13,1,MOD(69-1,12)+1)</f>
        <v/>
      </c>
      <c r="BW35" s="34">
        <f>($B35/12)*(1+INDEX($C35:$E35,1,Control!$B$10))^BW5*INDEX($B$13:$M$13,1,MOD(70-1,12)+1)</f>
        <v/>
      </c>
      <c r="BX35" s="34">
        <f>($B35/12)*(1+INDEX($C35:$E35,1,Control!$B$10))^BX5*INDEX($B$13:$M$13,1,MOD(71-1,12)+1)</f>
        <v/>
      </c>
      <c r="BY35" s="34">
        <f>($B35/12)*(1+INDEX($C35:$E35,1,Control!$B$10))^BY5*INDEX($B$13:$M$13,1,MOD(72-1,12)+1)</f>
        <v/>
      </c>
      <c r="BZ35" s="34">
        <f>($B35/12)*(1+INDEX($C35:$E35,1,Control!$B$10))^BZ5*INDEX($B$13:$M$13,1,MOD(73-1,12)+1)</f>
        <v/>
      </c>
      <c r="CA35" s="34">
        <f>($B35/12)*(1+INDEX($C35:$E35,1,Control!$B$10))^CA5*INDEX($B$13:$M$13,1,MOD(74-1,12)+1)</f>
        <v/>
      </c>
      <c r="CB35" s="34">
        <f>($B35/12)*(1+INDEX($C35:$E35,1,Control!$B$10))^CB5*INDEX($B$13:$M$13,1,MOD(75-1,12)+1)</f>
        <v/>
      </c>
      <c r="CC35" s="34">
        <f>($B35/12)*(1+INDEX($C35:$E35,1,Control!$B$10))^CC5*INDEX($B$13:$M$13,1,MOD(76-1,12)+1)</f>
        <v/>
      </c>
      <c r="CD35" s="34">
        <f>($B35/12)*(1+INDEX($C35:$E35,1,Control!$B$10))^CD5*INDEX($B$13:$M$13,1,MOD(77-1,12)+1)</f>
        <v/>
      </c>
      <c r="CE35" s="34">
        <f>($B35/12)*(1+INDEX($C35:$E35,1,Control!$B$10))^CE5*INDEX($B$13:$M$13,1,MOD(78-1,12)+1)</f>
        <v/>
      </c>
      <c r="CF35" s="34">
        <f>($B35/12)*(1+INDEX($C35:$E35,1,Control!$B$10))^CF5*INDEX($B$13:$M$13,1,MOD(79-1,12)+1)</f>
        <v/>
      </c>
      <c r="CG35" s="34">
        <f>($B35/12)*(1+INDEX($C35:$E35,1,Control!$B$10))^CG5*INDEX($B$13:$M$13,1,MOD(80-1,12)+1)</f>
        <v/>
      </c>
      <c r="CH35" s="34">
        <f>($B35/12)*(1+INDEX($C35:$E35,1,Control!$B$10))^CH5*INDEX($B$13:$M$13,1,MOD(81-1,12)+1)</f>
        <v/>
      </c>
      <c r="CI35" s="34">
        <f>($B35/12)*(1+INDEX($C35:$E35,1,Control!$B$10))^CI5*INDEX($B$13:$M$13,1,MOD(82-1,12)+1)</f>
        <v/>
      </c>
      <c r="CJ35" s="34">
        <f>($B35/12)*(1+INDEX($C35:$E35,1,Control!$B$10))^CJ5*INDEX($B$13:$M$13,1,MOD(83-1,12)+1)</f>
        <v/>
      </c>
      <c r="CK35" s="34">
        <f>($B35/12)*(1+INDEX($C35:$E35,1,Control!$B$10))^CK5*INDEX($B$13:$M$13,1,MOD(84-1,12)+1)</f>
        <v/>
      </c>
      <c r="CL35" s="34">
        <f>($B35/12)*(1+INDEX($C35:$E35,1,Control!$B$10))^CL5*INDEX($B$13:$M$13,1,MOD(85-1,12)+1)</f>
        <v/>
      </c>
      <c r="CM35" s="34">
        <f>($B35/12)*(1+INDEX($C35:$E35,1,Control!$B$10))^CM5*INDEX($B$13:$M$13,1,MOD(86-1,12)+1)</f>
        <v/>
      </c>
      <c r="CN35" s="34">
        <f>($B35/12)*(1+INDEX($C35:$E35,1,Control!$B$10))^CN5*INDEX($B$13:$M$13,1,MOD(87-1,12)+1)</f>
        <v/>
      </c>
      <c r="CO35" s="34">
        <f>($B35/12)*(1+INDEX($C35:$E35,1,Control!$B$10))^CO5*INDEX($B$13:$M$13,1,MOD(88-1,12)+1)</f>
        <v/>
      </c>
      <c r="CP35" s="34">
        <f>($B35/12)*(1+INDEX($C35:$E35,1,Control!$B$10))^CP5*INDEX($B$13:$M$13,1,MOD(89-1,12)+1)</f>
        <v/>
      </c>
      <c r="CQ35" s="34">
        <f>($B35/12)*(1+INDEX($C35:$E35,1,Control!$B$10))^CQ5*INDEX($B$13:$M$13,1,MOD(90-1,12)+1)</f>
        <v/>
      </c>
      <c r="CR35" s="34">
        <f>($B35/12)*(1+INDEX($C35:$E35,1,Control!$B$10))^CR5*INDEX($B$13:$M$13,1,MOD(91-1,12)+1)</f>
        <v/>
      </c>
      <c r="CS35" s="34">
        <f>($B35/12)*(1+INDEX($C35:$E35,1,Control!$B$10))^CS5*INDEX($B$13:$M$13,1,MOD(92-1,12)+1)</f>
        <v/>
      </c>
      <c r="CT35" s="34">
        <f>($B35/12)*(1+INDEX($C35:$E35,1,Control!$B$10))^CT5*INDEX($B$13:$M$13,1,MOD(93-1,12)+1)</f>
        <v/>
      </c>
      <c r="CU35" s="34">
        <f>($B35/12)*(1+INDEX($C35:$E35,1,Control!$B$10))^CU5*INDEX($B$13:$M$13,1,MOD(94-1,12)+1)</f>
        <v/>
      </c>
      <c r="CV35" s="34">
        <f>($B35/12)*(1+INDEX($C35:$E35,1,Control!$B$10))^CV5*INDEX($B$13:$M$13,1,MOD(95-1,12)+1)</f>
        <v/>
      </c>
      <c r="CW35" s="34">
        <f>($B35/12)*(1+INDEX($C35:$E35,1,Control!$B$10))^CW5*INDEX($B$13:$M$13,1,MOD(96-1,12)+1)</f>
        <v/>
      </c>
      <c r="CX35" s="34">
        <f>($B35/12)*(1+INDEX($C35:$E35,1,Control!$B$10))^CX5*INDEX($B$13:$M$13,1,MOD(97-1,12)+1)</f>
        <v/>
      </c>
      <c r="CY35" s="34">
        <f>($B35/12)*(1+INDEX($C35:$E35,1,Control!$B$10))^CY5*INDEX($B$13:$M$13,1,MOD(98-1,12)+1)</f>
        <v/>
      </c>
      <c r="CZ35" s="34">
        <f>($B35/12)*(1+INDEX($C35:$E35,1,Control!$B$10))^CZ5*INDEX($B$13:$M$13,1,MOD(99-1,12)+1)</f>
        <v/>
      </c>
      <c r="DA35" s="34">
        <f>($B35/12)*(1+INDEX($C35:$E35,1,Control!$B$10))^DA5*INDEX($B$13:$M$13,1,MOD(100-1,12)+1)</f>
        <v/>
      </c>
      <c r="DB35" s="34">
        <f>($B35/12)*(1+INDEX($C35:$E35,1,Control!$B$10))^DB5*INDEX($B$13:$M$13,1,MOD(101-1,12)+1)</f>
        <v/>
      </c>
      <c r="DC35" s="34">
        <f>($B35/12)*(1+INDEX($C35:$E35,1,Control!$B$10))^DC5*INDEX($B$13:$M$13,1,MOD(102-1,12)+1)</f>
        <v/>
      </c>
      <c r="DD35" s="34">
        <f>($B35/12)*(1+INDEX($C35:$E35,1,Control!$B$10))^DD5*INDEX($B$13:$M$13,1,MOD(103-1,12)+1)</f>
        <v/>
      </c>
      <c r="DE35" s="34">
        <f>($B35/12)*(1+INDEX($C35:$E35,1,Control!$B$10))^DE5*INDEX($B$13:$M$13,1,MOD(104-1,12)+1)</f>
        <v/>
      </c>
      <c r="DF35" s="34">
        <f>($B35/12)*(1+INDEX($C35:$E35,1,Control!$B$10))^DF5*INDEX($B$13:$M$13,1,MOD(105-1,12)+1)</f>
        <v/>
      </c>
      <c r="DG35" s="34">
        <f>($B35/12)*(1+INDEX($C35:$E35,1,Control!$B$10))^DG5*INDEX($B$13:$M$13,1,MOD(106-1,12)+1)</f>
        <v/>
      </c>
      <c r="DH35" s="34">
        <f>($B35/12)*(1+INDEX($C35:$E35,1,Control!$B$10))^DH5*INDEX($B$13:$M$13,1,MOD(107-1,12)+1)</f>
        <v/>
      </c>
      <c r="DI35" s="34">
        <f>($B35/12)*(1+INDEX($C35:$E35,1,Control!$B$10))^DI5*INDEX($B$13:$M$13,1,MOD(108-1,12)+1)</f>
        <v/>
      </c>
      <c r="DJ35" s="34">
        <f>($B35/12)*(1+INDEX($C35:$E35,1,Control!$B$10))^DJ5*INDEX($B$13:$M$13,1,MOD(109-1,12)+1)</f>
        <v/>
      </c>
      <c r="DK35" s="34">
        <f>($B35/12)*(1+INDEX($C35:$E35,1,Control!$B$10))^DK5*INDEX($B$13:$M$13,1,MOD(110-1,12)+1)</f>
        <v/>
      </c>
      <c r="DL35" s="34">
        <f>($B35/12)*(1+INDEX($C35:$E35,1,Control!$B$10))^DL5*INDEX($B$13:$M$13,1,MOD(111-1,12)+1)</f>
        <v/>
      </c>
      <c r="DM35" s="34">
        <f>($B35/12)*(1+INDEX($C35:$E35,1,Control!$B$10))^DM5*INDEX($B$13:$M$13,1,MOD(112-1,12)+1)</f>
        <v/>
      </c>
      <c r="DN35" s="34">
        <f>($B35/12)*(1+INDEX($C35:$E35,1,Control!$B$10))^DN5*INDEX($B$13:$M$13,1,MOD(113-1,12)+1)</f>
        <v/>
      </c>
      <c r="DO35" s="34">
        <f>($B35/12)*(1+INDEX($C35:$E35,1,Control!$B$10))^DO5*INDEX($B$13:$M$13,1,MOD(114-1,12)+1)</f>
        <v/>
      </c>
      <c r="DP35" s="34">
        <f>($B35/12)*(1+INDEX($C35:$E35,1,Control!$B$10))^DP5*INDEX($B$13:$M$13,1,MOD(115-1,12)+1)</f>
        <v/>
      </c>
      <c r="DQ35" s="34">
        <f>($B35/12)*(1+INDEX($C35:$E35,1,Control!$B$10))^DQ5*INDEX($B$13:$M$13,1,MOD(116-1,12)+1)</f>
        <v/>
      </c>
      <c r="DR35" s="34">
        <f>($B35/12)*(1+INDEX($C35:$E35,1,Control!$B$10))^DR5*INDEX($B$13:$M$13,1,MOD(117-1,12)+1)</f>
        <v/>
      </c>
      <c r="DS35" s="34">
        <f>($B35/12)*(1+INDEX($C35:$E35,1,Control!$B$10))^DS5*INDEX($B$13:$M$13,1,MOD(118-1,12)+1)</f>
        <v/>
      </c>
      <c r="DT35" s="34">
        <f>($B35/12)*(1+INDEX($C35:$E35,1,Control!$B$10))^DT5*INDEX($B$13:$M$13,1,MOD(119-1,12)+1)</f>
        <v/>
      </c>
      <c r="DU35" s="34">
        <f>($B35/12)*(1+INDEX($C35:$E35,1,Control!$B$10))^DU5*INDEX($B$13:$M$13,1,MOD(120-1,12)+1)</f>
        <v/>
      </c>
    </row>
    <row r="36">
      <c r="A36" t="inlineStr">
        <is>
          <t>GoldCoast-Kegs-OffTrade</t>
        </is>
      </c>
      <c r="B36" s="33" t="n">
        <v>0</v>
      </c>
      <c r="C36" s="22" t="n">
        <v>0.04</v>
      </c>
      <c r="D36" s="22" t="n">
        <v>0.06</v>
      </c>
      <c r="E36" s="22" t="n">
        <v>0.02</v>
      </c>
      <c r="F36" s="34">
        <f>($B36/12)*(1+INDEX($C36:$E36,1,Control!$B$10))^F5*INDEX($B$13:$M$13,1,MOD(1-1,12)+1)</f>
        <v/>
      </c>
      <c r="G36" s="34">
        <f>($B36/12)*(1+INDEX($C36:$E36,1,Control!$B$10))^G5*INDEX($B$13:$M$13,1,MOD(2-1,12)+1)</f>
        <v/>
      </c>
      <c r="H36" s="34">
        <f>($B36/12)*(1+INDEX($C36:$E36,1,Control!$B$10))^H5*INDEX($B$13:$M$13,1,MOD(3-1,12)+1)</f>
        <v/>
      </c>
      <c r="I36" s="34">
        <f>($B36/12)*(1+INDEX($C36:$E36,1,Control!$B$10))^I5*INDEX($B$13:$M$13,1,MOD(4-1,12)+1)</f>
        <v/>
      </c>
      <c r="J36" s="34">
        <f>($B36/12)*(1+INDEX($C36:$E36,1,Control!$B$10))^J5*INDEX($B$13:$M$13,1,MOD(5-1,12)+1)</f>
        <v/>
      </c>
      <c r="K36" s="34">
        <f>($B36/12)*(1+INDEX($C36:$E36,1,Control!$B$10))^K5*INDEX($B$13:$M$13,1,MOD(6-1,12)+1)</f>
        <v/>
      </c>
      <c r="L36" s="34">
        <f>($B36/12)*(1+INDEX($C36:$E36,1,Control!$B$10))^L5*INDEX($B$13:$M$13,1,MOD(7-1,12)+1)</f>
        <v/>
      </c>
      <c r="M36" s="34">
        <f>($B36/12)*(1+INDEX($C36:$E36,1,Control!$B$10))^M5*INDEX($B$13:$M$13,1,MOD(8-1,12)+1)</f>
        <v/>
      </c>
      <c r="N36" s="34">
        <f>($B36/12)*(1+INDEX($C36:$E36,1,Control!$B$10))^N5*INDEX($B$13:$M$13,1,MOD(9-1,12)+1)</f>
        <v/>
      </c>
      <c r="O36" s="34">
        <f>($B36/12)*(1+INDEX($C36:$E36,1,Control!$B$10))^O5*INDEX($B$13:$M$13,1,MOD(10-1,12)+1)</f>
        <v/>
      </c>
      <c r="P36" s="34">
        <f>($B36/12)*(1+INDEX($C36:$E36,1,Control!$B$10))^P5*INDEX($B$13:$M$13,1,MOD(11-1,12)+1)</f>
        <v/>
      </c>
      <c r="Q36" s="34">
        <f>($B36/12)*(1+INDEX($C36:$E36,1,Control!$B$10))^Q5*INDEX($B$13:$M$13,1,MOD(12-1,12)+1)</f>
        <v/>
      </c>
      <c r="R36" s="34">
        <f>($B36/12)*(1+INDEX($C36:$E36,1,Control!$B$10))^R5*INDEX($B$13:$M$13,1,MOD(13-1,12)+1)</f>
        <v/>
      </c>
      <c r="S36" s="34">
        <f>($B36/12)*(1+INDEX($C36:$E36,1,Control!$B$10))^S5*INDEX($B$13:$M$13,1,MOD(14-1,12)+1)</f>
        <v/>
      </c>
      <c r="T36" s="34">
        <f>($B36/12)*(1+INDEX($C36:$E36,1,Control!$B$10))^T5*INDEX($B$13:$M$13,1,MOD(15-1,12)+1)</f>
        <v/>
      </c>
      <c r="U36" s="34">
        <f>($B36/12)*(1+INDEX($C36:$E36,1,Control!$B$10))^U5*INDEX($B$13:$M$13,1,MOD(16-1,12)+1)</f>
        <v/>
      </c>
      <c r="V36" s="34">
        <f>($B36/12)*(1+INDEX($C36:$E36,1,Control!$B$10))^V5*INDEX($B$13:$M$13,1,MOD(17-1,12)+1)</f>
        <v/>
      </c>
      <c r="W36" s="34">
        <f>($B36/12)*(1+INDEX($C36:$E36,1,Control!$B$10))^W5*INDEX($B$13:$M$13,1,MOD(18-1,12)+1)</f>
        <v/>
      </c>
      <c r="X36" s="34">
        <f>($B36/12)*(1+INDEX($C36:$E36,1,Control!$B$10))^X5*INDEX($B$13:$M$13,1,MOD(19-1,12)+1)</f>
        <v/>
      </c>
      <c r="Y36" s="34">
        <f>($B36/12)*(1+INDEX($C36:$E36,1,Control!$B$10))^Y5*INDEX($B$13:$M$13,1,MOD(20-1,12)+1)</f>
        <v/>
      </c>
      <c r="Z36" s="34">
        <f>($B36/12)*(1+INDEX($C36:$E36,1,Control!$B$10))^Z5*INDEX($B$13:$M$13,1,MOD(21-1,12)+1)</f>
        <v/>
      </c>
      <c r="AA36" s="34">
        <f>($B36/12)*(1+INDEX($C36:$E36,1,Control!$B$10))^AA5*INDEX($B$13:$M$13,1,MOD(22-1,12)+1)</f>
        <v/>
      </c>
      <c r="AB36" s="34">
        <f>($B36/12)*(1+INDEX($C36:$E36,1,Control!$B$10))^AB5*INDEX($B$13:$M$13,1,MOD(23-1,12)+1)</f>
        <v/>
      </c>
      <c r="AC36" s="34">
        <f>($B36/12)*(1+INDEX($C36:$E36,1,Control!$B$10))^AC5*INDEX($B$13:$M$13,1,MOD(24-1,12)+1)</f>
        <v/>
      </c>
      <c r="AD36" s="34">
        <f>($B36/12)*(1+INDEX($C36:$E36,1,Control!$B$10))^AD5*INDEX($B$13:$M$13,1,MOD(25-1,12)+1)</f>
        <v/>
      </c>
      <c r="AE36" s="34">
        <f>($B36/12)*(1+INDEX($C36:$E36,1,Control!$B$10))^AE5*INDEX($B$13:$M$13,1,MOD(26-1,12)+1)</f>
        <v/>
      </c>
      <c r="AF36" s="34">
        <f>($B36/12)*(1+INDEX($C36:$E36,1,Control!$B$10))^AF5*INDEX($B$13:$M$13,1,MOD(27-1,12)+1)</f>
        <v/>
      </c>
      <c r="AG36" s="34">
        <f>($B36/12)*(1+INDEX($C36:$E36,1,Control!$B$10))^AG5*INDEX($B$13:$M$13,1,MOD(28-1,12)+1)</f>
        <v/>
      </c>
      <c r="AH36" s="34">
        <f>($B36/12)*(1+INDEX($C36:$E36,1,Control!$B$10))^AH5*INDEX($B$13:$M$13,1,MOD(29-1,12)+1)</f>
        <v/>
      </c>
      <c r="AI36" s="34">
        <f>($B36/12)*(1+INDEX($C36:$E36,1,Control!$B$10))^AI5*INDEX($B$13:$M$13,1,MOD(30-1,12)+1)</f>
        <v/>
      </c>
      <c r="AJ36" s="34">
        <f>($B36/12)*(1+INDEX($C36:$E36,1,Control!$B$10))^AJ5*INDEX($B$13:$M$13,1,MOD(31-1,12)+1)</f>
        <v/>
      </c>
      <c r="AK36" s="34">
        <f>($B36/12)*(1+INDEX($C36:$E36,1,Control!$B$10))^AK5*INDEX($B$13:$M$13,1,MOD(32-1,12)+1)</f>
        <v/>
      </c>
      <c r="AL36" s="34">
        <f>($B36/12)*(1+INDEX($C36:$E36,1,Control!$B$10))^AL5*INDEX($B$13:$M$13,1,MOD(33-1,12)+1)</f>
        <v/>
      </c>
      <c r="AM36" s="34">
        <f>($B36/12)*(1+INDEX($C36:$E36,1,Control!$B$10))^AM5*INDEX($B$13:$M$13,1,MOD(34-1,12)+1)</f>
        <v/>
      </c>
      <c r="AN36" s="34">
        <f>($B36/12)*(1+INDEX($C36:$E36,1,Control!$B$10))^AN5*INDEX($B$13:$M$13,1,MOD(35-1,12)+1)</f>
        <v/>
      </c>
      <c r="AO36" s="34">
        <f>($B36/12)*(1+INDEX($C36:$E36,1,Control!$B$10))^AO5*INDEX($B$13:$M$13,1,MOD(36-1,12)+1)</f>
        <v/>
      </c>
      <c r="AP36" s="34">
        <f>($B36/12)*(1+INDEX($C36:$E36,1,Control!$B$10))^AP5*INDEX($B$13:$M$13,1,MOD(37-1,12)+1)</f>
        <v/>
      </c>
      <c r="AQ36" s="34">
        <f>($B36/12)*(1+INDEX($C36:$E36,1,Control!$B$10))^AQ5*INDEX($B$13:$M$13,1,MOD(38-1,12)+1)</f>
        <v/>
      </c>
      <c r="AR36" s="34">
        <f>($B36/12)*(1+INDEX($C36:$E36,1,Control!$B$10))^AR5*INDEX($B$13:$M$13,1,MOD(39-1,12)+1)</f>
        <v/>
      </c>
      <c r="AS36" s="34">
        <f>($B36/12)*(1+INDEX($C36:$E36,1,Control!$B$10))^AS5*INDEX($B$13:$M$13,1,MOD(40-1,12)+1)</f>
        <v/>
      </c>
      <c r="AT36" s="34">
        <f>($B36/12)*(1+INDEX($C36:$E36,1,Control!$B$10))^AT5*INDEX($B$13:$M$13,1,MOD(41-1,12)+1)</f>
        <v/>
      </c>
      <c r="AU36" s="34">
        <f>($B36/12)*(1+INDEX($C36:$E36,1,Control!$B$10))^AU5*INDEX($B$13:$M$13,1,MOD(42-1,12)+1)</f>
        <v/>
      </c>
      <c r="AV36" s="34">
        <f>($B36/12)*(1+INDEX($C36:$E36,1,Control!$B$10))^AV5*INDEX($B$13:$M$13,1,MOD(43-1,12)+1)</f>
        <v/>
      </c>
      <c r="AW36" s="34">
        <f>($B36/12)*(1+INDEX($C36:$E36,1,Control!$B$10))^AW5*INDEX($B$13:$M$13,1,MOD(44-1,12)+1)</f>
        <v/>
      </c>
      <c r="AX36" s="34">
        <f>($B36/12)*(1+INDEX($C36:$E36,1,Control!$B$10))^AX5*INDEX($B$13:$M$13,1,MOD(45-1,12)+1)</f>
        <v/>
      </c>
      <c r="AY36" s="34">
        <f>($B36/12)*(1+INDEX($C36:$E36,1,Control!$B$10))^AY5*INDEX($B$13:$M$13,1,MOD(46-1,12)+1)</f>
        <v/>
      </c>
      <c r="AZ36" s="34">
        <f>($B36/12)*(1+INDEX($C36:$E36,1,Control!$B$10))^AZ5*INDEX($B$13:$M$13,1,MOD(47-1,12)+1)</f>
        <v/>
      </c>
      <c r="BA36" s="34">
        <f>($B36/12)*(1+INDEX($C36:$E36,1,Control!$B$10))^BA5*INDEX($B$13:$M$13,1,MOD(48-1,12)+1)</f>
        <v/>
      </c>
      <c r="BB36" s="34">
        <f>($B36/12)*(1+INDEX($C36:$E36,1,Control!$B$10))^BB5*INDEX($B$13:$M$13,1,MOD(49-1,12)+1)</f>
        <v/>
      </c>
      <c r="BC36" s="34">
        <f>($B36/12)*(1+INDEX($C36:$E36,1,Control!$B$10))^BC5*INDEX($B$13:$M$13,1,MOD(50-1,12)+1)</f>
        <v/>
      </c>
      <c r="BD36" s="34">
        <f>($B36/12)*(1+INDEX($C36:$E36,1,Control!$B$10))^BD5*INDEX($B$13:$M$13,1,MOD(51-1,12)+1)</f>
        <v/>
      </c>
      <c r="BE36" s="34">
        <f>($B36/12)*(1+INDEX($C36:$E36,1,Control!$B$10))^BE5*INDEX($B$13:$M$13,1,MOD(52-1,12)+1)</f>
        <v/>
      </c>
      <c r="BF36" s="34">
        <f>($B36/12)*(1+INDEX($C36:$E36,1,Control!$B$10))^BF5*INDEX($B$13:$M$13,1,MOD(53-1,12)+1)</f>
        <v/>
      </c>
      <c r="BG36" s="34">
        <f>($B36/12)*(1+INDEX($C36:$E36,1,Control!$B$10))^BG5*INDEX($B$13:$M$13,1,MOD(54-1,12)+1)</f>
        <v/>
      </c>
      <c r="BH36" s="34">
        <f>($B36/12)*(1+INDEX($C36:$E36,1,Control!$B$10))^BH5*INDEX($B$13:$M$13,1,MOD(55-1,12)+1)</f>
        <v/>
      </c>
      <c r="BI36" s="34">
        <f>($B36/12)*(1+INDEX($C36:$E36,1,Control!$B$10))^BI5*INDEX($B$13:$M$13,1,MOD(56-1,12)+1)</f>
        <v/>
      </c>
      <c r="BJ36" s="34">
        <f>($B36/12)*(1+INDEX($C36:$E36,1,Control!$B$10))^BJ5*INDEX($B$13:$M$13,1,MOD(57-1,12)+1)</f>
        <v/>
      </c>
      <c r="BK36" s="34">
        <f>($B36/12)*(1+INDEX($C36:$E36,1,Control!$B$10))^BK5*INDEX($B$13:$M$13,1,MOD(58-1,12)+1)</f>
        <v/>
      </c>
      <c r="BL36" s="34">
        <f>($B36/12)*(1+INDEX($C36:$E36,1,Control!$B$10))^BL5*INDEX($B$13:$M$13,1,MOD(59-1,12)+1)</f>
        <v/>
      </c>
      <c r="BM36" s="34">
        <f>($B36/12)*(1+INDEX($C36:$E36,1,Control!$B$10))^BM5*INDEX($B$13:$M$13,1,MOD(60-1,12)+1)</f>
        <v/>
      </c>
      <c r="BN36" s="34">
        <f>($B36/12)*(1+INDEX($C36:$E36,1,Control!$B$10))^BN5*INDEX($B$13:$M$13,1,MOD(61-1,12)+1)</f>
        <v/>
      </c>
      <c r="BO36" s="34">
        <f>($B36/12)*(1+INDEX($C36:$E36,1,Control!$B$10))^BO5*INDEX($B$13:$M$13,1,MOD(62-1,12)+1)</f>
        <v/>
      </c>
      <c r="BP36" s="34">
        <f>($B36/12)*(1+INDEX($C36:$E36,1,Control!$B$10))^BP5*INDEX($B$13:$M$13,1,MOD(63-1,12)+1)</f>
        <v/>
      </c>
      <c r="BQ36" s="34">
        <f>($B36/12)*(1+INDEX($C36:$E36,1,Control!$B$10))^BQ5*INDEX($B$13:$M$13,1,MOD(64-1,12)+1)</f>
        <v/>
      </c>
      <c r="BR36" s="34">
        <f>($B36/12)*(1+INDEX($C36:$E36,1,Control!$B$10))^BR5*INDEX($B$13:$M$13,1,MOD(65-1,12)+1)</f>
        <v/>
      </c>
      <c r="BS36" s="34">
        <f>($B36/12)*(1+INDEX($C36:$E36,1,Control!$B$10))^BS5*INDEX($B$13:$M$13,1,MOD(66-1,12)+1)</f>
        <v/>
      </c>
      <c r="BT36" s="34">
        <f>($B36/12)*(1+INDEX($C36:$E36,1,Control!$B$10))^BT5*INDEX($B$13:$M$13,1,MOD(67-1,12)+1)</f>
        <v/>
      </c>
      <c r="BU36" s="34">
        <f>($B36/12)*(1+INDEX($C36:$E36,1,Control!$B$10))^BU5*INDEX($B$13:$M$13,1,MOD(68-1,12)+1)</f>
        <v/>
      </c>
      <c r="BV36" s="34">
        <f>($B36/12)*(1+INDEX($C36:$E36,1,Control!$B$10))^BV5*INDEX($B$13:$M$13,1,MOD(69-1,12)+1)</f>
        <v/>
      </c>
      <c r="BW36" s="34">
        <f>($B36/12)*(1+INDEX($C36:$E36,1,Control!$B$10))^BW5*INDEX($B$13:$M$13,1,MOD(70-1,12)+1)</f>
        <v/>
      </c>
      <c r="BX36" s="34">
        <f>($B36/12)*(1+INDEX($C36:$E36,1,Control!$B$10))^BX5*INDEX($B$13:$M$13,1,MOD(71-1,12)+1)</f>
        <v/>
      </c>
      <c r="BY36" s="34">
        <f>($B36/12)*(1+INDEX($C36:$E36,1,Control!$B$10))^BY5*INDEX($B$13:$M$13,1,MOD(72-1,12)+1)</f>
        <v/>
      </c>
      <c r="BZ36" s="34">
        <f>($B36/12)*(1+INDEX($C36:$E36,1,Control!$B$10))^BZ5*INDEX($B$13:$M$13,1,MOD(73-1,12)+1)</f>
        <v/>
      </c>
      <c r="CA36" s="34">
        <f>($B36/12)*(1+INDEX($C36:$E36,1,Control!$B$10))^CA5*INDEX($B$13:$M$13,1,MOD(74-1,12)+1)</f>
        <v/>
      </c>
      <c r="CB36" s="34">
        <f>($B36/12)*(1+INDEX($C36:$E36,1,Control!$B$10))^CB5*INDEX($B$13:$M$13,1,MOD(75-1,12)+1)</f>
        <v/>
      </c>
      <c r="CC36" s="34">
        <f>($B36/12)*(1+INDEX($C36:$E36,1,Control!$B$10))^CC5*INDEX($B$13:$M$13,1,MOD(76-1,12)+1)</f>
        <v/>
      </c>
      <c r="CD36" s="34">
        <f>($B36/12)*(1+INDEX($C36:$E36,1,Control!$B$10))^CD5*INDEX($B$13:$M$13,1,MOD(77-1,12)+1)</f>
        <v/>
      </c>
      <c r="CE36" s="34">
        <f>($B36/12)*(1+INDEX($C36:$E36,1,Control!$B$10))^CE5*INDEX($B$13:$M$13,1,MOD(78-1,12)+1)</f>
        <v/>
      </c>
      <c r="CF36" s="34">
        <f>($B36/12)*(1+INDEX($C36:$E36,1,Control!$B$10))^CF5*INDEX($B$13:$M$13,1,MOD(79-1,12)+1)</f>
        <v/>
      </c>
      <c r="CG36" s="34">
        <f>($B36/12)*(1+INDEX($C36:$E36,1,Control!$B$10))^CG5*INDEX($B$13:$M$13,1,MOD(80-1,12)+1)</f>
        <v/>
      </c>
      <c r="CH36" s="34">
        <f>($B36/12)*(1+INDEX($C36:$E36,1,Control!$B$10))^CH5*INDEX($B$13:$M$13,1,MOD(81-1,12)+1)</f>
        <v/>
      </c>
      <c r="CI36" s="34">
        <f>($B36/12)*(1+INDEX($C36:$E36,1,Control!$B$10))^CI5*INDEX($B$13:$M$13,1,MOD(82-1,12)+1)</f>
        <v/>
      </c>
      <c r="CJ36" s="34">
        <f>($B36/12)*(1+INDEX($C36:$E36,1,Control!$B$10))^CJ5*INDEX($B$13:$M$13,1,MOD(83-1,12)+1)</f>
        <v/>
      </c>
      <c r="CK36" s="34">
        <f>($B36/12)*(1+INDEX($C36:$E36,1,Control!$B$10))^CK5*INDEX($B$13:$M$13,1,MOD(84-1,12)+1)</f>
        <v/>
      </c>
      <c r="CL36" s="34">
        <f>($B36/12)*(1+INDEX($C36:$E36,1,Control!$B$10))^CL5*INDEX($B$13:$M$13,1,MOD(85-1,12)+1)</f>
        <v/>
      </c>
      <c r="CM36" s="34">
        <f>($B36/12)*(1+INDEX($C36:$E36,1,Control!$B$10))^CM5*INDEX($B$13:$M$13,1,MOD(86-1,12)+1)</f>
        <v/>
      </c>
      <c r="CN36" s="34">
        <f>($B36/12)*(1+INDEX($C36:$E36,1,Control!$B$10))^CN5*INDEX($B$13:$M$13,1,MOD(87-1,12)+1)</f>
        <v/>
      </c>
      <c r="CO36" s="34">
        <f>($B36/12)*(1+INDEX($C36:$E36,1,Control!$B$10))^CO5*INDEX($B$13:$M$13,1,MOD(88-1,12)+1)</f>
        <v/>
      </c>
      <c r="CP36" s="34">
        <f>($B36/12)*(1+INDEX($C36:$E36,1,Control!$B$10))^CP5*INDEX($B$13:$M$13,1,MOD(89-1,12)+1)</f>
        <v/>
      </c>
      <c r="CQ36" s="34">
        <f>($B36/12)*(1+INDEX($C36:$E36,1,Control!$B$10))^CQ5*INDEX($B$13:$M$13,1,MOD(90-1,12)+1)</f>
        <v/>
      </c>
      <c r="CR36" s="34">
        <f>($B36/12)*(1+INDEX($C36:$E36,1,Control!$B$10))^CR5*INDEX($B$13:$M$13,1,MOD(91-1,12)+1)</f>
        <v/>
      </c>
      <c r="CS36" s="34">
        <f>($B36/12)*(1+INDEX($C36:$E36,1,Control!$B$10))^CS5*INDEX($B$13:$M$13,1,MOD(92-1,12)+1)</f>
        <v/>
      </c>
      <c r="CT36" s="34">
        <f>($B36/12)*(1+INDEX($C36:$E36,1,Control!$B$10))^CT5*INDEX($B$13:$M$13,1,MOD(93-1,12)+1)</f>
        <v/>
      </c>
      <c r="CU36" s="34">
        <f>($B36/12)*(1+INDEX($C36:$E36,1,Control!$B$10))^CU5*INDEX($B$13:$M$13,1,MOD(94-1,12)+1)</f>
        <v/>
      </c>
      <c r="CV36" s="34">
        <f>($B36/12)*(1+INDEX($C36:$E36,1,Control!$B$10))^CV5*INDEX($B$13:$M$13,1,MOD(95-1,12)+1)</f>
        <v/>
      </c>
      <c r="CW36" s="34">
        <f>($B36/12)*(1+INDEX($C36:$E36,1,Control!$B$10))^CW5*INDEX($B$13:$M$13,1,MOD(96-1,12)+1)</f>
        <v/>
      </c>
      <c r="CX36" s="34">
        <f>($B36/12)*(1+INDEX($C36:$E36,1,Control!$B$10))^CX5*INDEX($B$13:$M$13,1,MOD(97-1,12)+1)</f>
        <v/>
      </c>
      <c r="CY36" s="34">
        <f>($B36/12)*(1+INDEX($C36:$E36,1,Control!$B$10))^CY5*INDEX($B$13:$M$13,1,MOD(98-1,12)+1)</f>
        <v/>
      </c>
      <c r="CZ36" s="34">
        <f>($B36/12)*(1+INDEX($C36:$E36,1,Control!$B$10))^CZ5*INDEX($B$13:$M$13,1,MOD(99-1,12)+1)</f>
        <v/>
      </c>
      <c r="DA36" s="34">
        <f>($B36/12)*(1+INDEX($C36:$E36,1,Control!$B$10))^DA5*INDEX($B$13:$M$13,1,MOD(100-1,12)+1)</f>
        <v/>
      </c>
      <c r="DB36" s="34">
        <f>($B36/12)*(1+INDEX($C36:$E36,1,Control!$B$10))^DB5*INDEX($B$13:$M$13,1,MOD(101-1,12)+1)</f>
        <v/>
      </c>
      <c r="DC36" s="34">
        <f>($B36/12)*(1+INDEX($C36:$E36,1,Control!$B$10))^DC5*INDEX($B$13:$M$13,1,MOD(102-1,12)+1)</f>
        <v/>
      </c>
      <c r="DD36" s="34">
        <f>($B36/12)*(1+INDEX($C36:$E36,1,Control!$B$10))^DD5*INDEX($B$13:$M$13,1,MOD(103-1,12)+1)</f>
        <v/>
      </c>
      <c r="DE36" s="34">
        <f>($B36/12)*(1+INDEX($C36:$E36,1,Control!$B$10))^DE5*INDEX($B$13:$M$13,1,MOD(104-1,12)+1)</f>
        <v/>
      </c>
      <c r="DF36" s="34">
        <f>($B36/12)*(1+INDEX($C36:$E36,1,Control!$B$10))^DF5*INDEX($B$13:$M$13,1,MOD(105-1,12)+1)</f>
        <v/>
      </c>
      <c r="DG36" s="34">
        <f>($B36/12)*(1+INDEX($C36:$E36,1,Control!$B$10))^DG5*INDEX($B$13:$M$13,1,MOD(106-1,12)+1)</f>
        <v/>
      </c>
      <c r="DH36" s="34">
        <f>($B36/12)*(1+INDEX($C36:$E36,1,Control!$B$10))^DH5*INDEX($B$13:$M$13,1,MOD(107-1,12)+1)</f>
        <v/>
      </c>
      <c r="DI36" s="34">
        <f>($B36/12)*(1+INDEX($C36:$E36,1,Control!$B$10))^DI5*INDEX($B$13:$M$13,1,MOD(108-1,12)+1)</f>
        <v/>
      </c>
      <c r="DJ36" s="34">
        <f>($B36/12)*(1+INDEX($C36:$E36,1,Control!$B$10))^DJ5*INDEX($B$13:$M$13,1,MOD(109-1,12)+1)</f>
        <v/>
      </c>
      <c r="DK36" s="34">
        <f>($B36/12)*(1+INDEX($C36:$E36,1,Control!$B$10))^DK5*INDEX($B$13:$M$13,1,MOD(110-1,12)+1)</f>
        <v/>
      </c>
      <c r="DL36" s="34">
        <f>($B36/12)*(1+INDEX($C36:$E36,1,Control!$B$10))^DL5*INDEX($B$13:$M$13,1,MOD(111-1,12)+1)</f>
        <v/>
      </c>
      <c r="DM36" s="34">
        <f>($B36/12)*(1+INDEX($C36:$E36,1,Control!$B$10))^DM5*INDEX($B$13:$M$13,1,MOD(112-1,12)+1)</f>
        <v/>
      </c>
      <c r="DN36" s="34">
        <f>($B36/12)*(1+INDEX($C36:$E36,1,Control!$B$10))^DN5*INDEX($B$13:$M$13,1,MOD(113-1,12)+1)</f>
        <v/>
      </c>
      <c r="DO36" s="34">
        <f>($B36/12)*(1+INDEX($C36:$E36,1,Control!$B$10))^DO5*INDEX($B$13:$M$13,1,MOD(114-1,12)+1)</f>
        <v/>
      </c>
      <c r="DP36" s="34">
        <f>($B36/12)*(1+INDEX($C36:$E36,1,Control!$B$10))^DP5*INDEX($B$13:$M$13,1,MOD(115-1,12)+1)</f>
        <v/>
      </c>
      <c r="DQ36" s="34">
        <f>($B36/12)*(1+INDEX($C36:$E36,1,Control!$B$10))^DQ5*INDEX($B$13:$M$13,1,MOD(116-1,12)+1)</f>
        <v/>
      </c>
      <c r="DR36" s="34">
        <f>($B36/12)*(1+INDEX($C36:$E36,1,Control!$B$10))^DR5*INDEX($B$13:$M$13,1,MOD(117-1,12)+1)</f>
        <v/>
      </c>
      <c r="DS36" s="34">
        <f>($B36/12)*(1+INDEX($C36:$E36,1,Control!$B$10))^DS5*INDEX($B$13:$M$13,1,MOD(118-1,12)+1)</f>
        <v/>
      </c>
      <c r="DT36" s="34">
        <f>($B36/12)*(1+INDEX($C36:$E36,1,Control!$B$10))^DT5*INDEX($B$13:$M$13,1,MOD(119-1,12)+1)</f>
        <v/>
      </c>
      <c r="DU36" s="34">
        <f>($B36/12)*(1+INDEX($C36:$E36,1,Control!$B$10))^DU5*INDEX($B$13:$M$13,1,MOD(120-1,12)+1)</f>
        <v/>
      </c>
    </row>
    <row r="37">
      <c r="A37" t="inlineStr">
        <is>
          <t>CityLight-Bottles-OnTrade</t>
        </is>
      </c>
      <c r="B37" s="33" t="n">
        <v>25000</v>
      </c>
      <c r="C37" s="22" t="n">
        <v>0.025</v>
      </c>
      <c r="D37" s="22" t="n">
        <v>0.04</v>
      </c>
      <c r="E37" s="22" t="n">
        <v>0.01</v>
      </c>
      <c r="F37" s="34">
        <f>($B37/12)*(1+INDEX($C37:$E37,1,Control!$B$10))^F5*INDEX($B$13:$M$13,1,MOD(1-1,12)+1)</f>
        <v/>
      </c>
      <c r="G37" s="34">
        <f>($B37/12)*(1+INDEX($C37:$E37,1,Control!$B$10))^G5*INDEX($B$13:$M$13,1,MOD(2-1,12)+1)</f>
        <v/>
      </c>
      <c r="H37" s="34">
        <f>($B37/12)*(1+INDEX($C37:$E37,1,Control!$B$10))^H5*INDEX($B$13:$M$13,1,MOD(3-1,12)+1)</f>
        <v/>
      </c>
      <c r="I37" s="34">
        <f>($B37/12)*(1+INDEX($C37:$E37,1,Control!$B$10))^I5*INDEX($B$13:$M$13,1,MOD(4-1,12)+1)</f>
        <v/>
      </c>
      <c r="J37" s="34">
        <f>($B37/12)*(1+INDEX($C37:$E37,1,Control!$B$10))^J5*INDEX($B$13:$M$13,1,MOD(5-1,12)+1)</f>
        <v/>
      </c>
      <c r="K37" s="34">
        <f>($B37/12)*(1+INDEX($C37:$E37,1,Control!$B$10))^K5*INDEX($B$13:$M$13,1,MOD(6-1,12)+1)</f>
        <v/>
      </c>
      <c r="L37" s="34">
        <f>($B37/12)*(1+INDEX($C37:$E37,1,Control!$B$10))^L5*INDEX($B$13:$M$13,1,MOD(7-1,12)+1)</f>
        <v/>
      </c>
      <c r="M37" s="34">
        <f>($B37/12)*(1+INDEX($C37:$E37,1,Control!$B$10))^M5*INDEX($B$13:$M$13,1,MOD(8-1,12)+1)</f>
        <v/>
      </c>
      <c r="N37" s="34">
        <f>($B37/12)*(1+INDEX($C37:$E37,1,Control!$B$10))^N5*INDEX($B$13:$M$13,1,MOD(9-1,12)+1)</f>
        <v/>
      </c>
      <c r="O37" s="34">
        <f>($B37/12)*(1+INDEX($C37:$E37,1,Control!$B$10))^O5*INDEX($B$13:$M$13,1,MOD(10-1,12)+1)</f>
        <v/>
      </c>
      <c r="P37" s="34">
        <f>($B37/12)*(1+INDEX($C37:$E37,1,Control!$B$10))^P5*INDEX($B$13:$M$13,1,MOD(11-1,12)+1)</f>
        <v/>
      </c>
      <c r="Q37" s="34">
        <f>($B37/12)*(1+INDEX($C37:$E37,1,Control!$B$10))^Q5*INDEX($B$13:$M$13,1,MOD(12-1,12)+1)</f>
        <v/>
      </c>
      <c r="R37" s="34">
        <f>($B37/12)*(1+INDEX($C37:$E37,1,Control!$B$10))^R5*INDEX($B$13:$M$13,1,MOD(13-1,12)+1)</f>
        <v/>
      </c>
      <c r="S37" s="34">
        <f>($B37/12)*(1+INDEX($C37:$E37,1,Control!$B$10))^S5*INDEX($B$13:$M$13,1,MOD(14-1,12)+1)</f>
        <v/>
      </c>
      <c r="T37" s="34">
        <f>($B37/12)*(1+INDEX($C37:$E37,1,Control!$B$10))^T5*INDEX($B$13:$M$13,1,MOD(15-1,12)+1)</f>
        <v/>
      </c>
      <c r="U37" s="34">
        <f>($B37/12)*(1+INDEX($C37:$E37,1,Control!$B$10))^U5*INDEX($B$13:$M$13,1,MOD(16-1,12)+1)</f>
        <v/>
      </c>
      <c r="V37" s="34">
        <f>($B37/12)*(1+INDEX($C37:$E37,1,Control!$B$10))^V5*INDEX($B$13:$M$13,1,MOD(17-1,12)+1)</f>
        <v/>
      </c>
      <c r="W37" s="34">
        <f>($B37/12)*(1+INDEX($C37:$E37,1,Control!$B$10))^W5*INDEX($B$13:$M$13,1,MOD(18-1,12)+1)</f>
        <v/>
      </c>
      <c r="X37" s="34">
        <f>($B37/12)*(1+INDEX($C37:$E37,1,Control!$B$10))^X5*INDEX($B$13:$M$13,1,MOD(19-1,12)+1)</f>
        <v/>
      </c>
      <c r="Y37" s="34">
        <f>($B37/12)*(1+INDEX($C37:$E37,1,Control!$B$10))^Y5*INDEX($B$13:$M$13,1,MOD(20-1,12)+1)</f>
        <v/>
      </c>
      <c r="Z37" s="34">
        <f>($B37/12)*(1+INDEX($C37:$E37,1,Control!$B$10))^Z5*INDEX($B$13:$M$13,1,MOD(21-1,12)+1)</f>
        <v/>
      </c>
      <c r="AA37" s="34">
        <f>($B37/12)*(1+INDEX($C37:$E37,1,Control!$B$10))^AA5*INDEX($B$13:$M$13,1,MOD(22-1,12)+1)</f>
        <v/>
      </c>
      <c r="AB37" s="34">
        <f>($B37/12)*(1+INDEX($C37:$E37,1,Control!$B$10))^AB5*INDEX($B$13:$M$13,1,MOD(23-1,12)+1)</f>
        <v/>
      </c>
      <c r="AC37" s="34">
        <f>($B37/12)*(1+INDEX($C37:$E37,1,Control!$B$10))^AC5*INDEX($B$13:$M$13,1,MOD(24-1,12)+1)</f>
        <v/>
      </c>
      <c r="AD37" s="34">
        <f>($B37/12)*(1+INDEX($C37:$E37,1,Control!$B$10))^AD5*INDEX($B$13:$M$13,1,MOD(25-1,12)+1)</f>
        <v/>
      </c>
      <c r="AE37" s="34">
        <f>($B37/12)*(1+INDEX($C37:$E37,1,Control!$B$10))^AE5*INDEX($B$13:$M$13,1,MOD(26-1,12)+1)</f>
        <v/>
      </c>
      <c r="AF37" s="34">
        <f>($B37/12)*(1+INDEX($C37:$E37,1,Control!$B$10))^AF5*INDEX($B$13:$M$13,1,MOD(27-1,12)+1)</f>
        <v/>
      </c>
      <c r="AG37" s="34">
        <f>($B37/12)*(1+INDEX($C37:$E37,1,Control!$B$10))^AG5*INDEX($B$13:$M$13,1,MOD(28-1,12)+1)</f>
        <v/>
      </c>
      <c r="AH37" s="34">
        <f>($B37/12)*(1+INDEX($C37:$E37,1,Control!$B$10))^AH5*INDEX($B$13:$M$13,1,MOD(29-1,12)+1)</f>
        <v/>
      </c>
      <c r="AI37" s="34">
        <f>($B37/12)*(1+INDEX($C37:$E37,1,Control!$B$10))^AI5*INDEX($B$13:$M$13,1,MOD(30-1,12)+1)</f>
        <v/>
      </c>
      <c r="AJ37" s="34">
        <f>($B37/12)*(1+INDEX($C37:$E37,1,Control!$B$10))^AJ5*INDEX($B$13:$M$13,1,MOD(31-1,12)+1)</f>
        <v/>
      </c>
      <c r="AK37" s="34">
        <f>($B37/12)*(1+INDEX($C37:$E37,1,Control!$B$10))^AK5*INDEX($B$13:$M$13,1,MOD(32-1,12)+1)</f>
        <v/>
      </c>
      <c r="AL37" s="34">
        <f>($B37/12)*(1+INDEX($C37:$E37,1,Control!$B$10))^AL5*INDEX($B$13:$M$13,1,MOD(33-1,12)+1)</f>
        <v/>
      </c>
      <c r="AM37" s="34">
        <f>($B37/12)*(1+INDEX($C37:$E37,1,Control!$B$10))^AM5*INDEX($B$13:$M$13,1,MOD(34-1,12)+1)</f>
        <v/>
      </c>
      <c r="AN37" s="34">
        <f>($B37/12)*(1+INDEX($C37:$E37,1,Control!$B$10))^AN5*INDEX($B$13:$M$13,1,MOD(35-1,12)+1)</f>
        <v/>
      </c>
      <c r="AO37" s="34">
        <f>($B37/12)*(1+INDEX($C37:$E37,1,Control!$B$10))^AO5*INDEX($B$13:$M$13,1,MOD(36-1,12)+1)</f>
        <v/>
      </c>
      <c r="AP37" s="34">
        <f>($B37/12)*(1+INDEX($C37:$E37,1,Control!$B$10))^AP5*INDEX($B$13:$M$13,1,MOD(37-1,12)+1)</f>
        <v/>
      </c>
      <c r="AQ37" s="34">
        <f>($B37/12)*(1+INDEX($C37:$E37,1,Control!$B$10))^AQ5*INDEX($B$13:$M$13,1,MOD(38-1,12)+1)</f>
        <v/>
      </c>
      <c r="AR37" s="34">
        <f>($B37/12)*(1+INDEX($C37:$E37,1,Control!$B$10))^AR5*INDEX($B$13:$M$13,1,MOD(39-1,12)+1)</f>
        <v/>
      </c>
      <c r="AS37" s="34">
        <f>($B37/12)*(1+INDEX($C37:$E37,1,Control!$B$10))^AS5*INDEX($B$13:$M$13,1,MOD(40-1,12)+1)</f>
        <v/>
      </c>
      <c r="AT37" s="34">
        <f>($B37/12)*(1+INDEX($C37:$E37,1,Control!$B$10))^AT5*INDEX($B$13:$M$13,1,MOD(41-1,12)+1)</f>
        <v/>
      </c>
      <c r="AU37" s="34">
        <f>($B37/12)*(1+INDEX($C37:$E37,1,Control!$B$10))^AU5*INDEX($B$13:$M$13,1,MOD(42-1,12)+1)</f>
        <v/>
      </c>
      <c r="AV37" s="34">
        <f>($B37/12)*(1+INDEX($C37:$E37,1,Control!$B$10))^AV5*INDEX($B$13:$M$13,1,MOD(43-1,12)+1)</f>
        <v/>
      </c>
      <c r="AW37" s="34">
        <f>($B37/12)*(1+INDEX($C37:$E37,1,Control!$B$10))^AW5*INDEX($B$13:$M$13,1,MOD(44-1,12)+1)</f>
        <v/>
      </c>
      <c r="AX37" s="34">
        <f>($B37/12)*(1+INDEX($C37:$E37,1,Control!$B$10))^AX5*INDEX($B$13:$M$13,1,MOD(45-1,12)+1)</f>
        <v/>
      </c>
      <c r="AY37" s="34">
        <f>($B37/12)*(1+INDEX($C37:$E37,1,Control!$B$10))^AY5*INDEX($B$13:$M$13,1,MOD(46-1,12)+1)</f>
        <v/>
      </c>
      <c r="AZ37" s="34">
        <f>($B37/12)*(1+INDEX($C37:$E37,1,Control!$B$10))^AZ5*INDEX($B$13:$M$13,1,MOD(47-1,12)+1)</f>
        <v/>
      </c>
      <c r="BA37" s="34">
        <f>($B37/12)*(1+INDEX($C37:$E37,1,Control!$B$10))^BA5*INDEX($B$13:$M$13,1,MOD(48-1,12)+1)</f>
        <v/>
      </c>
      <c r="BB37" s="34">
        <f>($B37/12)*(1+INDEX($C37:$E37,1,Control!$B$10))^BB5*INDEX($B$13:$M$13,1,MOD(49-1,12)+1)</f>
        <v/>
      </c>
      <c r="BC37" s="34">
        <f>($B37/12)*(1+INDEX($C37:$E37,1,Control!$B$10))^BC5*INDEX($B$13:$M$13,1,MOD(50-1,12)+1)</f>
        <v/>
      </c>
      <c r="BD37" s="34">
        <f>($B37/12)*(1+INDEX($C37:$E37,1,Control!$B$10))^BD5*INDEX($B$13:$M$13,1,MOD(51-1,12)+1)</f>
        <v/>
      </c>
      <c r="BE37" s="34">
        <f>($B37/12)*(1+INDEX($C37:$E37,1,Control!$B$10))^BE5*INDEX($B$13:$M$13,1,MOD(52-1,12)+1)</f>
        <v/>
      </c>
      <c r="BF37" s="34">
        <f>($B37/12)*(1+INDEX($C37:$E37,1,Control!$B$10))^BF5*INDEX($B$13:$M$13,1,MOD(53-1,12)+1)</f>
        <v/>
      </c>
      <c r="BG37" s="34">
        <f>($B37/12)*(1+INDEX($C37:$E37,1,Control!$B$10))^BG5*INDEX($B$13:$M$13,1,MOD(54-1,12)+1)</f>
        <v/>
      </c>
      <c r="BH37" s="34">
        <f>($B37/12)*(1+INDEX($C37:$E37,1,Control!$B$10))^BH5*INDEX($B$13:$M$13,1,MOD(55-1,12)+1)</f>
        <v/>
      </c>
      <c r="BI37" s="34">
        <f>($B37/12)*(1+INDEX($C37:$E37,1,Control!$B$10))^BI5*INDEX($B$13:$M$13,1,MOD(56-1,12)+1)</f>
        <v/>
      </c>
      <c r="BJ37" s="34">
        <f>($B37/12)*(1+INDEX($C37:$E37,1,Control!$B$10))^BJ5*INDEX($B$13:$M$13,1,MOD(57-1,12)+1)</f>
        <v/>
      </c>
      <c r="BK37" s="34">
        <f>($B37/12)*(1+INDEX($C37:$E37,1,Control!$B$10))^BK5*INDEX($B$13:$M$13,1,MOD(58-1,12)+1)</f>
        <v/>
      </c>
      <c r="BL37" s="34">
        <f>($B37/12)*(1+INDEX($C37:$E37,1,Control!$B$10))^BL5*INDEX($B$13:$M$13,1,MOD(59-1,12)+1)</f>
        <v/>
      </c>
      <c r="BM37" s="34">
        <f>($B37/12)*(1+INDEX($C37:$E37,1,Control!$B$10))^BM5*INDEX($B$13:$M$13,1,MOD(60-1,12)+1)</f>
        <v/>
      </c>
      <c r="BN37" s="34">
        <f>($B37/12)*(1+INDEX($C37:$E37,1,Control!$B$10))^BN5*INDEX($B$13:$M$13,1,MOD(61-1,12)+1)</f>
        <v/>
      </c>
      <c r="BO37" s="34">
        <f>($B37/12)*(1+INDEX($C37:$E37,1,Control!$B$10))^BO5*INDEX($B$13:$M$13,1,MOD(62-1,12)+1)</f>
        <v/>
      </c>
      <c r="BP37" s="34">
        <f>($B37/12)*(1+INDEX($C37:$E37,1,Control!$B$10))^BP5*INDEX($B$13:$M$13,1,MOD(63-1,12)+1)</f>
        <v/>
      </c>
      <c r="BQ37" s="34">
        <f>($B37/12)*(1+INDEX($C37:$E37,1,Control!$B$10))^BQ5*INDEX($B$13:$M$13,1,MOD(64-1,12)+1)</f>
        <v/>
      </c>
      <c r="BR37" s="34">
        <f>($B37/12)*(1+INDEX($C37:$E37,1,Control!$B$10))^BR5*INDEX($B$13:$M$13,1,MOD(65-1,12)+1)</f>
        <v/>
      </c>
      <c r="BS37" s="34">
        <f>($B37/12)*(1+INDEX($C37:$E37,1,Control!$B$10))^BS5*INDEX($B$13:$M$13,1,MOD(66-1,12)+1)</f>
        <v/>
      </c>
      <c r="BT37" s="34">
        <f>($B37/12)*(1+INDEX($C37:$E37,1,Control!$B$10))^BT5*INDEX($B$13:$M$13,1,MOD(67-1,12)+1)</f>
        <v/>
      </c>
      <c r="BU37" s="34">
        <f>($B37/12)*(1+INDEX($C37:$E37,1,Control!$B$10))^BU5*INDEX($B$13:$M$13,1,MOD(68-1,12)+1)</f>
        <v/>
      </c>
      <c r="BV37" s="34">
        <f>($B37/12)*(1+INDEX($C37:$E37,1,Control!$B$10))^BV5*INDEX($B$13:$M$13,1,MOD(69-1,12)+1)</f>
        <v/>
      </c>
      <c r="BW37" s="34">
        <f>($B37/12)*(1+INDEX($C37:$E37,1,Control!$B$10))^BW5*INDEX($B$13:$M$13,1,MOD(70-1,12)+1)</f>
        <v/>
      </c>
      <c r="BX37" s="34">
        <f>($B37/12)*(1+INDEX($C37:$E37,1,Control!$B$10))^BX5*INDEX($B$13:$M$13,1,MOD(71-1,12)+1)</f>
        <v/>
      </c>
      <c r="BY37" s="34">
        <f>($B37/12)*(1+INDEX($C37:$E37,1,Control!$B$10))^BY5*INDEX($B$13:$M$13,1,MOD(72-1,12)+1)</f>
        <v/>
      </c>
      <c r="BZ37" s="34">
        <f>($B37/12)*(1+INDEX($C37:$E37,1,Control!$B$10))^BZ5*INDEX($B$13:$M$13,1,MOD(73-1,12)+1)</f>
        <v/>
      </c>
      <c r="CA37" s="34">
        <f>($B37/12)*(1+INDEX($C37:$E37,1,Control!$B$10))^CA5*INDEX($B$13:$M$13,1,MOD(74-1,12)+1)</f>
        <v/>
      </c>
      <c r="CB37" s="34">
        <f>($B37/12)*(1+INDEX($C37:$E37,1,Control!$B$10))^CB5*INDEX($B$13:$M$13,1,MOD(75-1,12)+1)</f>
        <v/>
      </c>
      <c r="CC37" s="34">
        <f>($B37/12)*(1+INDEX($C37:$E37,1,Control!$B$10))^CC5*INDEX($B$13:$M$13,1,MOD(76-1,12)+1)</f>
        <v/>
      </c>
      <c r="CD37" s="34">
        <f>($B37/12)*(1+INDEX($C37:$E37,1,Control!$B$10))^CD5*INDEX($B$13:$M$13,1,MOD(77-1,12)+1)</f>
        <v/>
      </c>
      <c r="CE37" s="34">
        <f>($B37/12)*(1+INDEX($C37:$E37,1,Control!$B$10))^CE5*INDEX($B$13:$M$13,1,MOD(78-1,12)+1)</f>
        <v/>
      </c>
      <c r="CF37" s="34">
        <f>($B37/12)*(1+INDEX($C37:$E37,1,Control!$B$10))^CF5*INDEX($B$13:$M$13,1,MOD(79-1,12)+1)</f>
        <v/>
      </c>
      <c r="CG37" s="34">
        <f>($B37/12)*(1+INDEX($C37:$E37,1,Control!$B$10))^CG5*INDEX($B$13:$M$13,1,MOD(80-1,12)+1)</f>
        <v/>
      </c>
      <c r="CH37" s="34">
        <f>($B37/12)*(1+INDEX($C37:$E37,1,Control!$B$10))^CH5*INDEX($B$13:$M$13,1,MOD(81-1,12)+1)</f>
        <v/>
      </c>
      <c r="CI37" s="34">
        <f>($B37/12)*(1+INDEX($C37:$E37,1,Control!$B$10))^CI5*INDEX($B$13:$M$13,1,MOD(82-1,12)+1)</f>
        <v/>
      </c>
      <c r="CJ37" s="34">
        <f>($B37/12)*(1+INDEX($C37:$E37,1,Control!$B$10))^CJ5*INDEX($B$13:$M$13,1,MOD(83-1,12)+1)</f>
        <v/>
      </c>
      <c r="CK37" s="34">
        <f>($B37/12)*(1+INDEX($C37:$E37,1,Control!$B$10))^CK5*INDEX($B$13:$M$13,1,MOD(84-1,12)+1)</f>
        <v/>
      </c>
      <c r="CL37" s="34">
        <f>($B37/12)*(1+INDEX($C37:$E37,1,Control!$B$10))^CL5*INDEX($B$13:$M$13,1,MOD(85-1,12)+1)</f>
        <v/>
      </c>
      <c r="CM37" s="34">
        <f>($B37/12)*(1+INDEX($C37:$E37,1,Control!$B$10))^CM5*INDEX($B$13:$M$13,1,MOD(86-1,12)+1)</f>
        <v/>
      </c>
      <c r="CN37" s="34">
        <f>($B37/12)*(1+INDEX($C37:$E37,1,Control!$B$10))^CN5*INDEX($B$13:$M$13,1,MOD(87-1,12)+1)</f>
        <v/>
      </c>
      <c r="CO37" s="34">
        <f>($B37/12)*(1+INDEX($C37:$E37,1,Control!$B$10))^CO5*INDEX($B$13:$M$13,1,MOD(88-1,12)+1)</f>
        <v/>
      </c>
      <c r="CP37" s="34">
        <f>($B37/12)*(1+INDEX($C37:$E37,1,Control!$B$10))^CP5*INDEX($B$13:$M$13,1,MOD(89-1,12)+1)</f>
        <v/>
      </c>
      <c r="CQ37" s="34">
        <f>($B37/12)*(1+INDEX($C37:$E37,1,Control!$B$10))^CQ5*INDEX($B$13:$M$13,1,MOD(90-1,12)+1)</f>
        <v/>
      </c>
      <c r="CR37" s="34">
        <f>($B37/12)*(1+INDEX($C37:$E37,1,Control!$B$10))^CR5*INDEX($B$13:$M$13,1,MOD(91-1,12)+1)</f>
        <v/>
      </c>
      <c r="CS37" s="34">
        <f>($B37/12)*(1+INDEX($C37:$E37,1,Control!$B$10))^CS5*INDEX($B$13:$M$13,1,MOD(92-1,12)+1)</f>
        <v/>
      </c>
      <c r="CT37" s="34">
        <f>($B37/12)*(1+INDEX($C37:$E37,1,Control!$B$10))^CT5*INDEX($B$13:$M$13,1,MOD(93-1,12)+1)</f>
        <v/>
      </c>
      <c r="CU37" s="34">
        <f>($B37/12)*(1+INDEX($C37:$E37,1,Control!$B$10))^CU5*INDEX($B$13:$M$13,1,MOD(94-1,12)+1)</f>
        <v/>
      </c>
      <c r="CV37" s="34">
        <f>($B37/12)*(1+INDEX($C37:$E37,1,Control!$B$10))^CV5*INDEX($B$13:$M$13,1,MOD(95-1,12)+1)</f>
        <v/>
      </c>
      <c r="CW37" s="34">
        <f>($B37/12)*(1+INDEX($C37:$E37,1,Control!$B$10))^CW5*INDEX($B$13:$M$13,1,MOD(96-1,12)+1)</f>
        <v/>
      </c>
      <c r="CX37" s="34">
        <f>($B37/12)*(1+INDEX($C37:$E37,1,Control!$B$10))^CX5*INDEX($B$13:$M$13,1,MOD(97-1,12)+1)</f>
        <v/>
      </c>
      <c r="CY37" s="34">
        <f>($B37/12)*(1+INDEX($C37:$E37,1,Control!$B$10))^CY5*INDEX($B$13:$M$13,1,MOD(98-1,12)+1)</f>
        <v/>
      </c>
      <c r="CZ37" s="34">
        <f>($B37/12)*(1+INDEX($C37:$E37,1,Control!$B$10))^CZ5*INDEX($B$13:$M$13,1,MOD(99-1,12)+1)</f>
        <v/>
      </c>
      <c r="DA37" s="34">
        <f>($B37/12)*(1+INDEX($C37:$E37,1,Control!$B$10))^DA5*INDEX($B$13:$M$13,1,MOD(100-1,12)+1)</f>
        <v/>
      </c>
      <c r="DB37" s="34">
        <f>($B37/12)*(1+INDEX($C37:$E37,1,Control!$B$10))^DB5*INDEX($B$13:$M$13,1,MOD(101-1,12)+1)</f>
        <v/>
      </c>
      <c r="DC37" s="34">
        <f>($B37/12)*(1+INDEX($C37:$E37,1,Control!$B$10))^DC5*INDEX($B$13:$M$13,1,MOD(102-1,12)+1)</f>
        <v/>
      </c>
      <c r="DD37" s="34">
        <f>($B37/12)*(1+INDEX($C37:$E37,1,Control!$B$10))^DD5*INDEX($B$13:$M$13,1,MOD(103-1,12)+1)</f>
        <v/>
      </c>
      <c r="DE37" s="34">
        <f>($B37/12)*(1+INDEX($C37:$E37,1,Control!$B$10))^DE5*INDEX($B$13:$M$13,1,MOD(104-1,12)+1)</f>
        <v/>
      </c>
      <c r="DF37" s="34">
        <f>($B37/12)*(1+INDEX($C37:$E37,1,Control!$B$10))^DF5*INDEX($B$13:$M$13,1,MOD(105-1,12)+1)</f>
        <v/>
      </c>
      <c r="DG37" s="34">
        <f>($B37/12)*(1+INDEX($C37:$E37,1,Control!$B$10))^DG5*INDEX($B$13:$M$13,1,MOD(106-1,12)+1)</f>
        <v/>
      </c>
      <c r="DH37" s="34">
        <f>($B37/12)*(1+INDEX($C37:$E37,1,Control!$B$10))^DH5*INDEX($B$13:$M$13,1,MOD(107-1,12)+1)</f>
        <v/>
      </c>
      <c r="DI37" s="34">
        <f>($B37/12)*(1+INDEX($C37:$E37,1,Control!$B$10))^DI5*INDEX($B$13:$M$13,1,MOD(108-1,12)+1)</f>
        <v/>
      </c>
      <c r="DJ37" s="34">
        <f>($B37/12)*(1+INDEX($C37:$E37,1,Control!$B$10))^DJ5*INDEX($B$13:$M$13,1,MOD(109-1,12)+1)</f>
        <v/>
      </c>
      <c r="DK37" s="34">
        <f>($B37/12)*(1+INDEX($C37:$E37,1,Control!$B$10))^DK5*INDEX($B$13:$M$13,1,MOD(110-1,12)+1)</f>
        <v/>
      </c>
      <c r="DL37" s="34">
        <f>($B37/12)*(1+INDEX($C37:$E37,1,Control!$B$10))^DL5*INDEX($B$13:$M$13,1,MOD(111-1,12)+1)</f>
        <v/>
      </c>
      <c r="DM37" s="34">
        <f>($B37/12)*(1+INDEX($C37:$E37,1,Control!$B$10))^DM5*INDEX($B$13:$M$13,1,MOD(112-1,12)+1)</f>
        <v/>
      </c>
      <c r="DN37" s="34">
        <f>($B37/12)*(1+INDEX($C37:$E37,1,Control!$B$10))^DN5*INDEX($B$13:$M$13,1,MOD(113-1,12)+1)</f>
        <v/>
      </c>
      <c r="DO37" s="34">
        <f>($B37/12)*(1+INDEX($C37:$E37,1,Control!$B$10))^DO5*INDEX($B$13:$M$13,1,MOD(114-1,12)+1)</f>
        <v/>
      </c>
      <c r="DP37" s="34">
        <f>($B37/12)*(1+INDEX($C37:$E37,1,Control!$B$10))^DP5*INDEX($B$13:$M$13,1,MOD(115-1,12)+1)</f>
        <v/>
      </c>
      <c r="DQ37" s="34">
        <f>($B37/12)*(1+INDEX($C37:$E37,1,Control!$B$10))^DQ5*INDEX($B$13:$M$13,1,MOD(116-1,12)+1)</f>
        <v/>
      </c>
      <c r="DR37" s="34">
        <f>($B37/12)*(1+INDEX($C37:$E37,1,Control!$B$10))^DR5*INDEX($B$13:$M$13,1,MOD(117-1,12)+1)</f>
        <v/>
      </c>
      <c r="DS37" s="34">
        <f>($B37/12)*(1+INDEX($C37:$E37,1,Control!$B$10))^DS5*INDEX($B$13:$M$13,1,MOD(118-1,12)+1)</f>
        <v/>
      </c>
      <c r="DT37" s="34">
        <f>($B37/12)*(1+INDEX($C37:$E37,1,Control!$B$10))^DT5*INDEX($B$13:$M$13,1,MOD(119-1,12)+1)</f>
        <v/>
      </c>
      <c r="DU37" s="34">
        <f>($B37/12)*(1+INDEX($C37:$E37,1,Control!$B$10))^DU5*INDEX($B$13:$M$13,1,MOD(120-1,12)+1)</f>
        <v/>
      </c>
    </row>
    <row r="38">
      <c r="A38" t="inlineStr">
        <is>
          <t>CityLight-Bottles-OffTrade</t>
        </is>
      </c>
      <c r="B38" s="33" t="n">
        <v>60000</v>
      </c>
      <c r="C38" s="22" t="n">
        <v>0.025</v>
      </c>
      <c r="D38" s="22" t="n">
        <v>0.04</v>
      </c>
      <c r="E38" s="22" t="n">
        <v>0.01</v>
      </c>
      <c r="F38" s="34">
        <f>($B38/12)*(1+INDEX($C38:$E38,1,Control!$B$10))^F5*INDEX($B$13:$M$13,1,MOD(1-1,12)+1)</f>
        <v/>
      </c>
      <c r="G38" s="34">
        <f>($B38/12)*(1+INDEX($C38:$E38,1,Control!$B$10))^G5*INDEX($B$13:$M$13,1,MOD(2-1,12)+1)</f>
        <v/>
      </c>
      <c r="H38" s="34">
        <f>($B38/12)*(1+INDEX($C38:$E38,1,Control!$B$10))^H5*INDEX($B$13:$M$13,1,MOD(3-1,12)+1)</f>
        <v/>
      </c>
      <c r="I38" s="34">
        <f>($B38/12)*(1+INDEX($C38:$E38,1,Control!$B$10))^I5*INDEX($B$13:$M$13,1,MOD(4-1,12)+1)</f>
        <v/>
      </c>
      <c r="J38" s="34">
        <f>($B38/12)*(1+INDEX($C38:$E38,1,Control!$B$10))^J5*INDEX($B$13:$M$13,1,MOD(5-1,12)+1)</f>
        <v/>
      </c>
      <c r="K38" s="34">
        <f>($B38/12)*(1+INDEX($C38:$E38,1,Control!$B$10))^K5*INDEX($B$13:$M$13,1,MOD(6-1,12)+1)</f>
        <v/>
      </c>
      <c r="L38" s="34">
        <f>($B38/12)*(1+INDEX($C38:$E38,1,Control!$B$10))^L5*INDEX($B$13:$M$13,1,MOD(7-1,12)+1)</f>
        <v/>
      </c>
      <c r="M38" s="34">
        <f>($B38/12)*(1+INDEX($C38:$E38,1,Control!$B$10))^M5*INDEX($B$13:$M$13,1,MOD(8-1,12)+1)</f>
        <v/>
      </c>
      <c r="N38" s="34">
        <f>($B38/12)*(1+INDEX($C38:$E38,1,Control!$B$10))^N5*INDEX($B$13:$M$13,1,MOD(9-1,12)+1)</f>
        <v/>
      </c>
      <c r="O38" s="34">
        <f>($B38/12)*(1+INDEX($C38:$E38,1,Control!$B$10))^O5*INDEX($B$13:$M$13,1,MOD(10-1,12)+1)</f>
        <v/>
      </c>
      <c r="P38" s="34">
        <f>($B38/12)*(1+INDEX($C38:$E38,1,Control!$B$10))^P5*INDEX($B$13:$M$13,1,MOD(11-1,12)+1)</f>
        <v/>
      </c>
      <c r="Q38" s="34">
        <f>($B38/12)*(1+INDEX($C38:$E38,1,Control!$B$10))^Q5*INDEX($B$13:$M$13,1,MOD(12-1,12)+1)</f>
        <v/>
      </c>
      <c r="R38" s="34">
        <f>($B38/12)*(1+INDEX($C38:$E38,1,Control!$B$10))^R5*INDEX($B$13:$M$13,1,MOD(13-1,12)+1)</f>
        <v/>
      </c>
      <c r="S38" s="34">
        <f>($B38/12)*(1+INDEX($C38:$E38,1,Control!$B$10))^S5*INDEX($B$13:$M$13,1,MOD(14-1,12)+1)</f>
        <v/>
      </c>
      <c r="T38" s="34">
        <f>($B38/12)*(1+INDEX($C38:$E38,1,Control!$B$10))^T5*INDEX($B$13:$M$13,1,MOD(15-1,12)+1)</f>
        <v/>
      </c>
      <c r="U38" s="34">
        <f>($B38/12)*(1+INDEX($C38:$E38,1,Control!$B$10))^U5*INDEX($B$13:$M$13,1,MOD(16-1,12)+1)</f>
        <v/>
      </c>
      <c r="V38" s="34">
        <f>($B38/12)*(1+INDEX($C38:$E38,1,Control!$B$10))^V5*INDEX($B$13:$M$13,1,MOD(17-1,12)+1)</f>
        <v/>
      </c>
      <c r="W38" s="34">
        <f>($B38/12)*(1+INDEX($C38:$E38,1,Control!$B$10))^W5*INDEX($B$13:$M$13,1,MOD(18-1,12)+1)</f>
        <v/>
      </c>
      <c r="X38" s="34">
        <f>($B38/12)*(1+INDEX($C38:$E38,1,Control!$B$10))^X5*INDEX($B$13:$M$13,1,MOD(19-1,12)+1)</f>
        <v/>
      </c>
      <c r="Y38" s="34">
        <f>($B38/12)*(1+INDEX($C38:$E38,1,Control!$B$10))^Y5*INDEX($B$13:$M$13,1,MOD(20-1,12)+1)</f>
        <v/>
      </c>
      <c r="Z38" s="34">
        <f>($B38/12)*(1+INDEX($C38:$E38,1,Control!$B$10))^Z5*INDEX($B$13:$M$13,1,MOD(21-1,12)+1)</f>
        <v/>
      </c>
      <c r="AA38" s="34">
        <f>($B38/12)*(1+INDEX($C38:$E38,1,Control!$B$10))^AA5*INDEX($B$13:$M$13,1,MOD(22-1,12)+1)</f>
        <v/>
      </c>
      <c r="AB38" s="34">
        <f>($B38/12)*(1+INDEX($C38:$E38,1,Control!$B$10))^AB5*INDEX($B$13:$M$13,1,MOD(23-1,12)+1)</f>
        <v/>
      </c>
      <c r="AC38" s="34">
        <f>($B38/12)*(1+INDEX($C38:$E38,1,Control!$B$10))^AC5*INDEX($B$13:$M$13,1,MOD(24-1,12)+1)</f>
        <v/>
      </c>
      <c r="AD38" s="34">
        <f>($B38/12)*(1+INDEX($C38:$E38,1,Control!$B$10))^AD5*INDEX($B$13:$M$13,1,MOD(25-1,12)+1)</f>
        <v/>
      </c>
      <c r="AE38" s="34">
        <f>($B38/12)*(1+INDEX($C38:$E38,1,Control!$B$10))^AE5*INDEX($B$13:$M$13,1,MOD(26-1,12)+1)</f>
        <v/>
      </c>
      <c r="AF38" s="34">
        <f>($B38/12)*(1+INDEX($C38:$E38,1,Control!$B$10))^AF5*INDEX($B$13:$M$13,1,MOD(27-1,12)+1)</f>
        <v/>
      </c>
      <c r="AG38" s="34">
        <f>($B38/12)*(1+INDEX($C38:$E38,1,Control!$B$10))^AG5*INDEX($B$13:$M$13,1,MOD(28-1,12)+1)</f>
        <v/>
      </c>
      <c r="AH38" s="34">
        <f>($B38/12)*(1+INDEX($C38:$E38,1,Control!$B$10))^AH5*INDEX($B$13:$M$13,1,MOD(29-1,12)+1)</f>
        <v/>
      </c>
      <c r="AI38" s="34">
        <f>($B38/12)*(1+INDEX($C38:$E38,1,Control!$B$10))^AI5*INDEX($B$13:$M$13,1,MOD(30-1,12)+1)</f>
        <v/>
      </c>
      <c r="AJ38" s="34">
        <f>($B38/12)*(1+INDEX($C38:$E38,1,Control!$B$10))^AJ5*INDEX($B$13:$M$13,1,MOD(31-1,12)+1)</f>
        <v/>
      </c>
      <c r="AK38" s="34">
        <f>($B38/12)*(1+INDEX($C38:$E38,1,Control!$B$10))^AK5*INDEX($B$13:$M$13,1,MOD(32-1,12)+1)</f>
        <v/>
      </c>
      <c r="AL38" s="34">
        <f>($B38/12)*(1+INDEX($C38:$E38,1,Control!$B$10))^AL5*INDEX($B$13:$M$13,1,MOD(33-1,12)+1)</f>
        <v/>
      </c>
      <c r="AM38" s="34">
        <f>($B38/12)*(1+INDEX($C38:$E38,1,Control!$B$10))^AM5*INDEX($B$13:$M$13,1,MOD(34-1,12)+1)</f>
        <v/>
      </c>
      <c r="AN38" s="34">
        <f>($B38/12)*(1+INDEX($C38:$E38,1,Control!$B$10))^AN5*INDEX($B$13:$M$13,1,MOD(35-1,12)+1)</f>
        <v/>
      </c>
      <c r="AO38" s="34">
        <f>($B38/12)*(1+INDEX($C38:$E38,1,Control!$B$10))^AO5*INDEX($B$13:$M$13,1,MOD(36-1,12)+1)</f>
        <v/>
      </c>
      <c r="AP38" s="34">
        <f>($B38/12)*(1+INDEX($C38:$E38,1,Control!$B$10))^AP5*INDEX($B$13:$M$13,1,MOD(37-1,12)+1)</f>
        <v/>
      </c>
      <c r="AQ38" s="34">
        <f>($B38/12)*(1+INDEX($C38:$E38,1,Control!$B$10))^AQ5*INDEX($B$13:$M$13,1,MOD(38-1,12)+1)</f>
        <v/>
      </c>
      <c r="AR38" s="34">
        <f>($B38/12)*(1+INDEX($C38:$E38,1,Control!$B$10))^AR5*INDEX($B$13:$M$13,1,MOD(39-1,12)+1)</f>
        <v/>
      </c>
      <c r="AS38" s="34">
        <f>($B38/12)*(1+INDEX($C38:$E38,1,Control!$B$10))^AS5*INDEX($B$13:$M$13,1,MOD(40-1,12)+1)</f>
        <v/>
      </c>
      <c r="AT38" s="34">
        <f>($B38/12)*(1+INDEX($C38:$E38,1,Control!$B$10))^AT5*INDEX($B$13:$M$13,1,MOD(41-1,12)+1)</f>
        <v/>
      </c>
      <c r="AU38" s="34">
        <f>($B38/12)*(1+INDEX($C38:$E38,1,Control!$B$10))^AU5*INDEX($B$13:$M$13,1,MOD(42-1,12)+1)</f>
        <v/>
      </c>
      <c r="AV38" s="34">
        <f>($B38/12)*(1+INDEX($C38:$E38,1,Control!$B$10))^AV5*INDEX($B$13:$M$13,1,MOD(43-1,12)+1)</f>
        <v/>
      </c>
      <c r="AW38" s="34">
        <f>($B38/12)*(1+INDEX($C38:$E38,1,Control!$B$10))^AW5*INDEX($B$13:$M$13,1,MOD(44-1,12)+1)</f>
        <v/>
      </c>
      <c r="AX38" s="34">
        <f>($B38/12)*(1+INDEX($C38:$E38,1,Control!$B$10))^AX5*INDEX($B$13:$M$13,1,MOD(45-1,12)+1)</f>
        <v/>
      </c>
      <c r="AY38" s="34">
        <f>($B38/12)*(1+INDEX($C38:$E38,1,Control!$B$10))^AY5*INDEX($B$13:$M$13,1,MOD(46-1,12)+1)</f>
        <v/>
      </c>
      <c r="AZ38" s="34">
        <f>($B38/12)*(1+INDEX($C38:$E38,1,Control!$B$10))^AZ5*INDEX($B$13:$M$13,1,MOD(47-1,12)+1)</f>
        <v/>
      </c>
      <c r="BA38" s="34">
        <f>($B38/12)*(1+INDEX($C38:$E38,1,Control!$B$10))^BA5*INDEX($B$13:$M$13,1,MOD(48-1,12)+1)</f>
        <v/>
      </c>
      <c r="BB38" s="34">
        <f>($B38/12)*(1+INDEX($C38:$E38,1,Control!$B$10))^BB5*INDEX($B$13:$M$13,1,MOD(49-1,12)+1)</f>
        <v/>
      </c>
      <c r="BC38" s="34">
        <f>($B38/12)*(1+INDEX($C38:$E38,1,Control!$B$10))^BC5*INDEX($B$13:$M$13,1,MOD(50-1,12)+1)</f>
        <v/>
      </c>
      <c r="BD38" s="34">
        <f>($B38/12)*(1+INDEX($C38:$E38,1,Control!$B$10))^BD5*INDEX($B$13:$M$13,1,MOD(51-1,12)+1)</f>
        <v/>
      </c>
      <c r="BE38" s="34">
        <f>($B38/12)*(1+INDEX($C38:$E38,1,Control!$B$10))^BE5*INDEX($B$13:$M$13,1,MOD(52-1,12)+1)</f>
        <v/>
      </c>
      <c r="BF38" s="34">
        <f>($B38/12)*(1+INDEX($C38:$E38,1,Control!$B$10))^BF5*INDEX($B$13:$M$13,1,MOD(53-1,12)+1)</f>
        <v/>
      </c>
      <c r="BG38" s="34">
        <f>($B38/12)*(1+INDEX($C38:$E38,1,Control!$B$10))^BG5*INDEX($B$13:$M$13,1,MOD(54-1,12)+1)</f>
        <v/>
      </c>
      <c r="BH38" s="34">
        <f>($B38/12)*(1+INDEX($C38:$E38,1,Control!$B$10))^BH5*INDEX($B$13:$M$13,1,MOD(55-1,12)+1)</f>
        <v/>
      </c>
      <c r="BI38" s="34">
        <f>($B38/12)*(1+INDEX($C38:$E38,1,Control!$B$10))^BI5*INDEX($B$13:$M$13,1,MOD(56-1,12)+1)</f>
        <v/>
      </c>
      <c r="BJ38" s="34">
        <f>($B38/12)*(1+INDEX($C38:$E38,1,Control!$B$10))^BJ5*INDEX($B$13:$M$13,1,MOD(57-1,12)+1)</f>
        <v/>
      </c>
      <c r="BK38" s="34">
        <f>($B38/12)*(1+INDEX($C38:$E38,1,Control!$B$10))^BK5*INDEX($B$13:$M$13,1,MOD(58-1,12)+1)</f>
        <v/>
      </c>
      <c r="BL38" s="34">
        <f>($B38/12)*(1+INDEX($C38:$E38,1,Control!$B$10))^BL5*INDEX($B$13:$M$13,1,MOD(59-1,12)+1)</f>
        <v/>
      </c>
      <c r="BM38" s="34">
        <f>($B38/12)*(1+INDEX($C38:$E38,1,Control!$B$10))^BM5*INDEX($B$13:$M$13,1,MOD(60-1,12)+1)</f>
        <v/>
      </c>
      <c r="BN38" s="34">
        <f>($B38/12)*(1+INDEX($C38:$E38,1,Control!$B$10))^BN5*INDEX($B$13:$M$13,1,MOD(61-1,12)+1)</f>
        <v/>
      </c>
      <c r="BO38" s="34">
        <f>($B38/12)*(1+INDEX($C38:$E38,1,Control!$B$10))^BO5*INDEX($B$13:$M$13,1,MOD(62-1,12)+1)</f>
        <v/>
      </c>
      <c r="BP38" s="34">
        <f>($B38/12)*(1+INDEX($C38:$E38,1,Control!$B$10))^BP5*INDEX($B$13:$M$13,1,MOD(63-1,12)+1)</f>
        <v/>
      </c>
      <c r="BQ38" s="34">
        <f>($B38/12)*(1+INDEX($C38:$E38,1,Control!$B$10))^BQ5*INDEX($B$13:$M$13,1,MOD(64-1,12)+1)</f>
        <v/>
      </c>
      <c r="BR38" s="34">
        <f>($B38/12)*(1+INDEX($C38:$E38,1,Control!$B$10))^BR5*INDEX($B$13:$M$13,1,MOD(65-1,12)+1)</f>
        <v/>
      </c>
      <c r="BS38" s="34">
        <f>($B38/12)*(1+INDEX($C38:$E38,1,Control!$B$10))^BS5*INDEX($B$13:$M$13,1,MOD(66-1,12)+1)</f>
        <v/>
      </c>
      <c r="BT38" s="34">
        <f>($B38/12)*(1+INDEX($C38:$E38,1,Control!$B$10))^BT5*INDEX($B$13:$M$13,1,MOD(67-1,12)+1)</f>
        <v/>
      </c>
      <c r="BU38" s="34">
        <f>($B38/12)*(1+INDEX($C38:$E38,1,Control!$B$10))^BU5*INDEX($B$13:$M$13,1,MOD(68-1,12)+1)</f>
        <v/>
      </c>
      <c r="BV38" s="34">
        <f>($B38/12)*(1+INDEX($C38:$E38,1,Control!$B$10))^BV5*INDEX($B$13:$M$13,1,MOD(69-1,12)+1)</f>
        <v/>
      </c>
      <c r="BW38" s="34">
        <f>($B38/12)*(1+INDEX($C38:$E38,1,Control!$B$10))^BW5*INDEX($B$13:$M$13,1,MOD(70-1,12)+1)</f>
        <v/>
      </c>
      <c r="BX38" s="34">
        <f>($B38/12)*(1+INDEX($C38:$E38,1,Control!$B$10))^BX5*INDEX($B$13:$M$13,1,MOD(71-1,12)+1)</f>
        <v/>
      </c>
      <c r="BY38" s="34">
        <f>($B38/12)*(1+INDEX($C38:$E38,1,Control!$B$10))^BY5*INDEX($B$13:$M$13,1,MOD(72-1,12)+1)</f>
        <v/>
      </c>
      <c r="BZ38" s="34">
        <f>($B38/12)*(1+INDEX($C38:$E38,1,Control!$B$10))^BZ5*INDEX($B$13:$M$13,1,MOD(73-1,12)+1)</f>
        <v/>
      </c>
      <c r="CA38" s="34">
        <f>($B38/12)*(1+INDEX($C38:$E38,1,Control!$B$10))^CA5*INDEX($B$13:$M$13,1,MOD(74-1,12)+1)</f>
        <v/>
      </c>
      <c r="CB38" s="34">
        <f>($B38/12)*(1+INDEX($C38:$E38,1,Control!$B$10))^CB5*INDEX($B$13:$M$13,1,MOD(75-1,12)+1)</f>
        <v/>
      </c>
      <c r="CC38" s="34">
        <f>($B38/12)*(1+INDEX($C38:$E38,1,Control!$B$10))^CC5*INDEX($B$13:$M$13,1,MOD(76-1,12)+1)</f>
        <v/>
      </c>
      <c r="CD38" s="34">
        <f>($B38/12)*(1+INDEX($C38:$E38,1,Control!$B$10))^CD5*INDEX($B$13:$M$13,1,MOD(77-1,12)+1)</f>
        <v/>
      </c>
      <c r="CE38" s="34">
        <f>($B38/12)*(1+INDEX($C38:$E38,1,Control!$B$10))^CE5*INDEX($B$13:$M$13,1,MOD(78-1,12)+1)</f>
        <v/>
      </c>
      <c r="CF38" s="34">
        <f>($B38/12)*(1+INDEX($C38:$E38,1,Control!$B$10))^CF5*INDEX($B$13:$M$13,1,MOD(79-1,12)+1)</f>
        <v/>
      </c>
      <c r="CG38" s="34">
        <f>($B38/12)*(1+INDEX($C38:$E38,1,Control!$B$10))^CG5*INDEX($B$13:$M$13,1,MOD(80-1,12)+1)</f>
        <v/>
      </c>
      <c r="CH38" s="34">
        <f>($B38/12)*(1+INDEX($C38:$E38,1,Control!$B$10))^CH5*INDEX($B$13:$M$13,1,MOD(81-1,12)+1)</f>
        <v/>
      </c>
      <c r="CI38" s="34">
        <f>($B38/12)*(1+INDEX($C38:$E38,1,Control!$B$10))^CI5*INDEX($B$13:$M$13,1,MOD(82-1,12)+1)</f>
        <v/>
      </c>
      <c r="CJ38" s="34">
        <f>($B38/12)*(1+INDEX($C38:$E38,1,Control!$B$10))^CJ5*INDEX($B$13:$M$13,1,MOD(83-1,12)+1)</f>
        <v/>
      </c>
      <c r="CK38" s="34">
        <f>($B38/12)*(1+INDEX($C38:$E38,1,Control!$B$10))^CK5*INDEX($B$13:$M$13,1,MOD(84-1,12)+1)</f>
        <v/>
      </c>
      <c r="CL38" s="34">
        <f>($B38/12)*(1+INDEX($C38:$E38,1,Control!$B$10))^CL5*INDEX($B$13:$M$13,1,MOD(85-1,12)+1)</f>
        <v/>
      </c>
      <c r="CM38" s="34">
        <f>($B38/12)*(1+INDEX($C38:$E38,1,Control!$B$10))^CM5*INDEX($B$13:$M$13,1,MOD(86-1,12)+1)</f>
        <v/>
      </c>
      <c r="CN38" s="34">
        <f>($B38/12)*(1+INDEX($C38:$E38,1,Control!$B$10))^CN5*INDEX($B$13:$M$13,1,MOD(87-1,12)+1)</f>
        <v/>
      </c>
      <c r="CO38" s="34">
        <f>($B38/12)*(1+INDEX($C38:$E38,1,Control!$B$10))^CO5*INDEX($B$13:$M$13,1,MOD(88-1,12)+1)</f>
        <v/>
      </c>
      <c r="CP38" s="34">
        <f>($B38/12)*(1+INDEX($C38:$E38,1,Control!$B$10))^CP5*INDEX($B$13:$M$13,1,MOD(89-1,12)+1)</f>
        <v/>
      </c>
      <c r="CQ38" s="34">
        <f>($B38/12)*(1+INDEX($C38:$E38,1,Control!$B$10))^CQ5*INDEX($B$13:$M$13,1,MOD(90-1,12)+1)</f>
        <v/>
      </c>
      <c r="CR38" s="34">
        <f>($B38/12)*(1+INDEX($C38:$E38,1,Control!$B$10))^CR5*INDEX($B$13:$M$13,1,MOD(91-1,12)+1)</f>
        <v/>
      </c>
      <c r="CS38" s="34">
        <f>($B38/12)*(1+INDEX($C38:$E38,1,Control!$B$10))^CS5*INDEX($B$13:$M$13,1,MOD(92-1,12)+1)</f>
        <v/>
      </c>
      <c r="CT38" s="34">
        <f>($B38/12)*(1+INDEX($C38:$E38,1,Control!$B$10))^CT5*INDEX($B$13:$M$13,1,MOD(93-1,12)+1)</f>
        <v/>
      </c>
      <c r="CU38" s="34">
        <f>($B38/12)*(1+INDEX($C38:$E38,1,Control!$B$10))^CU5*INDEX($B$13:$M$13,1,MOD(94-1,12)+1)</f>
        <v/>
      </c>
      <c r="CV38" s="34">
        <f>($B38/12)*(1+INDEX($C38:$E38,1,Control!$B$10))^CV5*INDEX($B$13:$M$13,1,MOD(95-1,12)+1)</f>
        <v/>
      </c>
      <c r="CW38" s="34">
        <f>($B38/12)*(1+INDEX($C38:$E38,1,Control!$B$10))^CW5*INDEX($B$13:$M$13,1,MOD(96-1,12)+1)</f>
        <v/>
      </c>
      <c r="CX38" s="34">
        <f>($B38/12)*(1+INDEX($C38:$E38,1,Control!$B$10))^CX5*INDEX($B$13:$M$13,1,MOD(97-1,12)+1)</f>
        <v/>
      </c>
      <c r="CY38" s="34">
        <f>($B38/12)*(1+INDEX($C38:$E38,1,Control!$B$10))^CY5*INDEX($B$13:$M$13,1,MOD(98-1,12)+1)</f>
        <v/>
      </c>
      <c r="CZ38" s="34">
        <f>($B38/12)*(1+INDEX($C38:$E38,1,Control!$B$10))^CZ5*INDEX($B$13:$M$13,1,MOD(99-1,12)+1)</f>
        <v/>
      </c>
      <c r="DA38" s="34">
        <f>($B38/12)*(1+INDEX($C38:$E38,1,Control!$B$10))^DA5*INDEX($B$13:$M$13,1,MOD(100-1,12)+1)</f>
        <v/>
      </c>
      <c r="DB38" s="34">
        <f>($B38/12)*(1+INDEX($C38:$E38,1,Control!$B$10))^DB5*INDEX($B$13:$M$13,1,MOD(101-1,12)+1)</f>
        <v/>
      </c>
      <c r="DC38" s="34">
        <f>($B38/12)*(1+INDEX($C38:$E38,1,Control!$B$10))^DC5*INDEX($B$13:$M$13,1,MOD(102-1,12)+1)</f>
        <v/>
      </c>
      <c r="DD38" s="34">
        <f>($B38/12)*(1+INDEX($C38:$E38,1,Control!$B$10))^DD5*INDEX($B$13:$M$13,1,MOD(103-1,12)+1)</f>
        <v/>
      </c>
      <c r="DE38" s="34">
        <f>($B38/12)*(1+INDEX($C38:$E38,1,Control!$B$10))^DE5*INDEX($B$13:$M$13,1,MOD(104-1,12)+1)</f>
        <v/>
      </c>
      <c r="DF38" s="34">
        <f>($B38/12)*(1+INDEX($C38:$E38,1,Control!$B$10))^DF5*INDEX($B$13:$M$13,1,MOD(105-1,12)+1)</f>
        <v/>
      </c>
      <c r="DG38" s="34">
        <f>($B38/12)*(1+INDEX($C38:$E38,1,Control!$B$10))^DG5*INDEX($B$13:$M$13,1,MOD(106-1,12)+1)</f>
        <v/>
      </c>
      <c r="DH38" s="34">
        <f>($B38/12)*(1+INDEX($C38:$E38,1,Control!$B$10))^DH5*INDEX($B$13:$M$13,1,MOD(107-1,12)+1)</f>
        <v/>
      </c>
      <c r="DI38" s="34">
        <f>($B38/12)*(1+INDEX($C38:$E38,1,Control!$B$10))^DI5*INDEX($B$13:$M$13,1,MOD(108-1,12)+1)</f>
        <v/>
      </c>
      <c r="DJ38" s="34">
        <f>($B38/12)*(1+INDEX($C38:$E38,1,Control!$B$10))^DJ5*INDEX($B$13:$M$13,1,MOD(109-1,12)+1)</f>
        <v/>
      </c>
      <c r="DK38" s="34">
        <f>($B38/12)*(1+INDEX($C38:$E38,1,Control!$B$10))^DK5*INDEX($B$13:$M$13,1,MOD(110-1,12)+1)</f>
        <v/>
      </c>
      <c r="DL38" s="34">
        <f>($B38/12)*(1+INDEX($C38:$E38,1,Control!$B$10))^DL5*INDEX($B$13:$M$13,1,MOD(111-1,12)+1)</f>
        <v/>
      </c>
      <c r="DM38" s="34">
        <f>($B38/12)*(1+INDEX($C38:$E38,1,Control!$B$10))^DM5*INDEX($B$13:$M$13,1,MOD(112-1,12)+1)</f>
        <v/>
      </c>
      <c r="DN38" s="34">
        <f>($B38/12)*(1+INDEX($C38:$E38,1,Control!$B$10))^DN5*INDEX($B$13:$M$13,1,MOD(113-1,12)+1)</f>
        <v/>
      </c>
      <c r="DO38" s="34">
        <f>($B38/12)*(1+INDEX($C38:$E38,1,Control!$B$10))^DO5*INDEX($B$13:$M$13,1,MOD(114-1,12)+1)</f>
        <v/>
      </c>
      <c r="DP38" s="34">
        <f>($B38/12)*(1+INDEX($C38:$E38,1,Control!$B$10))^DP5*INDEX($B$13:$M$13,1,MOD(115-1,12)+1)</f>
        <v/>
      </c>
      <c r="DQ38" s="34">
        <f>($B38/12)*(1+INDEX($C38:$E38,1,Control!$B$10))^DQ5*INDEX($B$13:$M$13,1,MOD(116-1,12)+1)</f>
        <v/>
      </c>
      <c r="DR38" s="34">
        <f>($B38/12)*(1+INDEX($C38:$E38,1,Control!$B$10))^DR5*INDEX($B$13:$M$13,1,MOD(117-1,12)+1)</f>
        <v/>
      </c>
      <c r="DS38" s="34">
        <f>($B38/12)*(1+INDEX($C38:$E38,1,Control!$B$10))^DS5*INDEX($B$13:$M$13,1,MOD(118-1,12)+1)</f>
        <v/>
      </c>
      <c r="DT38" s="34">
        <f>($B38/12)*(1+INDEX($C38:$E38,1,Control!$B$10))^DT5*INDEX($B$13:$M$13,1,MOD(119-1,12)+1)</f>
        <v/>
      </c>
      <c r="DU38" s="34">
        <f>($B38/12)*(1+INDEX($C38:$E38,1,Control!$B$10))^DU5*INDEX($B$13:$M$13,1,MOD(120-1,12)+1)</f>
        <v/>
      </c>
    </row>
    <row r="39">
      <c r="A39" t="inlineStr">
        <is>
          <t>CityLight-Cans-OnTrade</t>
        </is>
      </c>
      <c r="B39" s="33" t="n">
        <v>15000</v>
      </c>
      <c r="C39" s="22" t="n">
        <v>0.025</v>
      </c>
      <c r="D39" s="22" t="n">
        <v>0.04</v>
      </c>
      <c r="E39" s="22" t="n">
        <v>0.01</v>
      </c>
      <c r="F39" s="34">
        <f>($B39/12)*(1+INDEX($C39:$E39,1,Control!$B$10))^F5*INDEX($B$13:$M$13,1,MOD(1-1,12)+1)</f>
        <v/>
      </c>
      <c r="G39" s="34">
        <f>($B39/12)*(1+INDEX($C39:$E39,1,Control!$B$10))^G5*INDEX($B$13:$M$13,1,MOD(2-1,12)+1)</f>
        <v/>
      </c>
      <c r="H39" s="34">
        <f>($B39/12)*(1+INDEX($C39:$E39,1,Control!$B$10))^H5*INDEX($B$13:$M$13,1,MOD(3-1,12)+1)</f>
        <v/>
      </c>
      <c r="I39" s="34">
        <f>($B39/12)*(1+INDEX($C39:$E39,1,Control!$B$10))^I5*INDEX($B$13:$M$13,1,MOD(4-1,12)+1)</f>
        <v/>
      </c>
      <c r="J39" s="34">
        <f>($B39/12)*(1+INDEX($C39:$E39,1,Control!$B$10))^J5*INDEX($B$13:$M$13,1,MOD(5-1,12)+1)</f>
        <v/>
      </c>
      <c r="K39" s="34">
        <f>($B39/12)*(1+INDEX($C39:$E39,1,Control!$B$10))^K5*INDEX($B$13:$M$13,1,MOD(6-1,12)+1)</f>
        <v/>
      </c>
      <c r="L39" s="34">
        <f>($B39/12)*(1+INDEX($C39:$E39,1,Control!$B$10))^L5*INDEX($B$13:$M$13,1,MOD(7-1,12)+1)</f>
        <v/>
      </c>
      <c r="M39" s="34">
        <f>($B39/12)*(1+INDEX($C39:$E39,1,Control!$B$10))^M5*INDEX($B$13:$M$13,1,MOD(8-1,12)+1)</f>
        <v/>
      </c>
      <c r="N39" s="34">
        <f>($B39/12)*(1+INDEX($C39:$E39,1,Control!$B$10))^N5*INDEX($B$13:$M$13,1,MOD(9-1,12)+1)</f>
        <v/>
      </c>
      <c r="O39" s="34">
        <f>($B39/12)*(1+INDEX($C39:$E39,1,Control!$B$10))^O5*INDEX($B$13:$M$13,1,MOD(10-1,12)+1)</f>
        <v/>
      </c>
      <c r="P39" s="34">
        <f>($B39/12)*(1+INDEX($C39:$E39,1,Control!$B$10))^P5*INDEX($B$13:$M$13,1,MOD(11-1,12)+1)</f>
        <v/>
      </c>
      <c r="Q39" s="34">
        <f>($B39/12)*(1+INDEX($C39:$E39,1,Control!$B$10))^Q5*INDEX($B$13:$M$13,1,MOD(12-1,12)+1)</f>
        <v/>
      </c>
      <c r="R39" s="34">
        <f>($B39/12)*(1+INDEX($C39:$E39,1,Control!$B$10))^R5*INDEX($B$13:$M$13,1,MOD(13-1,12)+1)</f>
        <v/>
      </c>
      <c r="S39" s="34">
        <f>($B39/12)*(1+INDEX($C39:$E39,1,Control!$B$10))^S5*INDEX($B$13:$M$13,1,MOD(14-1,12)+1)</f>
        <v/>
      </c>
      <c r="T39" s="34">
        <f>($B39/12)*(1+INDEX($C39:$E39,1,Control!$B$10))^T5*INDEX($B$13:$M$13,1,MOD(15-1,12)+1)</f>
        <v/>
      </c>
      <c r="U39" s="34">
        <f>($B39/12)*(1+INDEX($C39:$E39,1,Control!$B$10))^U5*INDEX($B$13:$M$13,1,MOD(16-1,12)+1)</f>
        <v/>
      </c>
      <c r="V39" s="34">
        <f>($B39/12)*(1+INDEX($C39:$E39,1,Control!$B$10))^V5*INDEX($B$13:$M$13,1,MOD(17-1,12)+1)</f>
        <v/>
      </c>
      <c r="W39" s="34">
        <f>($B39/12)*(1+INDEX($C39:$E39,1,Control!$B$10))^W5*INDEX($B$13:$M$13,1,MOD(18-1,12)+1)</f>
        <v/>
      </c>
      <c r="X39" s="34">
        <f>($B39/12)*(1+INDEX($C39:$E39,1,Control!$B$10))^X5*INDEX($B$13:$M$13,1,MOD(19-1,12)+1)</f>
        <v/>
      </c>
      <c r="Y39" s="34">
        <f>($B39/12)*(1+INDEX($C39:$E39,1,Control!$B$10))^Y5*INDEX($B$13:$M$13,1,MOD(20-1,12)+1)</f>
        <v/>
      </c>
      <c r="Z39" s="34">
        <f>($B39/12)*(1+INDEX($C39:$E39,1,Control!$B$10))^Z5*INDEX($B$13:$M$13,1,MOD(21-1,12)+1)</f>
        <v/>
      </c>
      <c r="AA39" s="34">
        <f>($B39/12)*(1+INDEX($C39:$E39,1,Control!$B$10))^AA5*INDEX($B$13:$M$13,1,MOD(22-1,12)+1)</f>
        <v/>
      </c>
      <c r="AB39" s="34">
        <f>($B39/12)*(1+INDEX($C39:$E39,1,Control!$B$10))^AB5*INDEX($B$13:$M$13,1,MOD(23-1,12)+1)</f>
        <v/>
      </c>
      <c r="AC39" s="34">
        <f>($B39/12)*(1+INDEX($C39:$E39,1,Control!$B$10))^AC5*INDEX($B$13:$M$13,1,MOD(24-1,12)+1)</f>
        <v/>
      </c>
      <c r="AD39" s="34">
        <f>($B39/12)*(1+INDEX($C39:$E39,1,Control!$B$10))^AD5*INDEX($B$13:$M$13,1,MOD(25-1,12)+1)</f>
        <v/>
      </c>
      <c r="AE39" s="34">
        <f>($B39/12)*(1+INDEX($C39:$E39,1,Control!$B$10))^AE5*INDEX($B$13:$M$13,1,MOD(26-1,12)+1)</f>
        <v/>
      </c>
      <c r="AF39" s="34">
        <f>($B39/12)*(1+INDEX($C39:$E39,1,Control!$B$10))^AF5*INDEX($B$13:$M$13,1,MOD(27-1,12)+1)</f>
        <v/>
      </c>
      <c r="AG39" s="34">
        <f>($B39/12)*(1+INDEX($C39:$E39,1,Control!$B$10))^AG5*INDEX($B$13:$M$13,1,MOD(28-1,12)+1)</f>
        <v/>
      </c>
      <c r="AH39" s="34">
        <f>($B39/12)*(1+INDEX($C39:$E39,1,Control!$B$10))^AH5*INDEX($B$13:$M$13,1,MOD(29-1,12)+1)</f>
        <v/>
      </c>
      <c r="AI39" s="34">
        <f>($B39/12)*(1+INDEX($C39:$E39,1,Control!$B$10))^AI5*INDEX($B$13:$M$13,1,MOD(30-1,12)+1)</f>
        <v/>
      </c>
      <c r="AJ39" s="34">
        <f>($B39/12)*(1+INDEX($C39:$E39,1,Control!$B$10))^AJ5*INDEX($B$13:$M$13,1,MOD(31-1,12)+1)</f>
        <v/>
      </c>
      <c r="AK39" s="34">
        <f>($B39/12)*(1+INDEX($C39:$E39,1,Control!$B$10))^AK5*INDEX($B$13:$M$13,1,MOD(32-1,12)+1)</f>
        <v/>
      </c>
      <c r="AL39" s="34">
        <f>($B39/12)*(1+INDEX($C39:$E39,1,Control!$B$10))^AL5*INDEX($B$13:$M$13,1,MOD(33-1,12)+1)</f>
        <v/>
      </c>
      <c r="AM39" s="34">
        <f>($B39/12)*(1+INDEX($C39:$E39,1,Control!$B$10))^AM5*INDEX($B$13:$M$13,1,MOD(34-1,12)+1)</f>
        <v/>
      </c>
      <c r="AN39" s="34">
        <f>($B39/12)*(1+INDEX($C39:$E39,1,Control!$B$10))^AN5*INDEX($B$13:$M$13,1,MOD(35-1,12)+1)</f>
        <v/>
      </c>
      <c r="AO39" s="34">
        <f>($B39/12)*(1+INDEX($C39:$E39,1,Control!$B$10))^AO5*INDEX($B$13:$M$13,1,MOD(36-1,12)+1)</f>
        <v/>
      </c>
      <c r="AP39" s="34">
        <f>($B39/12)*(1+INDEX($C39:$E39,1,Control!$B$10))^AP5*INDEX($B$13:$M$13,1,MOD(37-1,12)+1)</f>
        <v/>
      </c>
      <c r="AQ39" s="34">
        <f>($B39/12)*(1+INDEX($C39:$E39,1,Control!$B$10))^AQ5*INDEX($B$13:$M$13,1,MOD(38-1,12)+1)</f>
        <v/>
      </c>
      <c r="AR39" s="34">
        <f>($B39/12)*(1+INDEX($C39:$E39,1,Control!$B$10))^AR5*INDEX($B$13:$M$13,1,MOD(39-1,12)+1)</f>
        <v/>
      </c>
      <c r="AS39" s="34">
        <f>($B39/12)*(1+INDEX($C39:$E39,1,Control!$B$10))^AS5*INDEX($B$13:$M$13,1,MOD(40-1,12)+1)</f>
        <v/>
      </c>
      <c r="AT39" s="34">
        <f>($B39/12)*(1+INDEX($C39:$E39,1,Control!$B$10))^AT5*INDEX($B$13:$M$13,1,MOD(41-1,12)+1)</f>
        <v/>
      </c>
      <c r="AU39" s="34">
        <f>($B39/12)*(1+INDEX($C39:$E39,1,Control!$B$10))^AU5*INDEX($B$13:$M$13,1,MOD(42-1,12)+1)</f>
        <v/>
      </c>
      <c r="AV39" s="34">
        <f>($B39/12)*(1+INDEX($C39:$E39,1,Control!$B$10))^AV5*INDEX($B$13:$M$13,1,MOD(43-1,12)+1)</f>
        <v/>
      </c>
      <c r="AW39" s="34">
        <f>($B39/12)*(1+INDEX($C39:$E39,1,Control!$B$10))^AW5*INDEX($B$13:$M$13,1,MOD(44-1,12)+1)</f>
        <v/>
      </c>
      <c r="AX39" s="34">
        <f>($B39/12)*(1+INDEX($C39:$E39,1,Control!$B$10))^AX5*INDEX($B$13:$M$13,1,MOD(45-1,12)+1)</f>
        <v/>
      </c>
      <c r="AY39" s="34">
        <f>($B39/12)*(1+INDEX($C39:$E39,1,Control!$B$10))^AY5*INDEX($B$13:$M$13,1,MOD(46-1,12)+1)</f>
        <v/>
      </c>
      <c r="AZ39" s="34">
        <f>($B39/12)*(1+INDEX($C39:$E39,1,Control!$B$10))^AZ5*INDEX($B$13:$M$13,1,MOD(47-1,12)+1)</f>
        <v/>
      </c>
      <c r="BA39" s="34">
        <f>($B39/12)*(1+INDEX($C39:$E39,1,Control!$B$10))^BA5*INDEX($B$13:$M$13,1,MOD(48-1,12)+1)</f>
        <v/>
      </c>
      <c r="BB39" s="34">
        <f>($B39/12)*(1+INDEX($C39:$E39,1,Control!$B$10))^BB5*INDEX($B$13:$M$13,1,MOD(49-1,12)+1)</f>
        <v/>
      </c>
      <c r="BC39" s="34">
        <f>($B39/12)*(1+INDEX($C39:$E39,1,Control!$B$10))^BC5*INDEX($B$13:$M$13,1,MOD(50-1,12)+1)</f>
        <v/>
      </c>
      <c r="BD39" s="34">
        <f>($B39/12)*(1+INDEX($C39:$E39,1,Control!$B$10))^BD5*INDEX($B$13:$M$13,1,MOD(51-1,12)+1)</f>
        <v/>
      </c>
      <c r="BE39" s="34">
        <f>($B39/12)*(1+INDEX($C39:$E39,1,Control!$B$10))^BE5*INDEX($B$13:$M$13,1,MOD(52-1,12)+1)</f>
        <v/>
      </c>
      <c r="BF39" s="34">
        <f>($B39/12)*(1+INDEX($C39:$E39,1,Control!$B$10))^BF5*INDEX($B$13:$M$13,1,MOD(53-1,12)+1)</f>
        <v/>
      </c>
      <c r="BG39" s="34">
        <f>($B39/12)*(1+INDEX($C39:$E39,1,Control!$B$10))^BG5*INDEX($B$13:$M$13,1,MOD(54-1,12)+1)</f>
        <v/>
      </c>
      <c r="BH39" s="34">
        <f>($B39/12)*(1+INDEX($C39:$E39,1,Control!$B$10))^BH5*INDEX($B$13:$M$13,1,MOD(55-1,12)+1)</f>
        <v/>
      </c>
      <c r="BI39" s="34">
        <f>($B39/12)*(1+INDEX($C39:$E39,1,Control!$B$10))^BI5*INDEX($B$13:$M$13,1,MOD(56-1,12)+1)</f>
        <v/>
      </c>
      <c r="BJ39" s="34">
        <f>($B39/12)*(1+INDEX($C39:$E39,1,Control!$B$10))^BJ5*INDEX($B$13:$M$13,1,MOD(57-1,12)+1)</f>
        <v/>
      </c>
      <c r="BK39" s="34">
        <f>($B39/12)*(1+INDEX($C39:$E39,1,Control!$B$10))^BK5*INDEX($B$13:$M$13,1,MOD(58-1,12)+1)</f>
        <v/>
      </c>
      <c r="BL39" s="34">
        <f>($B39/12)*(1+INDEX($C39:$E39,1,Control!$B$10))^BL5*INDEX($B$13:$M$13,1,MOD(59-1,12)+1)</f>
        <v/>
      </c>
      <c r="BM39" s="34">
        <f>($B39/12)*(1+INDEX($C39:$E39,1,Control!$B$10))^BM5*INDEX($B$13:$M$13,1,MOD(60-1,12)+1)</f>
        <v/>
      </c>
      <c r="BN39" s="34">
        <f>($B39/12)*(1+INDEX($C39:$E39,1,Control!$B$10))^BN5*INDEX($B$13:$M$13,1,MOD(61-1,12)+1)</f>
        <v/>
      </c>
      <c r="BO39" s="34">
        <f>($B39/12)*(1+INDEX($C39:$E39,1,Control!$B$10))^BO5*INDEX($B$13:$M$13,1,MOD(62-1,12)+1)</f>
        <v/>
      </c>
      <c r="BP39" s="34">
        <f>($B39/12)*(1+INDEX($C39:$E39,1,Control!$B$10))^BP5*INDEX($B$13:$M$13,1,MOD(63-1,12)+1)</f>
        <v/>
      </c>
      <c r="BQ39" s="34">
        <f>($B39/12)*(1+INDEX($C39:$E39,1,Control!$B$10))^BQ5*INDEX($B$13:$M$13,1,MOD(64-1,12)+1)</f>
        <v/>
      </c>
      <c r="BR39" s="34">
        <f>($B39/12)*(1+INDEX($C39:$E39,1,Control!$B$10))^BR5*INDEX($B$13:$M$13,1,MOD(65-1,12)+1)</f>
        <v/>
      </c>
      <c r="BS39" s="34">
        <f>($B39/12)*(1+INDEX($C39:$E39,1,Control!$B$10))^BS5*INDEX($B$13:$M$13,1,MOD(66-1,12)+1)</f>
        <v/>
      </c>
      <c r="BT39" s="34">
        <f>($B39/12)*(1+INDEX($C39:$E39,1,Control!$B$10))^BT5*INDEX($B$13:$M$13,1,MOD(67-1,12)+1)</f>
        <v/>
      </c>
      <c r="BU39" s="34">
        <f>($B39/12)*(1+INDEX($C39:$E39,1,Control!$B$10))^BU5*INDEX($B$13:$M$13,1,MOD(68-1,12)+1)</f>
        <v/>
      </c>
      <c r="BV39" s="34">
        <f>($B39/12)*(1+INDEX($C39:$E39,1,Control!$B$10))^BV5*INDEX($B$13:$M$13,1,MOD(69-1,12)+1)</f>
        <v/>
      </c>
      <c r="BW39" s="34">
        <f>($B39/12)*(1+INDEX($C39:$E39,1,Control!$B$10))^BW5*INDEX($B$13:$M$13,1,MOD(70-1,12)+1)</f>
        <v/>
      </c>
      <c r="BX39" s="34">
        <f>($B39/12)*(1+INDEX($C39:$E39,1,Control!$B$10))^BX5*INDEX($B$13:$M$13,1,MOD(71-1,12)+1)</f>
        <v/>
      </c>
      <c r="BY39" s="34">
        <f>($B39/12)*(1+INDEX($C39:$E39,1,Control!$B$10))^BY5*INDEX($B$13:$M$13,1,MOD(72-1,12)+1)</f>
        <v/>
      </c>
      <c r="BZ39" s="34">
        <f>($B39/12)*(1+INDEX($C39:$E39,1,Control!$B$10))^BZ5*INDEX($B$13:$M$13,1,MOD(73-1,12)+1)</f>
        <v/>
      </c>
      <c r="CA39" s="34">
        <f>($B39/12)*(1+INDEX($C39:$E39,1,Control!$B$10))^CA5*INDEX($B$13:$M$13,1,MOD(74-1,12)+1)</f>
        <v/>
      </c>
      <c r="CB39" s="34">
        <f>($B39/12)*(1+INDEX($C39:$E39,1,Control!$B$10))^CB5*INDEX($B$13:$M$13,1,MOD(75-1,12)+1)</f>
        <v/>
      </c>
      <c r="CC39" s="34">
        <f>($B39/12)*(1+INDEX($C39:$E39,1,Control!$B$10))^CC5*INDEX($B$13:$M$13,1,MOD(76-1,12)+1)</f>
        <v/>
      </c>
      <c r="CD39" s="34">
        <f>($B39/12)*(1+INDEX($C39:$E39,1,Control!$B$10))^CD5*INDEX($B$13:$M$13,1,MOD(77-1,12)+1)</f>
        <v/>
      </c>
      <c r="CE39" s="34">
        <f>($B39/12)*(1+INDEX($C39:$E39,1,Control!$B$10))^CE5*INDEX($B$13:$M$13,1,MOD(78-1,12)+1)</f>
        <v/>
      </c>
      <c r="CF39" s="34">
        <f>($B39/12)*(1+INDEX($C39:$E39,1,Control!$B$10))^CF5*INDEX($B$13:$M$13,1,MOD(79-1,12)+1)</f>
        <v/>
      </c>
      <c r="CG39" s="34">
        <f>($B39/12)*(1+INDEX($C39:$E39,1,Control!$B$10))^CG5*INDEX($B$13:$M$13,1,MOD(80-1,12)+1)</f>
        <v/>
      </c>
      <c r="CH39" s="34">
        <f>($B39/12)*(1+INDEX($C39:$E39,1,Control!$B$10))^CH5*INDEX($B$13:$M$13,1,MOD(81-1,12)+1)</f>
        <v/>
      </c>
      <c r="CI39" s="34">
        <f>($B39/12)*(1+INDEX($C39:$E39,1,Control!$B$10))^CI5*INDEX($B$13:$M$13,1,MOD(82-1,12)+1)</f>
        <v/>
      </c>
      <c r="CJ39" s="34">
        <f>($B39/12)*(1+INDEX($C39:$E39,1,Control!$B$10))^CJ5*INDEX($B$13:$M$13,1,MOD(83-1,12)+1)</f>
        <v/>
      </c>
      <c r="CK39" s="34">
        <f>($B39/12)*(1+INDEX($C39:$E39,1,Control!$B$10))^CK5*INDEX($B$13:$M$13,1,MOD(84-1,12)+1)</f>
        <v/>
      </c>
      <c r="CL39" s="34">
        <f>($B39/12)*(1+INDEX($C39:$E39,1,Control!$B$10))^CL5*INDEX($B$13:$M$13,1,MOD(85-1,12)+1)</f>
        <v/>
      </c>
      <c r="CM39" s="34">
        <f>($B39/12)*(1+INDEX($C39:$E39,1,Control!$B$10))^CM5*INDEX($B$13:$M$13,1,MOD(86-1,12)+1)</f>
        <v/>
      </c>
      <c r="CN39" s="34">
        <f>($B39/12)*(1+INDEX($C39:$E39,1,Control!$B$10))^CN5*INDEX($B$13:$M$13,1,MOD(87-1,12)+1)</f>
        <v/>
      </c>
      <c r="CO39" s="34">
        <f>($B39/12)*(1+INDEX($C39:$E39,1,Control!$B$10))^CO5*INDEX($B$13:$M$13,1,MOD(88-1,12)+1)</f>
        <v/>
      </c>
      <c r="CP39" s="34">
        <f>($B39/12)*(1+INDEX($C39:$E39,1,Control!$B$10))^CP5*INDEX($B$13:$M$13,1,MOD(89-1,12)+1)</f>
        <v/>
      </c>
      <c r="CQ39" s="34">
        <f>($B39/12)*(1+INDEX($C39:$E39,1,Control!$B$10))^CQ5*INDEX($B$13:$M$13,1,MOD(90-1,12)+1)</f>
        <v/>
      </c>
      <c r="CR39" s="34">
        <f>($B39/12)*(1+INDEX($C39:$E39,1,Control!$B$10))^CR5*INDEX($B$13:$M$13,1,MOD(91-1,12)+1)</f>
        <v/>
      </c>
      <c r="CS39" s="34">
        <f>($B39/12)*(1+INDEX($C39:$E39,1,Control!$B$10))^CS5*INDEX($B$13:$M$13,1,MOD(92-1,12)+1)</f>
        <v/>
      </c>
      <c r="CT39" s="34">
        <f>($B39/12)*(1+INDEX($C39:$E39,1,Control!$B$10))^CT5*INDEX($B$13:$M$13,1,MOD(93-1,12)+1)</f>
        <v/>
      </c>
      <c r="CU39" s="34">
        <f>($B39/12)*(1+INDEX($C39:$E39,1,Control!$B$10))^CU5*INDEX($B$13:$M$13,1,MOD(94-1,12)+1)</f>
        <v/>
      </c>
      <c r="CV39" s="34">
        <f>($B39/12)*(1+INDEX($C39:$E39,1,Control!$B$10))^CV5*INDEX($B$13:$M$13,1,MOD(95-1,12)+1)</f>
        <v/>
      </c>
      <c r="CW39" s="34">
        <f>($B39/12)*(1+INDEX($C39:$E39,1,Control!$B$10))^CW5*INDEX($B$13:$M$13,1,MOD(96-1,12)+1)</f>
        <v/>
      </c>
      <c r="CX39" s="34">
        <f>($B39/12)*(1+INDEX($C39:$E39,1,Control!$B$10))^CX5*INDEX($B$13:$M$13,1,MOD(97-1,12)+1)</f>
        <v/>
      </c>
      <c r="CY39" s="34">
        <f>($B39/12)*(1+INDEX($C39:$E39,1,Control!$B$10))^CY5*INDEX($B$13:$M$13,1,MOD(98-1,12)+1)</f>
        <v/>
      </c>
      <c r="CZ39" s="34">
        <f>($B39/12)*(1+INDEX($C39:$E39,1,Control!$B$10))^CZ5*INDEX($B$13:$M$13,1,MOD(99-1,12)+1)</f>
        <v/>
      </c>
      <c r="DA39" s="34">
        <f>($B39/12)*(1+INDEX($C39:$E39,1,Control!$B$10))^DA5*INDEX($B$13:$M$13,1,MOD(100-1,12)+1)</f>
        <v/>
      </c>
      <c r="DB39" s="34">
        <f>($B39/12)*(1+INDEX($C39:$E39,1,Control!$B$10))^DB5*INDEX($B$13:$M$13,1,MOD(101-1,12)+1)</f>
        <v/>
      </c>
      <c r="DC39" s="34">
        <f>($B39/12)*(1+INDEX($C39:$E39,1,Control!$B$10))^DC5*INDEX($B$13:$M$13,1,MOD(102-1,12)+1)</f>
        <v/>
      </c>
      <c r="DD39" s="34">
        <f>($B39/12)*(1+INDEX($C39:$E39,1,Control!$B$10))^DD5*INDEX($B$13:$M$13,1,MOD(103-1,12)+1)</f>
        <v/>
      </c>
      <c r="DE39" s="34">
        <f>($B39/12)*(1+INDEX($C39:$E39,1,Control!$B$10))^DE5*INDEX($B$13:$M$13,1,MOD(104-1,12)+1)</f>
        <v/>
      </c>
      <c r="DF39" s="34">
        <f>($B39/12)*(1+INDEX($C39:$E39,1,Control!$B$10))^DF5*INDEX($B$13:$M$13,1,MOD(105-1,12)+1)</f>
        <v/>
      </c>
      <c r="DG39" s="34">
        <f>($B39/12)*(1+INDEX($C39:$E39,1,Control!$B$10))^DG5*INDEX($B$13:$M$13,1,MOD(106-1,12)+1)</f>
        <v/>
      </c>
      <c r="DH39" s="34">
        <f>($B39/12)*(1+INDEX($C39:$E39,1,Control!$B$10))^DH5*INDEX($B$13:$M$13,1,MOD(107-1,12)+1)</f>
        <v/>
      </c>
      <c r="DI39" s="34">
        <f>($B39/12)*(1+INDEX($C39:$E39,1,Control!$B$10))^DI5*INDEX($B$13:$M$13,1,MOD(108-1,12)+1)</f>
        <v/>
      </c>
      <c r="DJ39" s="34">
        <f>($B39/12)*(1+INDEX($C39:$E39,1,Control!$B$10))^DJ5*INDEX($B$13:$M$13,1,MOD(109-1,12)+1)</f>
        <v/>
      </c>
      <c r="DK39" s="34">
        <f>($B39/12)*(1+INDEX($C39:$E39,1,Control!$B$10))^DK5*INDEX($B$13:$M$13,1,MOD(110-1,12)+1)</f>
        <v/>
      </c>
      <c r="DL39" s="34">
        <f>($B39/12)*(1+INDEX($C39:$E39,1,Control!$B$10))^DL5*INDEX($B$13:$M$13,1,MOD(111-1,12)+1)</f>
        <v/>
      </c>
      <c r="DM39" s="34">
        <f>($B39/12)*(1+INDEX($C39:$E39,1,Control!$B$10))^DM5*INDEX($B$13:$M$13,1,MOD(112-1,12)+1)</f>
        <v/>
      </c>
      <c r="DN39" s="34">
        <f>($B39/12)*(1+INDEX($C39:$E39,1,Control!$B$10))^DN5*INDEX($B$13:$M$13,1,MOD(113-1,12)+1)</f>
        <v/>
      </c>
      <c r="DO39" s="34">
        <f>($B39/12)*(1+INDEX($C39:$E39,1,Control!$B$10))^DO5*INDEX($B$13:$M$13,1,MOD(114-1,12)+1)</f>
        <v/>
      </c>
      <c r="DP39" s="34">
        <f>($B39/12)*(1+INDEX($C39:$E39,1,Control!$B$10))^DP5*INDEX($B$13:$M$13,1,MOD(115-1,12)+1)</f>
        <v/>
      </c>
      <c r="DQ39" s="34">
        <f>($B39/12)*(1+INDEX($C39:$E39,1,Control!$B$10))^DQ5*INDEX($B$13:$M$13,1,MOD(116-1,12)+1)</f>
        <v/>
      </c>
      <c r="DR39" s="34">
        <f>($B39/12)*(1+INDEX($C39:$E39,1,Control!$B$10))^DR5*INDEX($B$13:$M$13,1,MOD(117-1,12)+1)</f>
        <v/>
      </c>
      <c r="DS39" s="34">
        <f>($B39/12)*(1+INDEX($C39:$E39,1,Control!$B$10))^DS5*INDEX($B$13:$M$13,1,MOD(118-1,12)+1)</f>
        <v/>
      </c>
      <c r="DT39" s="34">
        <f>($B39/12)*(1+INDEX($C39:$E39,1,Control!$B$10))^DT5*INDEX($B$13:$M$13,1,MOD(119-1,12)+1)</f>
        <v/>
      </c>
      <c r="DU39" s="34">
        <f>($B39/12)*(1+INDEX($C39:$E39,1,Control!$B$10))^DU5*INDEX($B$13:$M$13,1,MOD(120-1,12)+1)</f>
        <v/>
      </c>
    </row>
    <row r="40">
      <c r="A40" t="inlineStr">
        <is>
          <t>CityLight-Cans-OffTrade</t>
        </is>
      </c>
      <c r="B40" s="33" t="n">
        <v>70000</v>
      </c>
      <c r="C40" s="22" t="n">
        <v>0.025</v>
      </c>
      <c r="D40" s="22" t="n">
        <v>0.04</v>
      </c>
      <c r="E40" s="22" t="n">
        <v>0.01</v>
      </c>
      <c r="F40" s="34">
        <f>($B40/12)*(1+INDEX($C40:$E40,1,Control!$B$10))^F5*INDEX($B$13:$M$13,1,MOD(1-1,12)+1)</f>
        <v/>
      </c>
      <c r="G40" s="34">
        <f>($B40/12)*(1+INDEX($C40:$E40,1,Control!$B$10))^G5*INDEX($B$13:$M$13,1,MOD(2-1,12)+1)</f>
        <v/>
      </c>
      <c r="H40" s="34">
        <f>($B40/12)*(1+INDEX($C40:$E40,1,Control!$B$10))^H5*INDEX($B$13:$M$13,1,MOD(3-1,12)+1)</f>
        <v/>
      </c>
      <c r="I40" s="34">
        <f>($B40/12)*(1+INDEX($C40:$E40,1,Control!$B$10))^I5*INDEX($B$13:$M$13,1,MOD(4-1,12)+1)</f>
        <v/>
      </c>
      <c r="J40" s="34">
        <f>($B40/12)*(1+INDEX($C40:$E40,1,Control!$B$10))^J5*INDEX($B$13:$M$13,1,MOD(5-1,12)+1)</f>
        <v/>
      </c>
      <c r="K40" s="34">
        <f>($B40/12)*(1+INDEX($C40:$E40,1,Control!$B$10))^K5*INDEX($B$13:$M$13,1,MOD(6-1,12)+1)</f>
        <v/>
      </c>
      <c r="L40" s="34">
        <f>($B40/12)*(1+INDEX($C40:$E40,1,Control!$B$10))^L5*INDEX($B$13:$M$13,1,MOD(7-1,12)+1)</f>
        <v/>
      </c>
      <c r="M40" s="34">
        <f>($B40/12)*(1+INDEX($C40:$E40,1,Control!$B$10))^M5*INDEX($B$13:$M$13,1,MOD(8-1,12)+1)</f>
        <v/>
      </c>
      <c r="N40" s="34">
        <f>($B40/12)*(1+INDEX($C40:$E40,1,Control!$B$10))^N5*INDEX($B$13:$M$13,1,MOD(9-1,12)+1)</f>
        <v/>
      </c>
      <c r="O40" s="34">
        <f>($B40/12)*(1+INDEX($C40:$E40,1,Control!$B$10))^O5*INDEX($B$13:$M$13,1,MOD(10-1,12)+1)</f>
        <v/>
      </c>
      <c r="P40" s="34">
        <f>($B40/12)*(1+INDEX($C40:$E40,1,Control!$B$10))^P5*INDEX($B$13:$M$13,1,MOD(11-1,12)+1)</f>
        <v/>
      </c>
      <c r="Q40" s="34">
        <f>($B40/12)*(1+INDEX($C40:$E40,1,Control!$B$10))^Q5*INDEX($B$13:$M$13,1,MOD(12-1,12)+1)</f>
        <v/>
      </c>
      <c r="R40" s="34">
        <f>($B40/12)*(1+INDEX($C40:$E40,1,Control!$B$10))^R5*INDEX($B$13:$M$13,1,MOD(13-1,12)+1)</f>
        <v/>
      </c>
      <c r="S40" s="34">
        <f>($B40/12)*(1+INDEX($C40:$E40,1,Control!$B$10))^S5*INDEX($B$13:$M$13,1,MOD(14-1,12)+1)</f>
        <v/>
      </c>
      <c r="T40" s="34">
        <f>($B40/12)*(1+INDEX($C40:$E40,1,Control!$B$10))^T5*INDEX($B$13:$M$13,1,MOD(15-1,12)+1)</f>
        <v/>
      </c>
      <c r="U40" s="34">
        <f>($B40/12)*(1+INDEX($C40:$E40,1,Control!$B$10))^U5*INDEX($B$13:$M$13,1,MOD(16-1,12)+1)</f>
        <v/>
      </c>
      <c r="V40" s="34">
        <f>($B40/12)*(1+INDEX($C40:$E40,1,Control!$B$10))^V5*INDEX($B$13:$M$13,1,MOD(17-1,12)+1)</f>
        <v/>
      </c>
      <c r="W40" s="34">
        <f>($B40/12)*(1+INDEX($C40:$E40,1,Control!$B$10))^W5*INDEX($B$13:$M$13,1,MOD(18-1,12)+1)</f>
        <v/>
      </c>
      <c r="X40" s="34">
        <f>($B40/12)*(1+INDEX($C40:$E40,1,Control!$B$10))^X5*INDEX($B$13:$M$13,1,MOD(19-1,12)+1)</f>
        <v/>
      </c>
      <c r="Y40" s="34">
        <f>($B40/12)*(1+INDEX($C40:$E40,1,Control!$B$10))^Y5*INDEX($B$13:$M$13,1,MOD(20-1,12)+1)</f>
        <v/>
      </c>
      <c r="Z40" s="34">
        <f>($B40/12)*(1+INDEX($C40:$E40,1,Control!$B$10))^Z5*INDEX($B$13:$M$13,1,MOD(21-1,12)+1)</f>
        <v/>
      </c>
      <c r="AA40" s="34">
        <f>($B40/12)*(1+INDEX($C40:$E40,1,Control!$B$10))^AA5*INDEX($B$13:$M$13,1,MOD(22-1,12)+1)</f>
        <v/>
      </c>
      <c r="AB40" s="34">
        <f>($B40/12)*(1+INDEX($C40:$E40,1,Control!$B$10))^AB5*INDEX($B$13:$M$13,1,MOD(23-1,12)+1)</f>
        <v/>
      </c>
      <c r="AC40" s="34">
        <f>($B40/12)*(1+INDEX($C40:$E40,1,Control!$B$10))^AC5*INDEX($B$13:$M$13,1,MOD(24-1,12)+1)</f>
        <v/>
      </c>
      <c r="AD40" s="34">
        <f>($B40/12)*(1+INDEX($C40:$E40,1,Control!$B$10))^AD5*INDEX($B$13:$M$13,1,MOD(25-1,12)+1)</f>
        <v/>
      </c>
      <c r="AE40" s="34">
        <f>($B40/12)*(1+INDEX($C40:$E40,1,Control!$B$10))^AE5*INDEX($B$13:$M$13,1,MOD(26-1,12)+1)</f>
        <v/>
      </c>
      <c r="AF40" s="34">
        <f>($B40/12)*(1+INDEX($C40:$E40,1,Control!$B$10))^AF5*INDEX($B$13:$M$13,1,MOD(27-1,12)+1)</f>
        <v/>
      </c>
      <c r="AG40" s="34">
        <f>($B40/12)*(1+INDEX($C40:$E40,1,Control!$B$10))^AG5*INDEX($B$13:$M$13,1,MOD(28-1,12)+1)</f>
        <v/>
      </c>
      <c r="AH40" s="34">
        <f>($B40/12)*(1+INDEX($C40:$E40,1,Control!$B$10))^AH5*INDEX($B$13:$M$13,1,MOD(29-1,12)+1)</f>
        <v/>
      </c>
      <c r="AI40" s="34">
        <f>($B40/12)*(1+INDEX($C40:$E40,1,Control!$B$10))^AI5*INDEX($B$13:$M$13,1,MOD(30-1,12)+1)</f>
        <v/>
      </c>
      <c r="AJ40" s="34">
        <f>($B40/12)*(1+INDEX($C40:$E40,1,Control!$B$10))^AJ5*INDEX($B$13:$M$13,1,MOD(31-1,12)+1)</f>
        <v/>
      </c>
      <c r="AK40" s="34">
        <f>($B40/12)*(1+INDEX($C40:$E40,1,Control!$B$10))^AK5*INDEX($B$13:$M$13,1,MOD(32-1,12)+1)</f>
        <v/>
      </c>
      <c r="AL40" s="34">
        <f>($B40/12)*(1+INDEX($C40:$E40,1,Control!$B$10))^AL5*INDEX($B$13:$M$13,1,MOD(33-1,12)+1)</f>
        <v/>
      </c>
      <c r="AM40" s="34">
        <f>($B40/12)*(1+INDEX($C40:$E40,1,Control!$B$10))^AM5*INDEX($B$13:$M$13,1,MOD(34-1,12)+1)</f>
        <v/>
      </c>
      <c r="AN40" s="34">
        <f>($B40/12)*(1+INDEX($C40:$E40,1,Control!$B$10))^AN5*INDEX($B$13:$M$13,1,MOD(35-1,12)+1)</f>
        <v/>
      </c>
      <c r="AO40" s="34">
        <f>($B40/12)*(1+INDEX($C40:$E40,1,Control!$B$10))^AO5*INDEX($B$13:$M$13,1,MOD(36-1,12)+1)</f>
        <v/>
      </c>
      <c r="AP40" s="34">
        <f>($B40/12)*(1+INDEX($C40:$E40,1,Control!$B$10))^AP5*INDEX($B$13:$M$13,1,MOD(37-1,12)+1)</f>
        <v/>
      </c>
      <c r="AQ40" s="34">
        <f>($B40/12)*(1+INDEX($C40:$E40,1,Control!$B$10))^AQ5*INDEX($B$13:$M$13,1,MOD(38-1,12)+1)</f>
        <v/>
      </c>
      <c r="AR40" s="34">
        <f>($B40/12)*(1+INDEX($C40:$E40,1,Control!$B$10))^AR5*INDEX($B$13:$M$13,1,MOD(39-1,12)+1)</f>
        <v/>
      </c>
      <c r="AS40" s="34">
        <f>($B40/12)*(1+INDEX($C40:$E40,1,Control!$B$10))^AS5*INDEX($B$13:$M$13,1,MOD(40-1,12)+1)</f>
        <v/>
      </c>
      <c r="AT40" s="34">
        <f>($B40/12)*(1+INDEX($C40:$E40,1,Control!$B$10))^AT5*INDEX($B$13:$M$13,1,MOD(41-1,12)+1)</f>
        <v/>
      </c>
      <c r="AU40" s="34">
        <f>($B40/12)*(1+INDEX($C40:$E40,1,Control!$B$10))^AU5*INDEX($B$13:$M$13,1,MOD(42-1,12)+1)</f>
        <v/>
      </c>
      <c r="AV40" s="34">
        <f>($B40/12)*(1+INDEX($C40:$E40,1,Control!$B$10))^AV5*INDEX($B$13:$M$13,1,MOD(43-1,12)+1)</f>
        <v/>
      </c>
      <c r="AW40" s="34">
        <f>($B40/12)*(1+INDEX($C40:$E40,1,Control!$B$10))^AW5*INDEX($B$13:$M$13,1,MOD(44-1,12)+1)</f>
        <v/>
      </c>
      <c r="AX40" s="34">
        <f>($B40/12)*(1+INDEX($C40:$E40,1,Control!$B$10))^AX5*INDEX($B$13:$M$13,1,MOD(45-1,12)+1)</f>
        <v/>
      </c>
      <c r="AY40" s="34">
        <f>($B40/12)*(1+INDEX($C40:$E40,1,Control!$B$10))^AY5*INDEX($B$13:$M$13,1,MOD(46-1,12)+1)</f>
        <v/>
      </c>
      <c r="AZ40" s="34">
        <f>($B40/12)*(1+INDEX($C40:$E40,1,Control!$B$10))^AZ5*INDEX($B$13:$M$13,1,MOD(47-1,12)+1)</f>
        <v/>
      </c>
      <c r="BA40" s="34">
        <f>($B40/12)*(1+INDEX($C40:$E40,1,Control!$B$10))^BA5*INDEX($B$13:$M$13,1,MOD(48-1,12)+1)</f>
        <v/>
      </c>
      <c r="BB40" s="34">
        <f>($B40/12)*(1+INDEX($C40:$E40,1,Control!$B$10))^BB5*INDEX($B$13:$M$13,1,MOD(49-1,12)+1)</f>
        <v/>
      </c>
      <c r="BC40" s="34">
        <f>($B40/12)*(1+INDEX($C40:$E40,1,Control!$B$10))^BC5*INDEX($B$13:$M$13,1,MOD(50-1,12)+1)</f>
        <v/>
      </c>
      <c r="BD40" s="34">
        <f>($B40/12)*(1+INDEX($C40:$E40,1,Control!$B$10))^BD5*INDEX($B$13:$M$13,1,MOD(51-1,12)+1)</f>
        <v/>
      </c>
      <c r="BE40" s="34">
        <f>($B40/12)*(1+INDEX($C40:$E40,1,Control!$B$10))^BE5*INDEX($B$13:$M$13,1,MOD(52-1,12)+1)</f>
        <v/>
      </c>
      <c r="BF40" s="34">
        <f>($B40/12)*(1+INDEX($C40:$E40,1,Control!$B$10))^BF5*INDEX($B$13:$M$13,1,MOD(53-1,12)+1)</f>
        <v/>
      </c>
      <c r="BG40" s="34">
        <f>($B40/12)*(1+INDEX($C40:$E40,1,Control!$B$10))^BG5*INDEX($B$13:$M$13,1,MOD(54-1,12)+1)</f>
        <v/>
      </c>
      <c r="BH40" s="34">
        <f>($B40/12)*(1+INDEX($C40:$E40,1,Control!$B$10))^BH5*INDEX($B$13:$M$13,1,MOD(55-1,12)+1)</f>
        <v/>
      </c>
      <c r="BI40" s="34">
        <f>($B40/12)*(1+INDEX($C40:$E40,1,Control!$B$10))^BI5*INDEX($B$13:$M$13,1,MOD(56-1,12)+1)</f>
        <v/>
      </c>
      <c r="BJ40" s="34">
        <f>($B40/12)*(1+INDEX($C40:$E40,1,Control!$B$10))^BJ5*INDEX($B$13:$M$13,1,MOD(57-1,12)+1)</f>
        <v/>
      </c>
      <c r="BK40" s="34">
        <f>($B40/12)*(1+INDEX($C40:$E40,1,Control!$B$10))^BK5*INDEX($B$13:$M$13,1,MOD(58-1,12)+1)</f>
        <v/>
      </c>
      <c r="BL40" s="34">
        <f>($B40/12)*(1+INDEX($C40:$E40,1,Control!$B$10))^BL5*INDEX($B$13:$M$13,1,MOD(59-1,12)+1)</f>
        <v/>
      </c>
      <c r="BM40" s="34">
        <f>($B40/12)*(1+INDEX($C40:$E40,1,Control!$B$10))^BM5*INDEX($B$13:$M$13,1,MOD(60-1,12)+1)</f>
        <v/>
      </c>
      <c r="BN40" s="34">
        <f>($B40/12)*(1+INDEX($C40:$E40,1,Control!$B$10))^BN5*INDEX($B$13:$M$13,1,MOD(61-1,12)+1)</f>
        <v/>
      </c>
      <c r="BO40" s="34">
        <f>($B40/12)*(1+INDEX($C40:$E40,1,Control!$B$10))^BO5*INDEX($B$13:$M$13,1,MOD(62-1,12)+1)</f>
        <v/>
      </c>
      <c r="BP40" s="34">
        <f>($B40/12)*(1+INDEX($C40:$E40,1,Control!$B$10))^BP5*INDEX($B$13:$M$13,1,MOD(63-1,12)+1)</f>
        <v/>
      </c>
      <c r="BQ40" s="34">
        <f>($B40/12)*(1+INDEX($C40:$E40,1,Control!$B$10))^BQ5*INDEX($B$13:$M$13,1,MOD(64-1,12)+1)</f>
        <v/>
      </c>
      <c r="BR40" s="34">
        <f>($B40/12)*(1+INDEX($C40:$E40,1,Control!$B$10))^BR5*INDEX($B$13:$M$13,1,MOD(65-1,12)+1)</f>
        <v/>
      </c>
      <c r="BS40" s="34">
        <f>($B40/12)*(1+INDEX($C40:$E40,1,Control!$B$10))^BS5*INDEX($B$13:$M$13,1,MOD(66-1,12)+1)</f>
        <v/>
      </c>
      <c r="BT40" s="34">
        <f>($B40/12)*(1+INDEX($C40:$E40,1,Control!$B$10))^BT5*INDEX($B$13:$M$13,1,MOD(67-1,12)+1)</f>
        <v/>
      </c>
      <c r="BU40" s="34">
        <f>($B40/12)*(1+INDEX($C40:$E40,1,Control!$B$10))^BU5*INDEX($B$13:$M$13,1,MOD(68-1,12)+1)</f>
        <v/>
      </c>
      <c r="BV40" s="34">
        <f>($B40/12)*(1+INDEX($C40:$E40,1,Control!$B$10))^BV5*INDEX($B$13:$M$13,1,MOD(69-1,12)+1)</f>
        <v/>
      </c>
      <c r="BW40" s="34">
        <f>($B40/12)*(1+INDEX($C40:$E40,1,Control!$B$10))^BW5*INDEX($B$13:$M$13,1,MOD(70-1,12)+1)</f>
        <v/>
      </c>
      <c r="BX40" s="34">
        <f>($B40/12)*(1+INDEX($C40:$E40,1,Control!$B$10))^BX5*INDEX($B$13:$M$13,1,MOD(71-1,12)+1)</f>
        <v/>
      </c>
      <c r="BY40" s="34">
        <f>($B40/12)*(1+INDEX($C40:$E40,1,Control!$B$10))^BY5*INDEX($B$13:$M$13,1,MOD(72-1,12)+1)</f>
        <v/>
      </c>
      <c r="BZ40" s="34">
        <f>($B40/12)*(1+INDEX($C40:$E40,1,Control!$B$10))^BZ5*INDEX($B$13:$M$13,1,MOD(73-1,12)+1)</f>
        <v/>
      </c>
      <c r="CA40" s="34">
        <f>($B40/12)*(1+INDEX($C40:$E40,1,Control!$B$10))^CA5*INDEX($B$13:$M$13,1,MOD(74-1,12)+1)</f>
        <v/>
      </c>
      <c r="CB40" s="34">
        <f>($B40/12)*(1+INDEX($C40:$E40,1,Control!$B$10))^CB5*INDEX($B$13:$M$13,1,MOD(75-1,12)+1)</f>
        <v/>
      </c>
      <c r="CC40" s="34">
        <f>($B40/12)*(1+INDEX($C40:$E40,1,Control!$B$10))^CC5*INDEX($B$13:$M$13,1,MOD(76-1,12)+1)</f>
        <v/>
      </c>
      <c r="CD40" s="34">
        <f>($B40/12)*(1+INDEX($C40:$E40,1,Control!$B$10))^CD5*INDEX($B$13:$M$13,1,MOD(77-1,12)+1)</f>
        <v/>
      </c>
      <c r="CE40" s="34">
        <f>($B40/12)*(1+INDEX($C40:$E40,1,Control!$B$10))^CE5*INDEX($B$13:$M$13,1,MOD(78-1,12)+1)</f>
        <v/>
      </c>
      <c r="CF40" s="34">
        <f>($B40/12)*(1+INDEX($C40:$E40,1,Control!$B$10))^CF5*INDEX($B$13:$M$13,1,MOD(79-1,12)+1)</f>
        <v/>
      </c>
      <c r="CG40" s="34">
        <f>($B40/12)*(1+INDEX($C40:$E40,1,Control!$B$10))^CG5*INDEX($B$13:$M$13,1,MOD(80-1,12)+1)</f>
        <v/>
      </c>
      <c r="CH40" s="34">
        <f>($B40/12)*(1+INDEX($C40:$E40,1,Control!$B$10))^CH5*INDEX($B$13:$M$13,1,MOD(81-1,12)+1)</f>
        <v/>
      </c>
      <c r="CI40" s="34">
        <f>($B40/12)*(1+INDEX($C40:$E40,1,Control!$B$10))^CI5*INDEX($B$13:$M$13,1,MOD(82-1,12)+1)</f>
        <v/>
      </c>
      <c r="CJ40" s="34">
        <f>($B40/12)*(1+INDEX($C40:$E40,1,Control!$B$10))^CJ5*INDEX($B$13:$M$13,1,MOD(83-1,12)+1)</f>
        <v/>
      </c>
      <c r="CK40" s="34">
        <f>($B40/12)*(1+INDEX($C40:$E40,1,Control!$B$10))^CK5*INDEX($B$13:$M$13,1,MOD(84-1,12)+1)</f>
        <v/>
      </c>
      <c r="CL40" s="34">
        <f>($B40/12)*(1+INDEX($C40:$E40,1,Control!$B$10))^CL5*INDEX($B$13:$M$13,1,MOD(85-1,12)+1)</f>
        <v/>
      </c>
      <c r="CM40" s="34">
        <f>($B40/12)*(1+INDEX($C40:$E40,1,Control!$B$10))^CM5*INDEX($B$13:$M$13,1,MOD(86-1,12)+1)</f>
        <v/>
      </c>
      <c r="CN40" s="34">
        <f>($B40/12)*(1+INDEX($C40:$E40,1,Control!$B$10))^CN5*INDEX($B$13:$M$13,1,MOD(87-1,12)+1)</f>
        <v/>
      </c>
      <c r="CO40" s="34">
        <f>($B40/12)*(1+INDEX($C40:$E40,1,Control!$B$10))^CO5*INDEX($B$13:$M$13,1,MOD(88-1,12)+1)</f>
        <v/>
      </c>
      <c r="CP40" s="34">
        <f>($B40/12)*(1+INDEX($C40:$E40,1,Control!$B$10))^CP5*INDEX($B$13:$M$13,1,MOD(89-1,12)+1)</f>
        <v/>
      </c>
      <c r="CQ40" s="34">
        <f>($B40/12)*(1+INDEX($C40:$E40,1,Control!$B$10))^CQ5*INDEX($B$13:$M$13,1,MOD(90-1,12)+1)</f>
        <v/>
      </c>
      <c r="CR40" s="34">
        <f>($B40/12)*(1+INDEX($C40:$E40,1,Control!$B$10))^CR5*INDEX($B$13:$M$13,1,MOD(91-1,12)+1)</f>
        <v/>
      </c>
      <c r="CS40" s="34">
        <f>($B40/12)*(1+INDEX($C40:$E40,1,Control!$B$10))^CS5*INDEX($B$13:$M$13,1,MOD(92-1,12)+1)</f>
        <v/>
      </c>
      <c r="CT40" s="34">
        <f>($B40/12)*(1+INDEX($C40:$E40,1,Control!$B$10))^CT5*INDEX($B$13:$M$13,1,MOD(93-1,12)+1)</f>
        <v/>
      </c>
      <c r="CU40" s="34">
        <f>($B40/12)*(1+INDEX($C40:$E40,1,Control!$B$10))^CU5*INDEX($B$13:$M$13,1,MOD(94-1,12)+1)</f>
        <v/>
      </c>
      <c r="CV40" s="34">
        <f>($B40/12)*(1+INDEX($C40:$E40,1,Control!$B$10))^CV5*INDEX($B$13:$M$13,1,MOD(95-1,12)+1)</f>
        <v/>
      </c>
      <c r="CW40" s="34">
        <f>($B40/12)*(1+INDEX($C40:$E40,1,Control!$B$10))^CW5*INDEX($B$13:$M$13,1,MOD(96-1,12)+1)</f>
        <v/>
      </c>
      <c r="CX40" s="34">
        <f>($B40/12)*(1+INDEX($C40:$E40,1,Control!$B$10))^CX5*INDEX($B$13:$M$13,1,MOD(97-1,12)+1)</f>
        <v/>
      </c>
      <c r="CY40" s="34">
        <f>($B40/12)*(1+INDEX($C40:$E40,1,Control!$B$10))^CY5*INDEX($B$13:$M$13,1,MOD(98-1,12)+1)</f>
        <v/>
      </c>
      <c r="CZ40" s="34">
        <f>($B40/12)*(1+INDEX($C40:$E40,1,Control!$B$10))^CZ5*INDEX($B$13:$M$13,1,MOD(99-1,12)+1)</f>
        <v/>
      </c>
      <c r="DA40" s="34">
        <f>($B40/12)*(1+INDEX($C40:$E40,1,Control!$B$10))^DA5*INDEX($B$13:$M$13,1,MOD(100-1,12)+1)</f>
        <v/>
      </c>
      <c r="DB40" s="34">
        <f>($B40/12)*(1+INDEX($C40:$E40,1,Control!$B$10))^DB5*INDEX($B$13:$M$13,1,MOD(101-1,12)+1)</f>
        <v/>
      </c>
      <c r="DC40" s="34">
        <f>($B40/12)*(1+INDEX($C40:$E40,1,Control!$B$10))^DC5*INDEX($B$13:$M$13,1,MOD(102-1,12)+1)</f>
        <v/>
      </c>
      <c r="DD40" s="34">
        <f>($B40/12)*(1+INDEX($C40:$E40,1,Control!$B$10))^DD5*INDEX($B$13:$M$13,1,MOD(103-1,12)+1)</f>
        <v/>
      </c>
      <c r="DE40" s="34">
        <f>($B40/12)*(1+INDEX($C40:$E40,1,Control!$B$10))^DE5*INDEX($B$13:$M$13,1,MOD(104-1,12)+1)</f>
        <v/>
      </c>
      <c r="DF40" s="34">
        <f>($B40/12)*(1+INDEX($C40:$E40,1,Control!$B$10))^DF5*INDEX($B$13:$M$13,1,MOD(105-1,12)+1)</f>
        <v/>
      </c>
      <c r="DG40" s="34">
        <f>($B40/12)*(1+INDEX($C40:$E40,1,Control!$B$10))^DG5*INDEX($B$13:$M$13,1,MOD(106-1,12)+1)</f>
        <v/>
      </c>
      <c r="DH40" s="34">
        <f>($B40/12)*(1+INDEX($C40:$E40,1,Control!$B$10))^DH5*INDEX($B$13:$M$13,1,MOD(107-1,12)+1)</f>
        <v/>
      </c>
      <c r="DI40" s="34">
        <f>($B40/12)*(1+INDEX($C40:$E40,1,Control!$B$10))^DI5*INDEX($B$13:$M$13,1,MOD(108-1,12)+1)</f>
        <v/>
      </c>
      <c r="DJ40" s="34">
        <f>($B40/12)*(1+INDEX($C40:$E40,1,Control!$B$10))^DJ5*INDEX($B$13:$M$13,1,MOD(109-1,12)+1)</f>
        <v/>
      </c>
      <c r="DK40" s="34">
        <f>($B40/12)*(1+INDEX($C40:$E40,1,Control!$B$10))^DK5*INDEX($B$13:$M$13,1,MOD(110-1,12)+1)</f>
        <v/>
      </c>
      <c r="DL40" s="34">
        <f>($B40/12)*(1+INDEX($C40:$E40,1,Control!$B$10))^DL5*INDEX($B$13:$M$13,1,MOD(111-1,12)+1)</f>
        <v/>
      </c>
      <c r="DM40" s="34">
        <f>($B40/12)*(1+INDEX($C40:$E40,1,Control!$B$10))^DM5*INDEX($B$13:$M$13,1,MOD(112-1,12)+1)</f>
        <v/>
      </c>
      <c r="DN40" s="34">
        <f>($B40/12)*(1+INDEX($C40:$E40,1,Control!$B$10))^DN5*INDEX($B$13:$M$13,1,MOD(113-1,12)+1)</f>
        <v/>
      </c>
      <c r="DO40" s="34">
        <f>($B40/12)*(1+INDEX($C40:$E40,1,Control!$B$10))^DO5*INDEX($B$13:$M$13,1,MOD(114-1,12)+1)</f>
        <v/>
      </c>
      <c r="DP40" s="34">
        <f>($B40/12)*(1+INDEX($C40:$E40,1,Control!$B$10))^DP5*INDEX($B$13:$M$13,1,MOD(115-1,12)+1)</f>
        <v/>
      </c>
      <c r="DQ40" s="34">
        <f>($B40/12)*(1+INDEX($C40:$E40,1,Control!$B$10))^DQ5*INDEX($B$13:$M$13,1,MOD(116-1,12)+1)</f>
        <v/>
      </c>
      <c r="DR40" s="34">
        <f>($B40/12)*(1+INDEX($C40:$E40,1,Control!$B$10))^DR5*INDEX($B$13:$M$13,1,MOD(117-1,12)+1)</f>
        <v/>
      </c>
      <c r="DS40" s="34">
        <f>($B40/12)*(1+INDEX($C40:$E40,1,Control!$B$10))^DS5*INDEX($B$13:$M$13,1,MOD(118-1,12)+1)</f>
        <v/>
      </c>
      <c r="DT40" s="34">
        <f>($B40/12)*(1+INDEX($C40:$E40,1,Control!$B$10))^DT5*INDEX($B$13:$M$13,1,MOD(119-1,12)+1)</f>
        <v/>
      </c>
      <c r="DU40" s="34">
        <f>($B40/12)*(1+INDEX($C40:$E40,1,Control!$B$10))^DU5*INDEX($B$13:$M$13,1,MOD(120-1,12)+1)</f>
        <v/>
      </c>
    </row>
    <row r="41">
      <c r="A41" t="inlineStr">
        <is>
          <t>CityLight-Kegs-OnTrade</t>
        </is>
      </c>
      <c r="B41" s="33" t="n">
        <v>10000</v>
      </c>
      <c r="C41" s="22" t="n">
        <v>0.025</v>
      </c>
      <c r="D41" s="22" t="n">
        <v>0.04</v>
      </c>
      <c r="E41" s="22" t="n">
        <v>0.01</v>
      </c>
      <c r="F41" s="34">
        <f>($B41/12)*(1+INDEX($C41:$E41,1,Control!$B$10))^F5*INDEX($B$13:$M$13,1,MOD(1-1,12)+1)</f>
        <v/>
      </c>
      <c r="G41" s="34">
        <f>($B41/12)*(1+INDEX($C41:$E41,1,Control!$B$10))^G5*INDEX($B$13:$M$13,1,MOD(2-1,12)+1)</f>
        <v/>
      </c>
      <c r="H41" s="34">
        <f>($B41/12)*(1+INDEX($C41:$E41,1,Control!$B$10))^H5*INDEX($B$13:$M$13,1,MOD(3-1,12)+1)</f>
        <v/>
      </c>
      <c r="I41" s="34">
        <f>($B41/12)*(1+INDEX($C41:$E41,1,Control!$B$10))^I5*INDEX($B$13:$M$13,1,MOD(4-1,12)+1)</f>
        <v/>
      </c>
      <c r="J41" s="34">
        <f>($B41/12)*(1+INDEX($C41:$E41,1,Control!$B$10))^J5*INDEX($B$13:$M$13,1,MOD(5-1,12)+1)</f>
        <v/>
      </c>
      <c r="K41" s="34">
        <f>($B41/12)*(1+INDEX($C41:$E41,1,Control!$B$10))^K5*INDEX($B$13:$M$13,1,MOD(6-1,12)+1)</f>
        <v/>
      </c>
      <c r="L41" s="34">
        <f>($B41/12)*(1+INDEX($C41:$E41,1,Control!$B$10))^L5*INDEX($B$13:$M$13,1,MOD(7-1,12)+1)</f>
        <v/>
      </c>
      <c r="M41" s="34">
        <f>($B41/12)*(1+INDEX($C41:$E41,1,Control!$B$10))^M5*INDEX($B$13:$M$13,1,MOD(8-1,12)+1)</f>
        <v/>
      </c>
      <c r="N41" s="34">
        <f>($B41/12)*(1+INDEX($C41:$E41,1,Control!$B$10))^N5*INDEX($B$13:$M$13,1,MOD(9-1,12)+1)</f>
        <v/>
      </c>
      <c r="O41" s="34">
        <f>($B41/12)*(1+INDEX($C41:$E41,1,Control!$B$10))^O5*INDEX($B$13:$M$13,1,MOD(10-1,12)+1)</f>
        <v/>
      </c>
      <c r="P41" s="34">
        <f>($B41/12)*(1+INDEX($C41:$E41,1,Control!$B$10))^P5*INDEX($B$13:$M$13,1,MOD(11-1,12)+1)</f>
        <v/>
      </c>
      <c r="Q41" s="34">
        <f>($B41/12)*(1+INDEX($C41:$E41,1,Control!$B$10))^Q5*INDEX($B$13:$M$13,1,MOD(12-1,12)+1)</f>
        <v/>
      </c>
      <c r="R41" s="34">
        <f>($B41/12)*(1+INDEX($C41:$E41,1,Control!$B$10))^R5*INDEX($B$13:$M$13,1,MOD(13-1,12)+1)</f>
        <v/>
      </c>
      <c r="S41" s="34">
        <f>($B41/12)*(1+INDEX($C41:$E41,1,Control!$B$10))^S5*INDEX($B$13:$M$13,1,MOD(14-1,12)+1)</f>
        <v/>
      </c>
      <c r="T41" s="34">
        <f>($B41/12)*(1+INDEX($C41:$E41,1,Control!$B$10))^T5*INDEX($B$13:$M$13,1,MOD(15-1,12)+1)</f>
        <v/>
      </c>
      <c r="U41" s="34">
        <f>($B41/12)*(1+INDEX($C41:$E41,1,Control!$B$10))^U5*INDEX($B$13:$M$13,1,MOD(16-1,12)+1)</f>
        <v/>
      </c>
      <c r="V41" s="34">
        <f>($B41/12)*(1+INDEX($C41:$E41,1,Control!$B$10))^V5*INDEX($B$13:$M$13,1,MOD(17-1,12)+1)</f>
        <v/>
      </c>
      <c r="W41" s="34">
        <f>($B41/12)*(1+INDEX($C41:$E41,1,Control!$B$10))^W5*INDEX($B$13:$M$13,1,MOD(18-1,12)+1)</f>
        <v/>
      </c>
      <c r="X41" s="34">
        <f>($B41/12)*(1+INDEX($C41:$E41,1,Control!$B$10))^X5*INDEX($B$13:$M$13,1,MOD(19-1,12)+1)</f>
        <v/>
      </c>
      <c r="Y41" s="34">
        <f>($B41/12)*(1+INDEX($C41:$E41,1,Control!$B$10))^Y5*INDEX($B$13:$M$13,1,MOD(20-1,12)+1)</f>
        <v/>
      </c>
      <c r="Z41" s="34">
        <f>($B41/12)*(1+INDEX($C41:$E41,1,Control!$B$10))^Z5*INDEX($B$13:$M$13,1,MOD(21-1,12)+1)</f>
        <v/>
      </c>
      <c r="AA41" s="34">
        <f>($B41/12)*(1+INDEX($C41:$E41,1,Control!$B$10))^AA5*INDEX($B$13:$M$13,1,MOD(22-1,12)+1)</f>
        <v/>
      </c>
      <c r="AB41" s="34">
        <f>($B41/12)*(1+INDEX($C41:$E41,1,Control!$B$10))^AB5*INDEX($B$13:$M$13,1,MOD(23-1,12)+1)</f>
        <v/>
      </c>
      <c r="AC41" s="34">
        <f>($B41/12)*(1+INDEX($C41:$E41,1,Control!$B$10))^AC5*INDEX($B$13:$M$13,1,MOD(24-1,12)+1)</f>
        <v/>
      </c>
      <c r="AD41" s="34">
        <f>($B41/12)*(1+INDEX($C41:$E41,1,Control!$B$10))^AD5*INDEX($B$13:$M$13,1,MOD(25-1,12)+1)</f>
        <v/>
      </c>
      <c r="AE41" s="34">
        <f>($B41/12)*(1+INDEX($C41:$E41,1,Control!$B$10))^AE5*INDEX($B$13:$M$13,1,MOD(26-1,12)+1)</f>
        <v/>
      </c>
      <c r="AF41" s="34">
        <f>($B41/12)*(1+INDEX($C41:$E41,1,Control!$B$10))^AF5*INDEX($B$13:$M$13,1,MOD(27-1,12)+1)</f>
        <v/>
      </c>
      <c r="AG41" s="34">
        <f>($B41/12)*(1+INDEX($C41:$E41,1,Control!$B$10))^AG5*INDEX($B$13:$M$13,1,MOD(28-1,12)+1)</f>
        <v/>
      </c>
      <c r="AH41" s="34">
        <f>($B41/12)*(1+INDEX($C41:$E41,1,Control!$B$10))^AH5*INDEX($B$13:$M$13,1,MOD(29-1,12)+1)</f>
        <v/>
      </c>
      <c r="AI41" s="34">
        <f>($B41/12)*(1+INDEX($C41:$E41,1,Control!$B$10))^AI5*INDEX($B$13:$M$13,1,MOD(30-1,12)+1)</f>
        <v/>
      </c>
      <c r="AJ41" s="34">
        <f>($B41/12)*(1+INDEX($C41:$E41,1,Control!$B$10))^AJ5*INDEX($B$13:$M$13,1,MOD(31-1,12)+1)</f>
        <v/>
      </c>
      <c r="AK41" s="34">
        <f>($B41/12)*(1+INDEX($C41:$E41,1,Control!$B$10))^AK5*INDEX($B$13:$M$13,1,MOD(32-1,12)+1)</f>
        <v/>
      </c>
      <c r="AL41" s="34">
        <f>($B41/12)*(1+INDEX($C41:$E41,1,Control!$B$10))^AL5*INDEX($B$13:$M$13,1,MOD(33-1,12)+1)</f>
        <v/>
      </c>
      <c r="AM41" s="34">
        <f>($B41/12)*(1+INDEX($C41:$E41,1,Control!$B$10))^AM5*INDEX($B$13:$M$13,1,MOD(34-1,12)+1)</f>
        <v/>
      </c>
      <c r="AN41" s="34">
        <f>($B41/12)*(1+INDEX($C41:$E41,1,Control!$B$10))^AN5*INDEX($B$13:$M$13,1,MOD(35-1,12)+1)</f>
        <v/>
      </c>
      <c r="AO41" s="34">
        <f>($B41/12)*(1+INDEX($C41:$E41,1,Control!$B$10))^AO5*INDEX($B$13:$M$13,1,MOD(36-1,12)+1)</f>
        <v/>
      </c>
      <c r="AP41" s="34">
        <f>($B41/12)*(1+INDEX($C41:$E41,1,Control!$B$10))^AP5*INDEX($B$13:$M$13,1,MOD(37-1,12)+1)</f>
        <v/>
      </c>
      <c r="AQ41" s="34">
        <f>($B41/12)*(1+INDEX($C41:$E41,1,Control!$B$10))^AQ5*INDEX($B$13:$M$13,1,MOD(38-1,12)+1)</f>
        <v/>
      </c>
      <c r="AR41" s="34">
        <f>($B41/12)*(1+INDEX($C41:$E41,1,Control!$B$10))^AR5*INDEX($B$13:$M$13,1,MOD(39-1,12)+1)</f>
        <v/>
      </c>
      <c r="AS41" s="34">
        <f>($B41/12)*(1+INDEX($C41:$E41,1,Control!$B$10))^AS5*INDEX($B$13:$M$13,1,MOD(40-1,12)+1)</f>
        <v/>
      </c>
      <c r="AT41" s="34">
        <f>($B41/12)*(1+INDEX($C41:$E41,1,Control!$B$10))^AT5*INDEX($B$13:$M$13,1,MOD(41-1,12)+1)</f>
        <v/>
      </c>
      <c r="AU41" s="34">
        <f>($B41/12)*(1+INDEX($C41:$E41,1,Control!$B$10))^AU5*INDEX($B$13:$M$13,1,MOD(42-1,12)+1)</f>
        <v/>
      </c>
      <c r="AV41" s="34">
        <f>($B41/12)*(1+INDEX($C41:$E41,1,Control!$B$10))^AV5*INDEX($B$13:$M$13,1,MOD(43-1,12)+1)</f>
        <v/>
      </c>
      <c r="AW41" s="34">
        <f>($B41/12)*(1+INDEX($C41:$E41,1,Control!$B$10))^AW5*INDEX($B$13:$M$13,1,MOD(44-1,12)+1)</f>
        <v/>
      </c>
      <c r="AX41" s="34">
        <f>($B41/12)*(1+INDEX($C41:$E41,1,Control!$B$10))^AX5*INDEX($B$13:$M$13,1,MOD(45-1,12)+1)</f>
        <v/>
      </c>
      <c r="AY41" s="34">
        <f>($B41/12)*(1+INDEX($C41:$E41,1,Control!$B$10))^AY5*INDEX($B$13:$M$13,1,MOD(46-1,12)+1)</f>
        <v/>
      </c>
      <c r="AZ41" s="34">
        <f>($B41/12)*(1+INDEX($C41:$E41,1,Control!$B$10))^AZ5*INDEX($B$13:$M$13,1,MOD(47-1,12)+1)</f>
        <v/>
      </c>
      <c r="BA41" s="34">
        <f>($B41/12)*(1+INDEX($C41:$E41,1,Control!$B$10))^BA5*INDEX($B$13:$M$13,1,MOD(48-1,12)+1)</f>
        <v/>
      </c>
      <c r="BB41" s="34">
        <f>($B41/12)*(1+INDEX($C41:$E41,1,Control!$B$10))^BB5*INDEX($B$13:$M$13,1,MOD(49-1,12)+1)</f>
        <v/>
      </c>
      <c r="BC41" s="34">
        <f>($B41/12)*(1+INDEX($C41:$E41,1,Control!$B$10))^BC5*INDEX($B$13:$M$13,1,MOD(50-1,12)+1)</f>
        <v/>
      </c>
      <c r="BD41" s="34">
        <f>($B41/12)*(1+INDEX($C41:$E41,1,Control!$B$10))^BD5*INDEX($B$13:$M$13,1,MOD(51-1,12)+1)</f>
        <v/>
      </c>
      <c r="BE41" s="34">
        <f>($B41/12)*(1+INDEX($C41:$E41,1,Control!$B$10))^BE5*INDEX($B$13:$M$13,1,MOD(52-1,12)+1)</f>
        <v/>
      </c>
      <c r="BF41" s="34">
        <f>($B41/12)*(1+INDEX($C41:$E41,1,Control!$B$10))^BF5*INDEX($B$13:$M$13,1,MOD(53-1,12)+1)</f>
        <v/>
      </c>
      <c r="BG41" s="34">
        <f>($B41/12)*(1+INDEX($C41:$E41,1,Control!$B$10))^BG5*INDEX($B$13:$M$13,1,MOD(54-1,12)+1)</f>
        <v/>
      </c>
      <c r="BH41" s="34">
        <f>($B41/12)*(1+INDEX($C41:$E41,1,Control!$B$10))^BH5*INDEX($B$13:$M$13,1,MOD(55-1,12)+1)</f>
        <v/>
      </c>
      <c r="BI41" s="34">
        <f>($B41/12)*(1+INDEX($C41:$E41,1,Control!$B$10))^BI5*INDEX($B$13:$M$13,1,MOD(56-1,12)+1)</f>
        <v/>
      </c>
      <c r="BJ41" s="34">
        <f>($B41/12)*(1+INDEX($C41:$E41,1,Control!$B$10))^BJ5*INDEX($B$13:$M$13,1,MOD(57-1,12)+1)</f>
        <v/>
      </c>
      <c r="BK41" s="34">
        <f>($B41/12)*(1+INDEX($C41:$E41,1,Control!$B$10))^BK5*INDEX($B$13:$M$13,1,MOD(58-1,12)+1)</f>
        <v/>
      </c>
      <c r="BL41" s="34">
        <f>($B41/12)*(1+INDEX($C41:$E41,1,Control!$B$10))^BL5*INDEX($B$13:$M$13,1,MOD(59-1,12)+1)</f>
        <v/>
      </c>
      <c r="BM41" s="34">
        <f>($B41/12)*(1+INDEX($C41:$E41,1,Control!$B$10))^BM5*INDEX($B$13:$M$13,1,MOD(60-1,12)+1)</f>
        <v/>
      </c>
      <c r="BN41" s="34">
        <f>($B41/12)*(1+INDEX($C41:$E41,1,Control!$B$10))^BN5*INDEX($B$13:$M$13,1,MOD(61-1,12)+1)</f>
        <v/>
      </c>
      <c r="BO41" s="34">
        <f>($B41/12)*(1+INDEX($C41:$E41,1,Control!$B$10))^BO5*INDEX($B$13:$M$13,1,MOD(62-1,12)+1)</f>
        <v/>
      </c>
      <c r="BP41" s="34">
        <f>($B41/12)*(1+INDEX($C41:$E41,1,Control!$B$10))^BP5*INDEX($B$13:$M$13,1,MOD(63-1,12)+1)</f>
        <v/>
      </c>
      <c r="BQ41" s="34">
        <f>($B41/12)*(1+INDEX($C41:$E41,1,Control!$B$10))^BQ5*INDEX($B$13:$M$13,1,MOD(64-1,12)+1)</f>
        <v/>
      </c>
      <c r="BR41" s="34">
        <f>($B41/12)*(1+INDEX($C41:$E41,1,Control!$B$10))^BR5*INDEX($B$13:$M$13,1,MOD(65-1,12)+1)</f>
        <v/>
      </c>
      <c r="BS41" s="34">
        <f>($B41/12)*(1+INDEX($C41:$E41,1,Control!$B$10))^BS5*INDEX($B$13:$M$13,1,MOD(66-1,12)+1)</f>
        <v/>
      </c>
      <c r="BT41" s="34">
        <f>($B41/12)*(1+INDEX($C41:$E41,1,Control!$B$10))^BT5*INDEX($B$13:$M$13,1,MOD(67-1,12)+1)</f>
        <v/>
      </c>
      <c r="BU41" s="34">
        <f>($B41/12)*(1+INDEX($C41:$E41,1,Control!$B$10))^BU5*INDEX($B$13:$M$13,1,MOD(68-1,12)+1)</f>
        <v/>
      </c>
      <c r="BV41" s="34">
        <f>($B41/12)*(1+INDEX($C41:$E41,1,Control!$B$10))^BV5*INDEX($B$13:$M$13,1,MOD(69-1,12)+1)</f>
        <v/>
      </c>
      <c r="BW41" s="34">
        <f>($B41/12)*(1+INDEX($C41:$E41,1,Control!$B$10))^BW5*INDEX($B$13:$M$13,1,MOD(70-1,12)+1)</f>
        <v/>
      </c>
      <c r="BX41" s="34">
        <f>($B41/12)*(1+INDEX($C41:$E41,1,Control!$B$10))^BX5*INDEX($B$13:$M$13,1,MOD(71-1,12)+1)</f>
        <v/>
      </c>
      <c r="BY41" s="34">
        <f>($B41/12)*(1+INDEX($C41:$E41,1,Control!$B$10))^BY5*INDEX($B$13:$M$13,1,MOD(72-1,12)+1)</f>
        <v/>
      </c>
      <c r="BZ41" s="34">
        <f>($B41/12)*(1+INDEX($C41:$E41,1,Control!$B$10))^BZ5*INDEX($B$13:$M$13,1,MOD(73-1,12)+1)</f>
        <v/>
      </c>
      <c r="CA41" s="34">
        <f>($B41/12)*(1+INDEX($C41:$E41,1,Control!$B$10))^CA5*INDEX($B$13:$M$13,1,MOD(74-1,12)+1)</f>
        <v/>
      </c>
      <c r="CB41" s="34">
        <f>($B41/12)*(1+INDEX($C41:$E41,1,Control!$B$10))^CB5*INDEX($B$13:$M$13,1,MOD(75-1,12)+1)</f>
        <v/>
      </c>
      <c r="CC41" s="34">
        <f>($B41/12)*(1+INDEX($C41:$E41,1,Control!$B$10))^CC5*INDEX($B$13:$M$13,1,MOD(76-1,12)+1)</f>
        <v/>
      </c>
      <c r="CD41" s="34">
        <f>($B41/12)*(1+INDEX($C41:$E41,1,Control!$B$10))^CD5*INDEX($B$13:$M$13,1,MOD(77-1,12)+1)</f>
        <v/>
      </c>
      <c r="CE41" s="34">
        <f>($B41/12)*(1+INDEX($C41:$E41,1,Control!$B$10))^CE5*INDEX($B$13:$M$13,1,MOD(78-1,12)+1)</f>
        <v/>
      </c>
      <c r="CF41" s="34">
        <f>($B41/12)*(1+INDEX($C41:$E41,1,Control!$B$10))^CF5*INDEX($B$13:$M$13,1,MOD(79-1,12)+1)</f>
        <v/>
      </c>
      <c r="CG41" s="34">
        <f>($B41/12)*(1+INDEX($C41:$E41,1,Control!$B$10))^CG5*INDEX($B$13:$M$13,1,MOD(80-1,12)+1)</f>
        <v/>
      </c>
      <c r="CH41" s="34">
        <f>($B41/12)*(1+INDEX($C41:$E41,1,Control!$B$10))^CH5*INDEX($B$13:$M$13,1,MOD(81-1,12)+1)</f>
        <v/>
      </c>
      <c r="CI41" s="34">
        <f>($B41/12)*(1+INDEX($C41:$E41,1,Control!$B$10))^CI5*INDEX($B$13:$M$13,1,MOD(82-1,12)+1)</f>
        <v/>
      </c>
      <c r="CJ41" s="34">
        <f>($B41/12)*(1+INDEX($C41:$E41,1,Control!$B$10))^CJ5*INDEX($B$13:$M$13,1,MOD(83-1,12)+1)</f>
        <v/>
      </c>
      <c r="CK41" s="34">
        <f>($B41/12)*(1+INDEX($C41:$E41,1,Control!$B$10))^CK5*INDEX($B$13:$M$13,1,MOD(84-1,12)+1)</f>
        <v/>
      </c>
      <c r="CL41" s="34">
        <f>($B41/12)*(1+INDEX($C41:$E41,1,Control!$B$10))^CL5*INDEX($B$13:$M$13,1,MOD(85-1,12)+1)</f>
        <v/>
      </c>
      <c r="CM41" s="34">
        <f>($B41/12)*(1+INDEX($C41:$E41,1,Control!$B$10))^CM5*INDEX($B$13:$M$13,1,MOD(86-1,12)+1)</f>
        <v/>
      </c>
      <c r="CN41" s="34">
        <f>($B41/12)*(1+INDEX($C41:$E41,1,Control!$B$10))^CN5*INDEX($B$13:$M$13,1,MOD(87-1,12)+1)</f>
        <v/>
      </c>
      <c r="CO41" s="34">
        <f>($B41/12)*(1+INDEX($C41:$E41,1,Control!$B$10))^CO5*INDEX($B$13:$M$13,1,MOD(88-1,12)+1)</f>
        <v/>
      </c>
      <c r="CP41" s="34">
        <f>($B41/12)*(1+INDEX($C41:$E41,1,Control!$B$10))^CP5*INDEX($B$13:$M$13,1,MOD(89-1,12)+1)</f>
        <v/>
      </c>
      <c r="CQ41" s="34">
        <f>($B41/12)*(1+INDEX($C41:$E41,1,Control!$B$10))^CQ5*INDEX($B$13:$M$13,1,MOD(90-1,12)+1)</f>
        <v/>
      </c>
      <c r="CR41" s="34">
        <f>($B41/12)*(1+INDEX($C41:$E41,1,Control!$B$10))^CR5*INDEX($B$13:$M$13,1,MOD(91-1,12)+1)</f>
        <v/>
      </c>
      <c r="CS41" s="34">
        <f>($B41/12)*(1+INDEX($C41:$E41,1,Control!$B$10))^CS5*INDEX($B$13:$M$13,1,MOD(92-1,12)+1)</f>
        <v/>
      </c>
      <c r="CT41" s="34">
        <f>($B41/12)*(1+INDEX($C41:$E41,1,Control!$B$10))^CT5*INDEX($B$13:$M$13,1,MOD(93-1,12)+1)</f>
        <v/>
      </c>
      <c r="CU41" s="34">
        <f>($B41/12)*(1+INDEX($C41:$E41,1,Control!$B$10))^CU5*INDEX($B$13:$M$13,1,MOD(94-1,12)+1)</f>
        <v/>
      </c>
      <c r="CV41" s="34">
        <f>($B41/12)*(1+INDEX($C41:$E41,1,Control!$B$10))^CV5*INDEX($B$13:$M$13,1,MOD(95-1,12)+1)</f>
        <v/>
      </c>
      <c r="CW41" s="34">
        <f>($B41/12)*(1+INDEX($C41:$E41,1,Control!$B$10))^CW5*INDEX($B$13:$M$13,1,MOD(96-1,12)+1)</f>
        <v/>
      </c>
      <c r="CX41" s="34">
        <f>($B41/12)*(1+INDEX($C41:$E41,1,Control!$B$10))^CX5*INDEX($B$13:$M$13,1,MOD(97-1,12)+1)</f>
        <v/>
      </c>
      <c r="CY41" s="34">
        <f>($B41/12)*(1+INDEX($C41:$E41,1,Control!$B$10))^CY5*INDEX($B$13:$M$13,1,MOD(98-1,12)+1)</f>
        <v/>
      </c>
      <c r="CZ41" s="34">
        <f>($B41/12)*(1+INDEX($C41:$E41,1,Control!$B$10))^CZ5*INDEX($B$13:$M$13,1,MOD(99-1,12)+1)</f>
        <v/>
      </c>
      <c r="DA41" s="34">
        <f>($B41/12)*(1+INDEX($C41:$E41,1,Control!$B$10))^DA5*INDEX($B$13:$M$13,1,MOD(100-1,12)+1)</f>
        <v/>
      </c>
      <c r="DB41" s="34">
        <f>($B41/12)*(1+INDEX($C41:$E41,1,Control!$B$10))^DB5*INDEX($B$13:$M$13,1,MOD(101-1,12)+1)</f>
        <v/>
      </c>
      <c r="DC41" s="34">
        <f>($B41/12)*(1+INDEX($C41:$E41,1,Control!$B$10))^DC5*INDEX($B$13:$M$13,1,MOD(102-1,12)+1)</f>
        <v/>
      </c>
      <c r="DD41" s="34">
        <f>($B41/12)*(1+INDEX($C41:$E41,1,Control!$B$10))^DD5*INDEX($B$13:$M$13,1,MOD(103-1,12)+1)</f>
        <v/>
      </c>
      <c r="DE41" s="34">
        <f>($B41/12)*(1+INDEX($C41:$E41,1,Control!$B$10))^DE5*INDEX($B$13:$M$13,1,MOD(104-1,12)+1)</f>
        <v/>
      </c>
      <c r="DF41" s="34">
        <f>($B41/12)*(1+INDEX($C41:$E41,1,Control!$B$10))^DF5*INDEX($B$13:$M$13,1,MOD(105-1,12)+1)</f>
        <v/>
      </c>
      <c r="DG41" s="34">
        <f>($B41/12)*(1+INDEX($C41:$E41,1,Control!$B$10))^DG5*INDEX($B$13:$M$13,1,MOD(106-1,12)+1)</f>
        <v/>
      </c>
      <c r="DH41" s="34">
        <f>($B41/12)*(1+INDEX($C41:$E41,1,Control!$B$10))^DH5*INDEX($B$13:$M$13,1,MOD(107-1,12)+1)</f>
        <v/>
      </c>
      <c r="DI41" s="34">
        <f>($B41/12)*(1+INDEX($C41:$E41,1,Control!$B$10))^DI5*INDEX($B$13:$M$13,1,MOD(108-1,12)+1)</f>
        <v/>
      </c>
      <c r="DJ41" s="34">
        <f>($B41/12)*(1+INDEX($C41:$E41,1,Control!$B$10))^DJ5*INDEX($B$13:$M$13,1,MOD(109-1,12)+1)</f>
        <v/>
      </c>
      <c r="DK41" s="34">
        <f>($B41/12)*(1+INDEX($C41:$E41,1,Control!$B$10))^DK5*INDEX($B$13:$M$13,1,MOD(110-1,12)+1)</f>
        <v/>
      </c>
      <c r="DL41" s="34">
        <f>($B41/12)*(1+INDEX($C41:$E41,1,Control!$B$10))^DL5*INDEX($B$13:$M$13,1,MOD(111-1,12)+1)</f>
        <v/>
      </c>
      <c r="DM41" s="34">
        <f>($B41/12)*(1+INDEX($C41:$E41,1,Control!$B$10))^DM5*INDEX($B$13:$M$13,1,MOD(112-1,12)+1)</f>
        <v/>
      </c>
      <c r="DN41" s="34">
        <f>($B41/12)*(1+INDEX($C41:$E41,1,Control!$B$10))^DN5*INDEX($B$13:$M$13,1,MOD(113-1,12)+1)</f>
        <v/>
      </c>
      <c r="DO41" s="34">
        <f>($B41/12)*(1+INDEX($C41:$E41,1,Control!$B$10))^DO5*INDEX($B$13:$M$13,1,MOD(114-1,12)+1)</f>
        <v/>
      </c>
      <c r="DP41" s="34">
        <f>($B41/12)*(1+INDEX($C41:$E41,1,Control!$B$10))^DP5*INDEX($B$13:$M$13,1,MOD(115-1,12)+1)</f>
        <v/>
      </c>
      <c r="DQ41" s="34">
        <f>($B41/12)*(1+INDEX($C41:$E41,1,Control!$B$10))^DQ5*INDEX($B$13:$M$13,1,MOD(116-1,12)+1)</f>
        <v/>
      </c>
      <c r="DR41" s="34">
        <f>($B41/12)*(1+INDEX($C41:$E41,1,Control!$B$10))^DR5*INDEX($B$13:$M$13,1,MOD(117-1,12)+1)</f>
        <v/>
      </c>
      <c r="DS41" s="34">
        <f>($B41/12)*(1+INDEX($C41:$E41,1,Control!$B$10))^DS5*INDEX($B$13:$M$13,1,MOD(118-1,12)+1)</f>
        <v/>
      </c>
      <c r="DT41" s="34">
        <f>($B41/12)*(1+INDEX($C41:$E41,1,Control!$B$10))^DT5*INDEX($B$13:$M$13,1,MOD(119-1,12)+1)</f>
        <v/>
      </c>
      <c r="DU41" s="34">
        <f>($B41/12)*(1+INDEX($C41:$E41,1,Control!$B$10))^DU5*INDEX($B$13:$M$13,1,MOD(120-1,12)+1)</f>
        <v/>
      </c>
    </row>
    <row r="42">
      <c r="A42" t="inlineStr">
        <is>
          <t>CityLight-Kegs-OffTrade</t>
        </is>
      </c>
      <c r="B42" s="33" t="n">
        <v>0</v>
      </c>
      <c r="C42" s="22" t="n">
        <v>0.025</v>
      </c>
      <c r="D42" s="22" t="n">
        <v>0.04</v>
      </c>
      <c r="E42" s="22" t="n">
        <v>0.01</v>
      </c>
      <c r="F42" s="34">
        <f>($B42/12)*(1+INDEX($C42:$E42,1,Control!$B$10))^F5*INDEX($B$13:$M$13,1,MOD(1-1,12)+1)</f>
        <v/>
      </c>
      <c r="G42" s="34">
        <f>($B42/12)*(1+INDEX($C42:$E42,1,Control!$B$10))^G5*INDEX($B$13:$M$13,1,MOD(2-1,12)+1)</f>
        <v/>
      </c>
      <c r="H42" s="34">
        <f>($B42/12)*(1+INDEX($C42:$E42,1,Control!$B$10))^H5*INDEX($B$13:$M$13,1,MOD(3-1,12)+1)</f>
        <v/>
      </c>
      <c r="I42" s="34">
        <f>($B42/12)*(1+INDEX($C42:$E42,1,Control!$B$10))^I5*INDEX($B$13:$M$13,1,MOD(4-1,12)+1)</f>
        <v/>
      </c>
      <c r="J42" s="34">
        <f>($B42/12)*(1+INDEX($C42:$E42,1,Control!$B$10))^J5*INDEX($B$13:$M$13,1,MOD(5-1,12)+1)</f>
        <v/>
      </c>
      <c r="K42" s="34">
        <f>($B42/12)*(1+INDEX($C42:$E42,1,Control!$B$10))^K5*INDEX($B$13:$M$13,1,MOD(6-1,12)+1)</f>
        <v/>
      </c>
      <c r="L42" s="34">
        <f>($B42/12)*(1+INDEX($C42:$E42,1,Control!$B$10))^L5*INDEX($B$13:$M$13,1,MOD(7-1,12)+1)</f>
        <v/>
      </c>
      <c r="M42" s="34">
        <f>($B42/12)*(1+INDEX($C42:$E42,1,Control!$B$10))^M5*INDEX($B$13:$M$13,1,MOD(8-1,12)+1)</f>
        <v/>
      </c>
      <c r="N42" s="34">
        <f>($B42/12)*(1+INDEX($C42:$E42,1,Control!$B$10))^N5*INDEX($B$13:$M$13,1,MOD(9-1,12)+1)</f>
        <v/>
      </c>
      <c r="O42" s="34">
        <f>($B42/12)*(1+INDEX($C42:$E42,1,Control!$B$10))^O5*INDEX($B$13:$M$13,1,MOD(10-1,12)+1)</f>
        <v/>
      </c>
      <c r="P42" s="34">
        <f>($B42/12)*(1+INDEX($C42:$E42,1,Control!$B$10))^P5*INDEX($B$13:$M$13,1,MOD(11-1,12)+1)</f>
        <v/>
      </c>
      <c r="Q42" s="34">
        <f>($B42/12)*(1+INDEX($C42:$E42,1,Control!$B$10))^Q5*INDEX($B$13:$M$13,1,MOD(12-1,12)+1)</f>
        <v/>
      </c>
      <c r="R42" s="34">
        <f>($B42/12)*(1+INDEX($C42:$E42,1,Control!$B$10))^R5*INDEX($B$13:$M$13,1,MOD(13-1,12)+1)</f>
        <v/>
      </c>
      <c r="S42" s="34">
        <f>($B42/12)*(1+INDEX($C42:$E42,1,Control!$B$10))^S5*INDEX($B$13:$M$13,1,MOD(14-1,12)+1)</f>
        <v/>
      </c>
      <c r="T42" s="34">
        <f>($B42/12)*(1+INDEX($C42:$E42,1,Control!$B$10))^T5*INDEX($B$13:$M$13,1,MOD(15-1,12)+1)</f>
        <v/>
      </c>
      <c r="U42" s="34">
        <f>($B42/12)*(1+INDEX($C42:$E42,1,Control!$B$10))^U5*INDEX($B$13:$M$13,1,MOD(16-1,12)+1)</f>
        <v/>
      </c>
      <c r="V42" s="34">
        <f>($B42/12)*(1+INDEX($C42:$E42,1,Control!$B$10))^V5*INDEX($B$13:$M$13,1,MOD(17-1,12)+1)</f>
        <v/>
      </c>
      <c r="W42" s="34">
        <f>($B42/12)*(1+INDEX($C42:$E42,1,Control!$B$10))^W5*INDEX($B$13:$M$13,1,MOD(18-1,12)+1)</f>
        <v/>
      </c>
      <c r="X42" s="34">
        <f>($B42/12)*(1+INDEX($C42:$E42,1,Control!$B$10))^X5*INDEX($B$13:$M$13,1,MOD(19-1,12)+1)</f>
        <v/>
      </c>
      <c r="Y42" s="34">
        <f>($B42/12)*(1+INDEX($C42:$E42,1,Control!$B$10))^Y5*INDEX($B$13:$M$13,1,MOD(20-1,12)+1)</f>
        <v/>
      </c>
      <c r="Z42" s="34">
        <f>($B42/12)*(1+INDEX($C42:$E42,1,Control!$B$10))^Z5*INDEX($B$13:$M$13,1,MOD(21-1,12)+1)</f>
        <v/>
      </c>
      <c r="AA42" s="34">
        <f>($B42/12)*(1+INDEX($C42:$E42,1,Control!$B$10))^AA5*INDEX($B$13:$M$13,1,MOD(22-1,12)+1)</f>
        <v/>
      </c>
      <c r="AB42" s="34">
        <f>($B42/12)*(1+INDEX($C42:$E42,1,Control!$B$10))^AB5*INDEX($B$13:$M$13,1,MOD(23-1,12)+1)</f>
        <v/>
      </c>
      <c r="AC42" s="34">
        <f>($B42/12)*(1+INDEX($C42:$E42,1,Control!$B$10))^AC5*INDEX($B$13:$M$13,1,MOD(24-1,12)+1)</f>
        <v/>
      </c>
      <c r="AD42" s="34">
        <f>($B42/12)*(1+INDEX($C42:$E42,1,Control!$B$10))^AD5*INDEX($B$13:$M$13,1,MOD(25-1,12)+1)</f>
        <v/>
      </c>
      <c r="AE42" s="34">
        <f>($B42/12)*(1+INDEX($C42:$E42,1,Control!$B$10))^AE5*INDEX($B$13:$M$13,1,MOD(26-1,12)+1)</f>
        <v/>
      </c>
      <c r="AF42" s="34">
        <f>($B42/12)*(1+INDEX($C42:$E42,1,Control!$B$10))^AF5*INDEX($B$13:$M$13,1,MOD(27-1,12)+1)</f>
        <v/>
      </c>
      <c r="AG42" s="34">
        <f>($B42/12)*(1+INDEX($C42:$E42,1,Control!$B$10))^AG5*INDEX($B$13:$M$13,1,MOD(28-1,12)+1)</f>
        <v/>
      </c>
      <c r="AH42" s="34">
        <f>($B42/12)*(1+INDEX($C42:$E42,1,Control!$B$10))^AH5*INDEX($B$13:$M$13,1,MOD(29-1,12)+1)</f>
        <v/>
      </c>
      <c r="AI42" s="34">
        <f>($B42/12)*(1+INDEX($C42:$E42,1,Control!$B$10))^AI5*INDEX($B$13:$M$13,1,MOD(30-1,12)+1)</f>
        <v/>
      </c>
      <c r="AJ42" s="34">
        <f>($B42/12)*(1+INDEX($C42:$E42,1,Control!$B$10))^AJ5*INDEX($B$13:$M$13,1,MOD(31-1,12)+1)</f>
        <v/>
      </c>
      <c r="AK42" s="34">
        <f>($B42/12)*(1+INDEX($C42:$E42,1,Control!$B$10))^AK5*INDEX($B$13:$M$13,1,MOD(32-1,12)+1)</f>
        <v/>
      </c>
      <c r="AL42" s="34">
        <f>($B42/12)*(1+INDEX($C42:$E42,1,Control!$B$10))^AL5*INDEX($B$13:$M$13,1,MOD(33-1,12)+1)</f>
        <v/>
      </c>
      <c r="AM42" s="34">
        <f>($B42/12)*(1+INDEX($C42:$E42,1,Control!$B$10))^AM5*INDEX($B$13:$M$13,1,MOD(34-1,12)+1)</f>
        <v/>
      </c>
      <c r="AN42" s="34">
        <f>($B42/12)*(1+INDEX($C42:$E42,1,Control!$B$10))^AN5*INDEX($B$13:$M$13,1,MOD(35-1,12)+1)</f>
        <v/>
      </c>
      <c r="AO42" s="34">
        <f>($B42/12)*(1+INDEX($C42:$E42,1,Control!$B$10))^AO5*INDEX($B$13:$M$13,1,MOD(36-1,12)+1)</f>
        <v/>
      </c>
      <c r="AP42" s="34">
        <f>($B42/12)*(1+INDEX($C42:$E42,1,Control!$B$10))^AP5*INDEX($B$13:$M$13,1,MOD(37-1,12)+1)</f>
        <v/>
      </c>
      <c r="AQ42" s="34">
        <f>($B42/12)*(1+INDEX($C42:$E42,1,Control!$B$10))^AQ5*INDEX($B$13:$M$13,1,MOD(38-1,12)+1)</f>
        <v/>
      </c>
      <c r="AR42" s="34">
        <f>($B42/12)*(1+INDEX($C42:$E42,1,Control!$B$10))^AR5*INDEX($B$13:$M$13,1,MOD(39-1,12)+1)</f>
        <v/>
      </c>
      <c r="AS42" s="34">
        <f>($B42/12)*(1+INDEX($C42:$E42,1,Control!$B$10))^AS5*INDEX($B$13:$M$13,1,MOD(40-1,12)+1)</f>
        <v/>
      </c>
      <c r="AT42" s="34">
        <f>($B42/12)*(1+INDEX($C42:$E42,1,Control!$B$10))^AT5*INDEX($B$13:$M$13,1,MOD(41-1,12)+1)</f>
        <v/>
      </c>
      <c r="AU42" s="34">
        <f>($B42/12)*(1+INDEX($C42:$E42,1,Control!$B$10))^AU5*INDEX($B$13:$M$13,1,MOD(42-1,12)+1)</f>
        <v/>
      </c>
      <c r="AV42" s="34">
        <f>($B42/12)*(1+INDEX($C42:$E42,1,Control!$B$10))^AV5*INDEX($B$13:$M$13,1,MOD(43-1,12)+1)</f>
        <v/>
      </c>
      <c r="AW42" s="34">
        <f>($B42/12)*(1+INDEX($C42:$E42,1,Control!$B$10))^AW5*INDEX($B$13:$M$13,1,MOD(44-1,12)+1)</f>
        <v/>
      </c>
      <c r="AX42" s="34">
        <f>($B42/12)*(1+INDEX($C42:$E42,1,Control!$B$10))^AX5*INDEX($B$13:$M$13,1,MOD(45-1,12)+1)</f>
        <v/>
      </c>
      <c r="AY42" s="34">
        <f>($B42/12)*(1+INDEX($C42:$E42,1,Control!$B$10))^AY5*INDEX($B$13:$M$13,1,MOD(46-1,12)+1)</f>
        <v/>
      </c>
      <c r="AZ42" s="34">
        <f>($B42/12)*(1+INDEX($C42:$E42,1,Control!$B$10))^AZ5*INDEX($B$13:$M$13,1,MOD(47-1,12)+1)</f>
        <v/>
      </c>
      <c r="BA42" s="34">
        <f>($B42/12)*(1+INDEX($C42:$E42,1,Control!$B$10))^BA5*INDEX($B$13:$M$13,1,MOD(48-1,12)+1)</f>
        <v/>
      </c>
      <c r="BB42" s="34">
        <f>($B42/12)*(1+INDEX($C42:$E42,1,Control!$B$10))^BB5*INDEX($B$13:$M$13,1,MOD(49-1,12)+1)</f>
        <v/>
      </c>
      <c r="BC42" s="34">
        <f>($B42/12)*(1+INDEX($C42:$E42,1,Control!$B$10))^BC5*INDEX($B$13:$M$13,1,MOD(50-1,12)+1)</f>
        <v/>
      </c>
      <c r="BD42" s="34">
        <f>($B42/12)*(1+INDEX($C42:$E42,1,Control!$B$10))^BD5*INDEX($B$13:$M$13,1,MOD(51-1,12)+1)</f>
        <v/>
      </c>
      <c r="BE42" s="34">
        <f>($B42/12)*(1+INDEX($C42:$E42,1,Control!$B$10))^BE5*INDEX($B$13:$M$13,1,MOD(52-1,12)+1)</f>
        <v/>
      </c>
      <c r="BF42" s="34">
        <f>($B42/12)*(1+INDEX($C42:$E42,1,Control!$B$10))^BF5*INDEX($B$13:$M$13,1,MOD(53-1,12)+1)</f>
        <v/>
      </c>
      <c r="BG42" s="34">
        <f>($B42/12)*(1+INDEX($C42:$E42,1,Control!$B$10))^BG5*INDEX($B$13:$M$13,1,MOD(54-1,12)+1)</f>
        <v/>
      </c>
      <c r="BH42" s="34">
        <f>($B42/12)*(1+INDEX($C42:$E42,1,Control!$B$10))^BH5*INDEX($B$13:$M$13,1,MOD(55-1,12)+1)</f>
        <v/>
      </c>
      <c r="BI42" s="34">
        <f>($B42/12)*(1+INDEX($C42:$E42,1,Control!$B$10))^BI5*INDEX($B$13:$M$13,1,MOD(56-1,12)+1)</f>
        <v/>
      </c>
      <c r="BJ42" s="34">
        <f>($B42/12)*(1+INDEX($C42:$E42,1,Control!$B$10))^BJ5*INDEX($B$13:$M$13,1,MOD(57-1,12)+1)</f>
        <v/>
      </c>
      <c r="BK42" s="34">
        <f>($B42/12)*(1+INDEX($C42:$E42,1,Control!$B$10))^BK5*INDEX($B$13:$M$13,1,MOD(58-1,12)+1)</f>
        <v/>
      </c>
      <c r="BL42" s="34">
        <f>($B42/12)*(1+INDEX($C42:$E42,1,Control!$B$10))^BL5*INDEX($B$13:$M$13,1,MOD(59-1,12)+1)</f>
        <v/>
      </c>
      <c r="BM42" s="34">
        <f>($B42/12)*(1+INDEX($C42:$E42,1,Control!$B$10))^BM5*INDEX($B$13:$M$13,1,MOD(60-1,12)+1)</f>
        <v/>
      </c>
      <c r="BN42" s="34">
        <f>($B42/12)*(1+INDEX($C42:$E42,1,Control!$B$10))^BN5*INDEX($B$13:$M$13,1,MOD(61-1,12)+1)</f>
        <v/>
      </c>
      <c r="BO42" s="34">
        <f>($B42/12)*(1+INDEX($C42:$E42,1,Control!$B$10))^BO5*INDEX($B$13:$M$13,1,MOD(62-1,12)+1)</f>
        <v/>
      </c>
      <c r="BP42" s="34">
        <f>($B42/12)*(1+INDEX($C42:$E42,1,Control!$B$10))^BP5*INDEX($B$13:$M$13,1,MOD(63-1,12)+1)</f>
        <v/>
      </c>
      <c r="BQ42" s="34">
        <f>($B42/12)*(1+INDEX($C42:$E42,1,Control!$B$10))^BQ5*INDEX($B$13:$M$13,1,MOD(64-1,12)+1)</f>
        <v/>
      </c>
      <c r="BR42" s="34">
        <f>($B42/12)*(1+INDEX($C42:$E42,1,Control!$B$10))^BR5*INDEX($B$13:$M$13,1,MOD(65-1,12)+1)</f>
        <v/>
      </c>
      <c r="BS42" s="34">
        <f>($B42/12)*(1+INDEX($C42:$E42,1,Control!$B$10))^BS5*INDEX($B$13:$M$13,1,MOD(66-1,12)+1)</f>
        <v/>
      </c>
      <c r="BT42" s="34">
        <f>($B42/12)*(1+INDEX($C42:$E42,1,Control!$B$10))^BT5*INDEX($B$13:$M$13,1,MOD(67-1,12)+1)</f>
        <v/>
      </c>
      <c r="BU42" s="34">
        <f>($B42/12)*(1+INDEX($C42:$E42,1,Control!$B$10))^BU5*INDEX($B$13:$M$13,1,MOD(68-1,12)+1)</f>
        <v/>
      </c>
      <c r="BV42" s="34">
        <f>($B42/12)*(1+INDEX($C42:$E42,1,Control!$B$10))^BV5*INDEX($B$13:$M$13,1,MOD(69-1,12)+1)</f>
        <v/>
      </c>
      <c r="BW42" s="34">
        <f>($B42/12)*(1+INDEX($C42:$E42,1,Control!$B$10))^BW5*INDEX($B$13:$M$13,1,MOD(70-1,12)+1)</f>
        <v/>
      </c>
      <c r="BX42" s="34">
        <f>($B42/12)*(1+INDEX($C42:$E42,1,Control!$B$10))^BX5*INDEX($B$13:$M$13,1,MOD(71-1,12)+1)</f>
        <v/>
      </c>
      <c r="BY42" s="34">
        <f>($B42/12)*(1+INDEX($C42:$E42,1,Control!$B$10))^BY5*INDEX($B$13:$M$13,1,MOD(72-1,12)+1)</f>
        <v/>
      </c>
      <c r="BZ42" s="34">
        <f>($B42/12)*(1+INDEX($C42:$E42,1,Control!$B$10))^BZ5*INDEX($B$13:$M$13,1,MOD(73-1,12)+1)</f>
        <v/>
      </c>
      <c r="CA42" s="34">
        <f>($B42/12)*(1+INDEX($C42:$E42,1,Control!$B$10))^CA5*INDEX($B$13:$M$13,1,MOD(74-1,12)+1)</f>
        <v/>
      </c>
      <c r="CB42" s="34">
        <f>($B42/12)*(1+INDEX($C42:$E42,1,Control!$B$10))^CB5*INDEX($B$13:$M$13,1,MOD(75-1,12)+1)</f>
        <v/>
      </c>
      <c r="CC42" s="34">
        <f>($B42/12)*(1+INDEX($C42:$E42,1,Control!$B$10))^CC5*INDEX($B$13:$M$13,1,MOD(76-1,12)+1)</f>
        <v/>
      </c>
      <c r="CD42" s="34">
        <f>($B42/12)*(1+INDEX($C42:$E42,1,Control!$B$10))^CD5*INDEX($B$13:$M$13,1,MOD(77-1,12)+1)</f>
        <v/>
      </c>
      <c r="CE42" s="34">
        <f>($B42/12)*(1+INDEX($C42:$E42,1,Control!$B$10))^CE5*INDEX($B$13:$M$13,1,MOD(78-1,12)+1)</f>
        <v/>
      </c>
      <c r="CF42" s="34">
        <f>($B42/12)*(1+INDEX($C42:$E42,1,Control!$B$10))^CF5*INDEX($B$13:$M$13,1,MOD(79-1,12)+1)</f>
        <v/>
      </c>
      <c r="CG42" s="34">
        <f>($B42/12)*(1+INDEX($C42:$E42,1,Control!$B$10))^CG5*INDEX($B$13:$M$13,1,MOD(80-1,12)+1)</f>
        <v/>
      </c>
      <c r="CH42" s="34">
        <f>($B42/12)*(1+INDEX($C42:$E42,1,Control!$B$10))^CH5*INDEX($B$13:$M$13,1,MOD(81-1,12)+1)</f>
        <v/>
      </c>
      <c r="CI42" s="34">
        <f>($B42/12)*(1+INDEX($C42:$E42,1,Control!$B$10))^CI5*INDEX($B$13:$M$13,1,MOD(82-1,12)+1)</f>
        <v/>
      </c>
      <c r="CJ42" s="34">
        <f>($B42/12)*(1+INDEX($C42:$E42,1,Control!$B$10))^CJ5*INDEX($B$13:$M$13,1,MOD(83-1,12)+1)</f>
        <v/>
      </c>
      <c r="CK42" s="34">
        <f>($B42/12)*(1+INDEX($C42:$E42,1,Control!$B$10))^CK5*INDEX($B$13:$M$13,1,MOD(84-1,12)+1)</f>
        <v/>
      </c>
      <c r="CL42" s="34">
        <f>($B42/12)*(1+INDEX($C42:$E42,1,Control!$B$10))^CL5*INDEX($B$13:$M$13,1,MOD(85-1,12)+1)</f>
        <v/>
      </c>
      <c r="CM42" s="34">
        <f>($B42/12)*(1+INDEX($C42:$E42,1,Control!$B$10))^CM5*INDEX($B$13:$M$13,1,MOD(86-1,12)+1)</f>
        <v/>
      </c>
      <c r="CN42" s="34">
        <f>($B42/12)*(1+INDEX($C42:$E42,1,Control!$B$10))^CN5*INDEX($B$13:$M$13,1,MOD(87-1,12)+1)</f>
        <v/>
      </c>
      <c r="CO42" s="34">
        <f>($B42/12)*(1+INDEX($C42:$E42,1,Control!$B$10))^CO5*INDEX($B$13:$M$13,1,MOD(88-1,12)+1)</f>
        <v/>
      </c>
      <c r="CP42" s="34">
        <f>($B42/12)*(1+INDEX($C42:$E42,1,Control!$B$10))^CP5*INDEX($B$13:$M$13,1,MOD(89-1,12)+1)</f>
        <v/>
      </c>
      <c r="CQ42" s="34">
        <f>($B42/12)*(1+INDEX($C42:$E42,1,Control!$B$10))^CQ5*INDEX($B$13:$M$13,1,MOD(90-1,12)+1)</f>
        <v/>
      </c>
      <c r="CR42" s="34">
        <f>($B42/12)*(1+INDEX($C42:$E42,1,Control!$B$10))^CR5*INDEX($B$13:$M$13,1,MOD(91-1,12)+1)</f>
        <v/>
      </c>
      <c r="CS42" s="34">
        <f>($B42/12)*(1+INDEX($C42:$E42,1,Control!$B$10))^CS5*INDEX($B$13:$M$13,1,MOD(92-1,12)+1)</f>
        <v/>
      </c>
      <c r="CT42" s="34">
        <f>($B42/12)*(1+INDEX($C42:$E42,1,Control!$B$10))^CT5*INDEX($B$13:$M$13,1,MOD(93-1,12)+1)</f>
        <v/>
      </c>
      <c r="CU42" s="34">
        <f>($B42/12)*(1+INDEX($C42:$E42,1,Control!$B$10))^CU5*INDEX($B$13:$M$13,1,MOD(94-1,12)+1)</f>
        <v/>
      </c>
      <c r="CV42" s="34">
        <f>($B42/12)*(1+INDEX($C42:$E42,1,Control!$B$10))^CV5*INDEX($B$13:$M$13,1,MOD(95-1,12)+1)</f>
        <v/>
      </c>
      <c r="CW42" s="34">
        <f>($B42/12)*(1+INDEX($C42:$E42,1,Control!$B$10))^CW5*INDEX($B$13:$M$13,1,MOD(96-1,12)+1)</f>
        <v/>
      </c>
      <c r="CX42" s="34">
        <f>($B42/12)*(1+INDEX($C42:$E42,1,Control!$B$10))^CX5*INDEX($B$13:$M$13,1,MOD(97-1,12)+1)</f>
        <v/>
      </c>
      <c r="CY42" s="34">
        <f>($B42/12)*(1+INDEX($C42:$E42,1,Control!$B$10))^CY5*INDEX($B$13:$M$13,1,MOD(98-1,12)+1)</f>
        <v/>
      </c>
      <c r="CZ42" s="34">
        <f>($B42/12)*(1+INDEX($C42:$E42,1,Control!$B$10))^CZ5*INDEX($B$13:$M$13,1,MOD(99-1,12)+1)</f>
        <v/>
      </c>
      <c r="DA42" s="34">
        <f>($B42/12)*(1+INDEX($C42:$E42,1,Control!$B$10))^DA5*INDEX($B$13:$M$13,1,MOD(100-1,12)+1)</f>
        <v/>
      </c>
      <c r="DB42" s="34">
        <f>($B42/12)*(1+INDEX($C42:$E42,1,Control!$B$10))^DB5*INDEX($B$13:$M$13,1,MOD(101-1,12)+1)</f>
        <v/>
      </c>
      <c r="DC42" s="34">
        <f>($B42/12)*(1+INDEX($C42:$E42,1,Control!$B$10))^DC5*INDEX($B$13:$M$13,1,MOD(102-1,12)+1)</f>
        <v/>
      </c>
      <c r="DD42" s="34">
        <f>($B42/12)*(1+INDEX($C42:$E42,1,Control!$B$10))^DD5*INDEX($B$13:$M$13,1,MOD(103-1,12)+1)</f>
        <v/>
      </c>
      <c r="DE42" s="34">
        <f>($B42/12)*(1+INDEX($C42:$E42,1,Control!$B$10))^DE5*INDEX($B$13:$M$13,1,MOD(104-1,12)+1)</f>
        <v/>
      </c>
      <c r="DF42" s="34">
        <f>($B42/12)*(1+INDEX($C42:$E42,1,Control!$B$10))^DF5*INDEX($B$13:$M$13,1,MOD(105-1,12)+1)</f>
        <v/>
      </c>
      <c r="DG42" s="34">
        <f>($B42/12)*(1+INDEX($C42:$E42,1,Control!$B$10))^DG5*INDEX($B$13:$M$13,1,MOD(106-1,12)+1)</f>
        <v/>
      </c>
      <c r="DH42" s="34">
        <f>($B42/12)*(1+INDEX($C42:$E42,1,Control!$B$10))^DH5*INDEX($B$13:$M$13,1,MOD(107-1,12)+1)</f>
        <v/>
      </c>
      <c r="DI42" s="34">
        <f>($B42/12)*(1+INDEX($C42:$E42,1,Control!$B$10))^DI5*INDEX($B$13:$M$13,1,MOD(108-1,12)+1)</f>
        <v/>
      </c>
      <c r="DJ42" s="34">
        <f>($B42/12)*(1+INDEX($C42:$E42,1,Control!$B$10))^DJ5*INDEX($B$13:$M$13,1,MOD(109-1,12)+1)</f>
        <v/>
      </c>
      <c r="DK42" s="34">
        <f>($B42/12)*(1+INDEX($C42:$E42,1,Control!$B$10))^DK5*INDEX($B$13:$M$13,1,MOD(110-1,12)+1)</f>
        <v/>
      </c>
      <c r="DL42" s="34">
        <f>($B42/12)*(1+INDEX($C42:$E42,1,Control!$B$10))^DL5*INDEX($B$13:$M$13,1,MOD(111-1,12)+1)</f>
        <v/>
      </c>
      <c r="DM42" s="34">
        <f>($B42/12)*(1+INDEX($C42:$E42,1,Control!$B$10))^DM5*INDEX($B$13:$M$13,1,MOD(112-1,12)+1)</f>
        <v/>
      </c>
      <c r="DN42" s="34">
        <f>($B42/12)*(1+INDEX($C42:$E42,1,Control!$B$10))^DN5*INDEX($B$13:$M$13,1,MOD(113-1,12)+1)</f>
        <v/>
      </c>
      <c r="DO42" s="34">
        <f>($B42/12)*(1+INDEX($C42:$E42,1,Control!$B$10))^DO5*INDEX($B$13:$M$13,1,MOD(114-1,12)+1)</f>
        <v/>
      </c>
      <c r="DP42" s="34">
        <f>($B42/12)*(1+INDEX($C42:$E42,1,Control!$B$10))^DP5*INDEX($B$13:$M$13,1,MOD(115-1,12)+1)</f>
        <v/>
      </c>
      <c r="DQ42" s="34">
        <f>($B42/12)*(1+INDEX($C42:$E42,1,Control!$B$10))^DQ5*INDEX($B$13:$M$13,1,MOD(116-1,12)+1)</f>
        <v/>
      </c>
      <c r="DR42" s="34">
        <f>($B42/12)*(1+INDEX($C42:$E42,1,Control!$B$10))^DR5*INDEX($B$13:$M$13,1,MOD(117-1,12)+1)</f>
        <v/>
      </c>
      <c r="DS42" s="34">
        <f>($B42/12)*(1+INDEX($C42:$E42,1,Control!$B$10))^DS5*INDEX($B$13:$M$13,1,MOD(118-1,12)+1)</f>
        <v/>
      </c>
      <c r="DT42" s="34">
        <f>($B42/12)*(1+INDEX($C42:$E42,1,Control!$B$10))^DT5*INDEX($B$13:$M$13,1,MOD(119-1,12)+1)</f>
        <v/>
      </c>
      <c r="DU42" s="34">
        <f>($B42/12)*(1+INDEX($C42:$E42,1,Control!$B$10))^DU5*INDEX($B$13:$M$13,1,MOD(120-1,12)+1)</f>
        <v/>
      </c>
    </row>
    <row r="43">
      <c r="A43" t="inlineStr">
        <is>
          <t>HarborIPA-Bottles-OnTrade</t>
        </is>
      </c>
      <c r="B43" s="33" t="n">
        <v>18000</v>
      </c>
      <c r="C43" s="22" t="n">
        <v>0.05</v>
      </c>
      <c r="D43" s="22" t="n">
        <v>0.07000000000000001</v>
      </c>
      <c r="E43" s="22" t="n">
        <v>0.03</v>
      </c>
      <c r="F43" s="34">
        <f>($B43/12)*(1+INDEX($C43:$E43,1,Control!$B$10))^F5*INDEX($B$13:$M$13,1,MOD(1-1,12)+1)</f>
        <v/>
      </c>
      <c r="G43" s="34">
        <f>($B43/12)*(1+INDEX($C43:$E43,1,Control!$B$10))^G5*INDEX($B$13:$M$13,1,MOD(2-1,12)+1)</f>
        <v/>
      </c>
      <c r="H43" s="34">
        <f>($B43/12)*(1+INDEX($C43:$E43,1,Control!$B$10))^H5*INDEX($B$13:$M$13,1,MOD(3-1,12)+1)</f>
        <v/>
      </c>
      <c r="I43" s="34">
        <f>($B43/12)*(1+INDEX($C43:$E43,1,Control!$B$10))^I5*INDEX($B$13:$M$13,1,MOD(4-1,12)+1)</f>
        <v/>
      </c>
      <c r="J43" s="34">
        <f>($B43/12)*(1+INDEX($C43:$E43,1,Control!$B$10))^J5*INDEX($B$13:$M$13,1,MOD(5-1,12)+1)</f>
        <v/>
      </c>
      <c r="K43" s="34">
        <f>($B43/12)*(1+INDEX($C43:$E43,1,Control!$B$10))^K5*INDEX($B$13:$M$13,1,MOD(6-1,12)+1)</f>
        <v/>
      </c>
      <c r="L43" s="34">
        <f>($B43/12)*(1+INDEX($C43:$E43,1,Control!$B$10))^L5*INDEX($B$13:$M$13,1,MOD(7-1,12)+1)</f>
        <v/>
      </c>
      <c r="M43" s="34">
        <f>($B43/12)*(1+INDEX($C43:$E43,1,Control!$B$10))^M5*INDEX($B$13:$M$13,1,MOD(8-1,12)+1)</f>
        <v/>
      </c>
      <c r="N43" s="34">
        <f>($B43/12)*(1+INDEX($C43:$E43,1,Control!$B$10))^N5*INDEX($B$13:$M$13,1,MOD(9-1,12)+1)</f>
        <v/>
      </c>
      <c r="O43" s="34">
        <f>($B43/12)*(1+INDEX($C43:$E43,1,Control!$B$10))^O5*INDEX($B$13:$M$13,1,MOD(10-1,12)+1)</f>
        <v/>
      </c>
      <c r="P43" s="34">
        <f>($B43/12)*(1+INDEX($C43:$E43,1,Control!$B$10))^P5*INDEX($B$13:$M$13,1,MOD(11-1,12)+1)</f>
        <v/>
      </c>
      <c r="Q43" s="34">
        <f>($B43/12)*(1+INDEX($C43:$E43,1,Control!$B$10))^Q5*INDEX($B$13:$M$13,1,MOD(12-1,12)+1)</f>
        <v/>
      </c>
      <c r="R43" s="34">
        <f>($B43/12)*(1+INDEX($C43:$E43,1,Control!$B$10))^R5*INDEX($B$13:$M$13,1,MOD(13-1,12)+1)</f>
        <v/>
      </c>
      <c r="S43" s="34">
        <f>($B43/12)*(1+INDEX($C43:$E43,1,Control!$B$10))^S5*INDEX($B$13:$M$13,1,MOD(14-1,12)+1)</f>
        <v/>
      </c>
      <c r="T43" s="34">
        <f>($B43/12)*(1+INDEX($C43:$E43,1,Control!$B$10))^T5*INDEX($B$13:$M$13,1,MOD(15-1,12)+1)</f>
        <v/>
      </c>
      <c r="U43" s="34">
        <f>($B43/12)*(1+INDEX($C43:$E43,1,Control!$B$10))^U5*INDEX($B$13:$M$13,1,MOD(16-1,12)+1)</f>
        <v/>
      </c>
      <c r="V43" s="34">
        <f>($B43/12)*(1+INDEX($C43:$E43,1,Control!$B$10))^V5*INDEX($B$13:$M$13,1,MOD(17-1,12)+1)</f>
        <v/>
      </c>
      <c r="W43" s="34">
        <f>($B43/12)*(1+INDEX($C43:$E43,1,Control!$B$10))^W5*INDEX($B$13:$M$13,1,MOD(18-1,12)+1)</f>
        <v/>
      </c>
      <c r="X43" s="34">
        <f>($B43/12)*(1+INDEX($C43:$E43,1,Control!$B$10))^X5*INDEX($B$13:$M$13,1,MOD(19-1,12)+1)</f>
        <v/>
      </c>
      <c r="Y43" s="34">
        <f>($B43/12)*(1+INDEX($C43:$E43,1,Control!$B$10))^Y5*INDEX($B$13:$M$13,1,MOD(20-1,12)+1)</f>
        <v/>
      </c>
      <c r="Z43" s="34">
        <f>($B43/12)*(1+INDEX($C43:$E43,1,Control!$B$10))^Z5*INDEX($B$13:$M$13,1,MOD(21-1,12)+1)</f>
        <v/>
      </c>
      <c r="AA43" s="34">
        <f>($B43/12)*(1+INDEX($C43:$E43,1,Control!$B$10))^AA5*INDEX($B$13:$M$13,1,MOD(22-1,12)+1)</f>
        <v/>
      </c>
      <c r="AB43" s="34">
        <f>($B43/12)*(1+INDEX($C43:$E43,1,Control!$B$10))^AB5*INDEX($B$13:$M$13,1,MOD(23-1,12)+1)</f>
        <v/>
      </c>
      <c r="AC43" s="34">
        <f>($B43/12)*(1+INDEX($C43:$E43,1,Control!$B$10))^AC5*INDEX($B$13:$M$13,1,MOD(24-1,12)+1)</f>
        <v/>
      </c>
      <c r="AD43" s="34">
        <f>($B43/12)*(1+INDEX($C43:$E43,1,Control!$B$10))^AD5*INDEX($B$13:$M$13,1,MOD(25-1,12)+1)</f>
        <v/>
      </c>
      <c r="AE43" s="34">
        <f>($B43/12)*(1+INDEX($C43:$E43,1,Control!$B$10))^AE5*INDEX($B$13:$M$13,1,MOD(26-1,12)+1)</f>
        <v/>
      </c>
      <c r="AF43" s="34">
        <f>($B43/12)*(1+INDEX($C43:$E43,1,Control!$B$10))^AF5*INDEX($B$13:$M$13,1,MOD(27-1,12)+1)</f>
        <v/>
      </c>
      <c r="AG43" s="34">
        <f>($B43/12)*(1+INDEX($C43:$E43,1,Control!$B$10))^AG5*INDEX($B$13:$M$13,1,MOD(28-1,12)+1)</f>
        <v/>
      </c>
      <c r="AH43" s="34">
        <f>($B43/12)*(1+INDEX($C43:$E43,1,Control!$B$10))^AH5*INDEX($B$13:$M$13,1,MOD(29-1,12)+1)</f>
        <v/>
      </c>
      <c r="AI43" s="34">
        <f>($B43/12)*(1+INDEX($C43:$E43,1,Control!$B$10))^AI5*INDEX($B$13:$M$13,1,MOD(30-1,12)+1)</f>
        <v/>
      </c>
      <c r="AJ43" s="34">
        <f>($B43/12)*(1+INDEX($C43:$E43,1,Control!$B$10))^AJ5*INDEX($B$13:$M$13,1,MOD(31-1,12)+1)</f>
        <v/>
      </c>
      <c r="AK43" s="34">
        <f>($B43/12)*(1+INDEX($C43:$E43,1,Control!$B$10))^AK5*INDEX($B$13:$M$13,1,MOD(32-1,12)+1)</f>
        <v/>
      </c>
      <c r="AL43" s="34">
        <f>($B43/12)*(1+INDEX($C43:$E43,1,Control!$B$10))^AL5*INDEX($B$13:$M$13,1,MOD(33-1,12)+1)</f>
        <v/>
      </c>
      <c r="AM43" s="34">
        <f>($B43/12)*(1+INDEX($C43:$E43,1,Control!$B$10))^AM5*INDEX($B$13:$M$13,1,MOD(34-1,12)+1)</f>
        <v/>
      </c>
      <c r="AN43" s="34">
        <f>($B43/12)*(1+INDEX($C43:$E43,1,Control!$B$10))^AN5*INDEX($B$13:$M$13,1,MOD(35-1,12)+1)</f>
        <v/>
      </c>
      <c r="AO43" s="34">
        <f>($B43/12)*(1+INDEX($C43:$E43,1,Control!$B$10))^AO5*INDEX($B$13:$M$13,1,MOD(36-1,12)+1)</f>
        <v/>
      </c>
      <c r="AP43" s="34">
        <f>($B43/12)*(1+INDEX($C43:$E43,1,Control!$B$10))^AP5*INDEX($B$13:$M$13,1,MOD(37-1,12)+1)</f>
        <v/>
      </c>
      <c r="AQ43" s="34">
        <f>($B43/12)*(1+INDEX($C43:$E43,1,Control!$B$10))^AQ5*INDEX($B$13:$M$13,1,MOD(38-1,12)+1)</f>
        <v/>
      </c>
      <c r="AR43" s="34">
        <f>($B43/12)*(1+INDEX($C43:$E43,1,Control!$B$10))^AR5*INDEX($B$13:$M$13,1,MOD(39-1,12)+1)</f>
        <v/>
      </c>
      <c r="AS43" s="34">
        <f>($B43/12)*(1+INDEX($C43:$E43,1,Control!$B$10))^AS5*INDEX($B$13:$M$13,1,MOD(40-1,12)+1)</f>
        <v/>
      </c>
      <c r="AT43" s="34">
        <f>($B43/12)*(1+INDEX($C43:$E43,1,Control!$B$10))^AT5*INDEX($B$13:$M$13,1,MOD(41-1,12)+1)</f>
        <v/>
      </c>
      <c r="AU43" s="34">
        <f>($B43/12)*(1+INDEX($C43:$E43,1,Control!$B$10))^AU5*INDEX($B$13:$M$13,1,MOD(42-1,12)+1)</f>
        <v/>
      </c>
      <c r="AV43" s="34">
        <f>($B43/12)*(1+INDEX($C43:$E43,1,Control!$B$10))^AV5*INDEX($B$13:$M$13,1,MOD(43-1,12)+1)</f>
        <v/>
      </c>
      <c r="AW43" s="34">
        <f>($B43/12)*(1+INDEX($C43:$E43,1,Control!$B$10))^AW5*INDEX($B$13:$M$13,1,MOD(44-1,12)+1)</f>
        <v/>
      </c>
      <c r="AX43" s="34">
        <f>($B43/12)*(1+INDEX($C43:$E43,1,Control!$B$10))^AX5*INDEX($B$13:$M$13,1,MOD(45-1,12)+1)</f>
        <v/>
      </c>
      <c r="AY43" s="34">
        <f>($B43/12)*(1+INDEX($C43:$E43,1,Control!$B$10))^AY5*INDEX($B$13:$M$13,1,MOD(46-1,12)+1)</f>
        <v/>
      </c>
      <c r="AZ43" s="34">
        <f>($B43/12)*(1+INDEX($C43:$E43,1,Control!$B$10))^AZ5*INDEX($B$13:$M$13,1,MOD(47-1,12)+1)</f>
        <v/>
      </c>
      <c r="BA43" s="34">
        <f>($B43/12)*(1+INDEX($C43:$E43,1,Control!$B$10))^BA5*INDEX($B$13:$M$13,1,MOD(48-1,12)+1)</f>
        <v/>
      </c>
      <c r="BB43" s="34">
        <f>($B43/12)*(1+INDEX($C43:$E43,1,Control!$B$10))^BB5*INDEX($B$13:$M$13,1,MOD(49-1,12)+1)</f>
        <v/>
      </c>
      <c r="BC43" s="34">
        <f>($B43/12)*(1+INDEX($C43:$E43,1,Control!$B$10))^BC5*INDEX($B$13:$M$13,1,MOD(50-1,12)+1)</f>
        <v/>
      </c>
      <c r="BD43" s="34">
        <f>($B43/12)*(1+INDEX($C43:$E43,1,Control!$B$10))^BD5*INDEX($B$13:$M$13,1,MOD(51-1,12)+1)</f>
        <v/>
      </c>
      <c r="BE43" s="34">
        <f>($B43/12)*(1+INDEX($C43:$E43,1,Control!$B$10))^BE5*INDEX($B$13:$M$13,1,MOD(52-1,12)+1)</f>
        <v/>
      </c>
      <c r="BF43" s="34">
        <f>($B43/12)*(1+INDEX($C43:$E43,1,Control!$B$10))^BF5*INDEX($B$13:$M$13,1,MOD(53-1,12)+1)</f>
        <v/>
      </c>
      <c r="BG43" s="34">
        <f>($B43/12)*(1+INDEX($C43:$E43,1,Control!$B$10))^BG5*INDEX($B$13:$M$13,1,MOD(54-1,12)+1)</f>
        <v/>
      </c>
      <c r="BH43" s="34">
        <f>($B43/12)*(1+INDEX($C43:$E43,1,Control!$B$10))^BH5*INDEX($B$13:$M$13,1,MOD(55-1,12)+1)</f>
        <v/>
      </c>
      <c r="BI43" s="34">
        <f>($B43/12)*(1+INDEX($C43:$E43,1,Control!$B$10))^BI5*INDEX($B$13:$M$13,1,MOD(56-1,12)+1)</f>
        <v/>
      </c>
      <c r="BJ43" s="34">
        <f>($B43/12)*(1+INDEX($C43:$E43,1,Control!$B$10))^BJ5*INDEX($B$13:$M$13,1,MOD(57-1,12)+1)</f>
        <v/>
      </c>
      <c r="BK43" s="34">
        <f>($B43/12)*(1+INDEX($C43:$E43,1,Control!$B$10))^BK5*INDEX($B$13:$M$13,1,MOD(58-1,12)+1)</f>
        <v/>
      </c>
      <c r="BL43" s="34">
        <f>($B43/12)*(1+INDEX($C43:$E43,1,Control!$B$10))^BL5*INDEX($B$13:$M$13,1,MOD(59-1,12)+1)</f>
        <v/>
      </c>
      <c r="BM43" s="34">
        <f>($B43/12)*(1+INDEX($C43:$E43,1,Control!$B$10))^BM5*INDEX($B$13:$M$13,1,MOD(60-1,12)+1)</f>
        <v/>
      </c>
      <c r="BN43" s="34">
        <f>($B43/12)*(1+INDEX($C43:$E43,1,Control!$B$10))^BN5*INDEX($B$13:$M$13,1,MOD(61-1,12)+1)</f>
        <v/>
      </c>
      <c r="BO43" s="34">
        <f>($B43/12)*(1+INDEX($C43:$E43,1,Control!$B$10))^BO5*INDEX($B$13:$M$13,1,MOD(62-1,12)+1)</f>
        <v/>
      </c>
      <c r="BP43" s="34">
        <f>($B43/12)*(1+INDEX($C43:$E43,1,Control!$B$10))^BP5*INDEX($B$13:$M$13,1,MOD(63-1,12)+1)</f>
        <v/>
      </c>
      <c r="BQ43" s="34">
        <f>($B43/12)*(1+INDEX($C43:$E43,1,Control!$B$10))^BQ5*INDEX($B$13:$M$13,1,MOD(64-1,12)+1)</f>
        <v/>
      </c>
      <c r="BR43" s="34">
        <f>($B43/12)*(1+INDEX($C43:$E43,1,Control!$B$10))^BR5*INDEX($B$13:$M$13,1,MOD(65-1,12)+1)</f>
        <v/>
      </c>
      <c r="BS43" s="34">
        <f>($B43/12)*(1+INDEX($C43:$E43,1,Control!$B$10))^BS5*INDEX($B$13:$M$13,1,MOD(66-1,12)+1)</f>
        <v/>
      </c>
      <c r="BT43" s="34">
        <f>($B43/12)*(1+INDEX($C43:$E43,1,Control!$B$10))^BT5*INDEX($B$13:$M$13,1,MOD(67-1,12)+1)</f>
        <v/>
      </c>
      <c r="BU43" s="34">
        <f>($B43/12)*(1+INDEX($C43:$E43,1,Control!$B$10))^BU5*INDEX($B$13:$M$13,1,MOD(68-1,12)+1)</f>
        <v/>
      </c>
      <c r="BV43" s="34">
        <f>($B43/12)*(1+INDEX($C43:$E43,1,Control!$B$10))^BV5*INDEX($B$13:$M$13,1,MOD(69-1,12)+1)</f>
        <v/>
      </c>
      <c r="BW43" s="34">
        <f>($B43/12)*(1+INDEX($C43:$E43,1,Control!$B$10))^BW5*INDEX($B$13:$M$13,1,MOD(70-1,12)+1)</f>
        <v/>
      </c>
      <c r="BX43" s="34">
        <f>($B43/12)*(1+INDEX($C43:$E43,1,Control!$B$10))^BX5*INDEX($B$13:$M$13,1,MOD(71-1,12)+1)</f>
        <v/>
      </c>
      <c r="BY43" s="34">
        <f>($B43/12)*(1+INDEX($C43:$E43,1,Control!$B$10))^BY5*INDEX($B$13:$M$13,1,MOD(72-1,12)+1)</f>
        <v/>
      </c>
      <c r="BZ43" s="34">
        <f>($B43/12)*(1+INDEX($C43:$E43,1,Control!$B$10))^BZ5*INDEX($B$13:$M$13,1,MOD(73-1,12)+1)</f>
        <v/>
      </c>
      <c r="CA43" s="34">
        <f>($B43/12)*(1+INDEX($C43:$E43,1,Control!$B$10))^CA5*INDEX($B$13:$M$13,1,MOD(74-1,12)+1)</f>
        <v/>
      </c>
      <c r="CB43" s="34">
        <f>($B43/12)*(1+INDEX($C43:$E43,1,Control!$B$10))^CB5*INDEX($B$13:$M$13,1,MOD(75-1,12)+1)</f>
        <v/>
      </c>
      <c r="CC43" s="34">
        <f>($B43/12)*(1+INDEX($C43:$E43,1,Control!$B$10))^CC5*INDEX($B$13:$M$13,1,MOD(76-1,12)+1)</f>
        <v/>
      </c>
      <c r="CD43" s="34">
        <f>($B43/12)*(1+INDEX($C43:$E43,1,Control!$B$10))^CD5*INDEX($B$13:$M$13,1,MOD(77-1,12)+1)</f>
        <v/>
      </c>
      <c r="CE43" s="34">
        <f>($B43/12)*(1+INDEX($C43:$E43,1,Control!$B$10))^CE5*INDEX($B$13:$M$13,1,MOD(78-1,12)+1)</f>
        <v/>
      </c>
      <c r="CF43" s="34">
        <f>($B43/12)*(1+INDEX($C43:$E43,1,Control!$B$10))^CF5*INDEX($B$13:$M$13,1,MOD(79-1,12)+1)</f>
        <v/>
      </c>
      <c r="CG43" s="34">
        <f>($B43/12)*(1+INDEX($C43:$E43,1,Control!$B$10))^CG5*INDEX($B$13:$M$13,1,MOD(80-1,12)+1)</f>
        <v/>
      </c>
      <c r="CH43" s="34">
        <f>($B43/12)*(1+INDEX($C43:$E43,1,Control!$B$10))^CH5*INDEX($B$13:$M$13,1,MOD(81-1,12)+1)</f>
        <v/>
      </c>
      <c r="CI43" s="34">
        <f>($B43/12)*(1+INDEX($C43:$E43,1,Control!$B$10))^CI5*INDEX($B$13:$M$13,1,MOD(82-1,12)+1)</f>
        <v/>
      </c>
      <c r="CJ43" s="34">
        <f>($B43/12)*(1+INDEX($C43:$E43,1,Control!$B$10))^CJ5*INDEX($B$13:$M$13,1,MOD(83-1,12)+1)</f>
        <v/>
      </c>
      <c r="CK43" s="34">
        <f>($B43/12)*(1+INDEX($C43:$E43,1,Control!$B$10))^CK5*INDEX($B$13:$M$13,1,MOD(84-1,12)+1)</f>
        <v/>
      </c>
      <c r="CL43" s="34">
        <f>($B43/12)*(1+INDEX($C43:$E43,1,Control!$B$10))^CL5*INDEX($B$13:$M$13,1,MOD(85-1,12)+1)</f>
        <v/>
      </c>
      <c r="CM43" s="34">
        <f>($B43/12)*(1+INDEX($C43:$E43,1,Control!$B$10))^CM5*INDEX($B$13:$M$13,1,MOD(86-1,12)+1)</f>
        <v/>
      </c>
      <c r="CN43" s="34">
        <f>($B43/12)*(1+INDEX($C43:$E43,1,Control!$B$10))^CN5*INDEX($B$13:$M$13,1,MOD(87-1,12)+1)</f>
        <v/>
      </c>
      <c r="CO43" s="34">
        <f>($B43/12)*(1+INDEX($C43:$E43,1,Control!$B$10))^CO5*INDEX($B$13:$M$13,1,MOD(88-1,12)+1)</f>
        <v/>
      </c>
      <c r="CP43" s="34">
        <f>($B43/12)*(1+INDEX($C43:$E43,1,Control!$B$10))^CP5*INDEX($B$13:$M$13,1,MOD(89-1,12)+1)</f>
        <v/>
      </c>
      <c r="CQ43" s="34">
        <f>($B43/12)*(1+INDEX($C43:$E43,1,Control!$B$10))^CQ5*INDEX($B$13:$M$13,1,MOD(90-1,12)+1)</f>
        <v/>
      </c>
      <c r="CR43" s="34">
        <f>($B43/12)*(1+INDEX($C43:$E43,1,Control!$B$10))^CR5*INDEX($B$13:$M$13,1,MOD(91-1,12)+1)</f>
        <v/>
      </c>
      <c r="CS43" s="34">
        <f>($B43/12)*(1+INDEX($C43:$E43,1,Control!$B$10))^CS5*INDEX($B$13:$M$13,1,MOD(92-1,12)+1)</f>
        <v/>
      </c>
      <c r="CT43" s="34">
        <f>($B43/12)*(1+INDEX($C43:$E43,1,Control!$B$10))^CT5*INDEX($B$13:$M$13,1,MOD(93-1,12)+1)</f>
        <v/>
      </c>
      <c r="CU43" s="34">
        <f>($B43/12)*(1+INDEX($C43:$E43,1,Control!$B$10))^CU5*INDEX($B$13:$M$13,1,MOD(94-1,12)+1)</f>
        <v/>
      </c>
      <c r="CV43" s="34">
        <f>($B43/12)*(1+INDEX($C43:$E43,1,Control!$B$10))^CV5*INDEX($B$13:$M$13,1,MOD(95-1,12)+1)</f>
        <v/>
      </c>
      <c r="CW43" s="34">
        <f>($B43/12)*(1+INDEX($C43:$E43,1,Control!$B$10))^CW5*INDEX($B$13:$M$13,1,MOD(96-1,12)+1)</f>
        <v/>
      </c>
      <c r="CX43" s="34">
        <f>($B43/12)*(1+INDEX($C43:$E43,1,Control!$B$10))^CX5*INDEX($B$13:$M$13,1,MOD(97-1,12)+1)</f>
        <v/>
      </c>
      <c r="CY43" s="34">
        <f>($B43/12)*(1+INDEX($C43:$E43,1,Control!$B$10))^CY5*INDEX($B$13:$M$13,1,MOD(98-1,12)+1)</f>
        <v/>
      </c>
      <c r="CZ43" s="34">
        <f>($B43/12)*(1+INDEX($C43:$E43,1,Control!$B$10))^CZ5*INDEX($B$13:$M$13,1,MOD(99-1,12)+1)</f>
        <v/>
      </c>
      <c r="DA43" s="34">
        <f>($B43/12)*(1+INDEX($C43:$E43,1,Control!$B$10))^DA5*INDEX($B$13:$M$13,1,MOD(100-1,12)+1)</f>
        <v/>
      </c>
      <c r="DB43" s="34">
        <f>($B43/12)*(1+INDEX($C43:$E43,1,Control!$B$10))^DB5*INDEX($B$13:$M$13,1,MOD(101-1,12)+1)</f>
        <v/>
      </c>
      <c r="DC43" s="34">
        <f>($B43/12)*(1+INDEX($C43:$E43,1,Control!$B$10))^DC5*INDEX($B$13:$M$13,1,MOD(102-1,12)+1)</f>
        <v/>
      </c>
      <c r="DD43" s="34">
        <f>($B43/12)*(1+INDEX($C43:$E43,1,Control!$B$10))^DD5*INDEX($B$13:$M$13,1,MOD(103-1,12)+1)</f>
        <v/>
      </c>
      <c r="DE43" s="34">
        <f>($B43/12)*(1+INDEX($C43:$E43,1,Control!$B$10))^DE5*INDEX($B$13:$M$13,1,MOD(104-1,12)+1)</f>
        <v/>
      </c>
      <c r="DF43" s="34">
        <f>($B43/12)*(1+INDEX($C43:$E43,1,Control!$B$10))^DF5*INDEX($B$13:$M$13,1,MOD(105-1,12)+1)</f>
        <v/>
      </c>
      <c r="DG43" s="34">
        <f>($B43/12)*(1+INDEX($C43:$E43,1,Control!$B$10))^DG5*INDEX($B$13:$M$13,1,MOD(106-1,12)+1)</f>
        <v/>
      </c>
      <c r="DH43" s="34">
        <f>($B43/12)*(1+INDEX($C43:$E43,1,Control!$B$10))^DH5*INDEX($B$13:$M$13,1,MOD(107-1,12)+1)</f>
        <v/>
      </c>
      <c r="DI43" s="34">
        <f>($B43/12)*(1+INDEX($C43:$E43,1,Control!$B$10))^DI5*INDEX($B$13:$M$13,1,MOD(108-1,12)+1)</f>
        <v/>
      </c>
      <c r="DJ43" s="34">
        <f>($B43/12)*(1+INDEX($C43:$E43,1,Control!$B$10))^DJ5*INDEX($B$13:$M$13,1,MOD(109-1,12)+1)</f>
        <v/>
      </c>
      <c r="DK43" s="34">
        <f>($B43/12)*(1+INDEX($C43:$E43,1,Control!$B$10))^DK5*INDEX($B$13:$M$13,1,MOD(110-1,12)+1)</f>
        <v/>
      </c>
      <c r="DL43" s="34">
        <f>($B43/12)*(1+INDEX($C43:$E43,1,Control!$B$10))^DL5*INDEX($B$13:$M$13,1,MOD(111-1,12)+1)</f>
        <v/>
      </c>
      <c r="DM43" s="34">
        <f>($B43/12)*(1+INDEX($C43:$E43,1,Control!$B$10))^DM5*INDEX($B$13:$M$13,1,MOD(112-1,12)+1)</f>
        <v/>
      </c>
      <c r="DN43" s="34">
        <f>($B43/12)*(1+INDEX($C43:$E43,1,Control!$B$10))^DN5*INDEX($B$13:$M$13,1,MOD(113-1,12)+1)</f>
        <v/>
      </c>
      <c r="DO43" s="34">
        <f>($B43/12)*(1+INDEX($C43:$E43,1,Control!$B$10))^DO5*INDEX($B$13:$M$13,1,MOD(114-1,12)+1)</f>
        <v/>
      </c>
      <c r="DP43" s="34">
        <f>($B43/12)*(1+INDEX($C43:$E43,1,Control!$B$10))^DP5*INDEX($B$13:$M$13,1,MOD(115-1,12)+1)</f>
        <v/>
      </c>
      <c r="DQ43" s="34">
        <f>($B43/12)*(1+INDEX($C43:$E43,1,Control!$B$10))^DQ5*INDEX($B$13:$M$13,1,MOD(116-1,12)+1)</f>
        <v/>
      </c>
      <c r="DR43" s="34">
        <f>($B43/12)*(1+INDEX($C43:$E43,1,Control!$B$10))^DR5*INDEX($B$13:$M$13,1,MOD(117-1,12)+1)</f>
        <v/>
      </c>
      <c r="DS43" s="34">
        <f>($B43/12)*(1+INDEX($C43:$E43,1,Control!$B$10))^DS5*INDEX($B$13:$M$13,1,MOD(118-1,12)+1)</f>
        <v/>
      </c>
      <c r="DT43" s="34">
        <f>($B43/12)*(1+INDEX($C43:$E43,1,Control!$B$10))^DT5*INDEX($B$13:$M$13,1,MOD(119-1,12)+1)</f>
        <v/>
      </c>
      <c r="DU43" s="34">
        <f>($B43/12)*(1+INDEX($C43:$E43,1,Control!$B$10))^DU5*INDEX($B$13:$M$13,1,MOD(120-1,12)+1)</f>
        <v/>
      </c>
    </row>
    <row r="44">
      <c r="A44" t="inlineStr">
        <is>
          <t>HarborIPA-Bottles-OffTrade</t>
        </is>
      </c>
      <c r="B44" s="33" t="n">
        <v>22000</v>
      </c>
      <c r="C44" s="22" t="n">
        <v>0.05</v>
      </c>
      <c r="D44" s="22" t="n">
        <v>0.07000000000000001</v>
      </c>
      <c r="E44" s="22" t="n">
        <v>0.03</v>
      </c>
      <c r="F44" s="34">
        <f>($B44/12)*(1+INDEX($C44:$E44,1,Control!$B$10))^F5*INDEX($B$13:$M$13,1,MOD(1-1,12)+1)</f>
        <v/>
      </c>
      <c r="G44" s="34">
        <f>($B44/12)*(1+INDEX($C44:$E44,1,Control!$B$10))^G5*INDEX($B$13:$M$13,1,MOD(2-1,12)+1)</f>
        <v/>
      </c>
      <c r="H44" s="34">
        <f>($B44/12)*(1+INDEX($C44:$E44,1,Control!$B$10))^H5*INDEX($B$13:$M$13,1,MOD(3-1,12)+1)</f>
        <v/>
      </c>
      <c r="I44" s="34">
        <f>($B44/12)*(1+INDEX($C44:$E44,1,Control!$B$10))^I5*INDEX($B$13:$M$13,1,MOD(4-1,12)+1)</f>
        <v/>
      </c>
      <c r="J44" s="34">
        <f>($B44/12)*(1+INDEX($C44:$E44,1,Control!$B$10))^J5*INDEX($B$13:$M$13,1,MOD(5-1,12)+1)</f>
        <v/>
      </c>
      <c r="K44" s="34">
        <f>($B44/12)*(1+INDEX($C44:$E44,1,Control!$B$10))^K5*INDEX($B$13:$M$13,1,MOD(6-1,12)+1)</f>
        <v/>
      </c>
      <c r="L44" s="34">
        <f>($B44/12)*(1+INDEX($C44:$E44,1,Control!$B$10))^L5*INDEX($B$13:$M$13,1,MOD(7-1,12)+1)</f>
        <v/>
      </c>
      <c r="M44" s="34">
        <f>($B44/12)*(1+INDEX($C44:$E44,1,Control!$B$10))^M5*INDEX($B$13:$M$13,1,MOD(8-1,12)+1)</f>
        <v/>
      </c>
      <c r="N44" s="34">
        <f>($B44/12)*(1+INDEX($C44:$E44,1,Control!$B$10))^N5*INDEX($B$13:$M$13,1,MOD(9-1,12)+1)</f>
        <v/>
      </c>
      <c r="O44" s="34">
        <f>($B44/12)*(1+INDEX($C44:$E44,1,Control!$B$10))^O5*INDEX($B$13:$M$13,1,MOD(10-1,12)+1)</f>
        <v/>
      </c>
      <c r="P44" s="34">
        <f>($B44/12)*(1+INDEX($C44:$E44,1,Control!$B$10))^P5*INDEX($B$13:$M$13,1,MOD(11-1,12)+1)</f>
        <v/>
      </c>
      <c r="Q44" s="34">
        <f>($B44/12)*(1+INDEX($C44:$E44,1,Control!$B$10))^Q5*INDEX($B$13:$M$13,1,MOD(12-1,12)+1)</f>
        <v/>
      </c>
      <c r="R44" s="34">
        <f>($B44/12)*(1+INDEX($C44:$E44,1,Control!$B$10))^R5*INDEX($B$13:$M$13,1,MOD(13-1,12)+1)</f>
        <v/>
      </c>
      <c r="S44" s="34">
        <f>($B44/12)*(1+INDEX($C44:$E44,1,Control!$B$10))^S5*INDEX($B$13:$M$13,1,MOD(14-1,12)+1)</f>
        <v/>
      </c>
      <c r="T44" s="34">
        <f>($B44/12)*(1+INDEX($C44:$E44,1,Control!$B$10))^T5*INDEX($B$13:$M$13,1,MOD(15-1,12)+1)</f>
        <v/>
      </c>
      <c r="U44" s="34">
        <f>($B44/12)*(1+INDEX($C44:$E44,1,Control!$B$10))^U5*INDEX($B$13:$M$13,1,MOD(16-1,12)+1)</f>
        <v/>
      </c>
      <c r="V44" s="34">
        <f>($B44/12)*(1+INDEX($C44:$E44,1,Control!$B$10))^V5*INDEX($B$13:$M$13,1,MOD(17-1,12)+1)</f>
        <v/>
      </c>
      <c r="W44" s="34">
        <f>($B44/12)*(1+INDEX($C44:$E44,1,Control!$B$10))^W5*INDEX($B$13:$M$13,1,MOD(18-1,12)+1)</f>
        <v/>
      </c>
      <c r="X44" s="34">
        <f>($B44/12)*(1+INDEX($C44:$E44,1,Control!$B$10))^X5*INDEX($B$13:$M$13,1,MOD(19-1,12)+1)</f>
        <v/>
      </c>
      <c r="Y44" s="34">
        <f>($B44/12)*(1+INDEX($C44:$E44,1,Control!$B$10))^Y5*INDEX($B$13:$M$13,1,MOD(20-1,12)+1)</f>
        <v/>
      </c>
      <c r="Z44" s="34">
        <f>($B44/12)*(1+INDEX($C44:$E44,1,Control!$B$10))^Z5*INDEX($B$13:$M$13,1,MOD(21-1,12)+1)</f>
        <v/>
      </c>
      <c r="AA44" s="34">
        <f>($B44/12)*(1+INDEX($C44:$E44,1,Control!$B$10))^AA5*INDEX($B$13:$M$13,1,MOD(22-1,12)+1)</f>
        <v/>
      </c>
      <c r="AB44" s="34">
        <f>($B44/12)*(1+INDEX($C44:$E44,1,Control!$B$10))^AB5*INDEX($B$13:$M$13,1,MOD(23-1,12)+1)</f>
        <v/>
      </c>
      <c r="AC44" s="34">
        <f>($B44/12)*(1+INDEX($C44:$E44,1,Control!$B$10))^AC5*INDEX($B$13:$M$13,1,MOD(24-1,12)+1)</f>
        <v/>
      </c>
      <c r="AD44" s="34">
        <f>($B44/12)*(1+INDEX($C44:$E44,1,Control!$B$10))^AD5*INDEX($B$13:$M$13,1,MOD(25-1,12)+1)</f>
        <v/>
      </c>
      <c r="AE44" s="34">
        <f>($B44/12)*(1+INDEX($C44:$E44,1,Control!$B$10))^AE5*INDEX($B$13:$M$13,1,MOD(26-1,12)+1)</f>
        <v/>
      </c>
      <c r="AF44" s="34">
        <f>($B44/12)*(1+INDEX($C44:$E44,1,Control!$B$10))^AF5*INDEX($B$13:$M$13,1,MOD(27-1,12)+1)</f>
        <v/>
      </c>
      <c r="AG44" s="34">
        <f>($B44/12)*(1+INDEX($C44:$E44,1,Control!$B$10))^AG5*INDEX($B$13:$M$13,1,MOD(28-1,12)+1)</f>
        <v/>
      </c>
      <c r="AH44" s="34">
        <f>($B44/12)*(1+INDEX($C44:$E44,1,Control!$B$10))^AH5*INDEX($B$13:$M$13,1,MOD(29-1,12)+1)</f>
        <v/>
      </c>
      <c r="AI44" s="34">
        <f>($B44/12)*(1+INDEX($C44:$E44,1,Control!$B$10))^AI5*INDEX($B$13:$M$13,1,MOD(30-1,12)+1)</f>
        <v/>
      </c>
      <c r="AJ44" s="34">
        <f>($B44/12)*(1+INDEX($C44:$E44,1,Control!$B$10))^AJ5*INDEX($B$13:$M$13,1,MOD(31-1,12)+1)</f>
        <v/>
      </c>
      <c r="AK44" s="34">
        <f>($B44/12)*(1+INDEX($C44:$E44,1,Control!$B$10))^AK5*INDEX($B$13:$M$13,1,MOD(32-1,12)+1)</f>
        <v/>
      </c>
      <c r="AL44" s="34">
        <f>($B44/12)*(1+INDEX($C44:$E44,1,Control!$B$10))^AL5*INDEX($B$13:$M$13,1,MOD(33-1,12)+1)</f>
        <v/>
      </c>
      <c r="AM44" s="34">
        <f>($B44/12)*(1+INDEX($C44:$E44,1,Control!$B$10))^AM5*INDEX($B$13:$M$13,1,MOD(34-1,12)+1)</f>
        <v/>
      </c>
      <c r="AN44" s="34">
        <f>($B44/12)*(1+INDEX($C44:$E44,1,Control!$B$10))^AN5*INDEX($B$13:$M$13,1,MOD(35-1,12)+1)</f>
        <v/>
      </c>
      <c r="AO44" s="34">
        <f>($B44/12)*(1+INDEX($C44:$E44,1,Control!$B$10))^AO5*INDEX($B$13:$M$13,1,MOD(36-1,12)+1)</f>
        <v/>
      </c>
      <c r="AP44" s="34">
        <f>($B44/12)*(1+INDEX($C44:$E44,1,Control!$B$10))^AP5*INDEX($B$13:$M$13,1,MOD(37-1,12)+1)</f>
        <v/>
      </c>
      <c r="AQ44" s="34">
        <f>($B44/12)*(1+INDEX($C44:$E44,1,Control!$B$10))^AQ5*INDEX($B$13:$M$13,1,MOD(38-1,12)+1)</f>
        <v/>
      </c>
      <c r="AR44" s="34">
        <f>($B44/12)*(1+INDEX($C44:$E44,1,Control!$B$10))^AR5*INDEX($B$13:$M$13,1,MOD(39-1,12)+1)</f>
        <v/>
      </c>
      <c r="AS44" s="34">
        <f>($B44/12)*(1+INDEX($C44:$E44,1,Control!$B$10))^AS5*INDEX($B$13:$M$13,1,MOD(40-1,12)+1)</f>
        <v/>
      </c>
      <c r="AT44" s="34">
        <f>($B44/12)*(1+INDEX($C44:$E44,1,Control!$B$10))^AT5*INDEX($B$13:$M$13,1,MOD(41-1,12)+1)</f>
        <v/>
      </c>
      <c r="AU44" s="34">
        <f>($B44/12)*(1+INDEX($C44:$E44,1,Control!$B$10))^AU5*INDEX($B$13:$M$13,1,MOD(42-1,12)+1)</f>
        <v/>
      </c>
      <c r="AV44" s="34">
        <f>($B44/12)*(1+INDEX($C44:$E44,1,Control!$B$10))^AV5*INDEX($B$13:$M$13,1,MOD(43-1,12)+1)</f>
        <v/>
      </c>
      <c r="AW44" s="34">
        <f>($B44/12)*(1+INDEX($C44:$E44,1,Control!$B$10))^AW5*INDEX($B$13:$M$13,1,MOD(44-1,12)+1)</f>
        <v/>
      </c>
      <c r="AX44" s="34">
        <f>($B44/12)*(1+INDEX($C44:$E44,1,Control!$B$10))^AX5*INDEX($B$13:$M$13,1,MOD(45-1,12)+1)</f>
        <v/>
      </c>
      <c r="AY44" s="34">
        <f>($B44/12)*(1+INDEX($C44:$E44,1,Control!$B$10))^AY5*INDEX($B$13:$M$13,1,MOD(46-1,12)+1)</f>
        <v/>
      </c>
      <c r="AZ44" s="34">
        <f>($B44/12)*(1+INDEX($C44:$E44,1,Control!$B$10))^AZ5*INDEX($B$13:$M$13,1,MOD(47-1,12)+1)</f>
        <v/>
      </c>
      <c r="BA44" s="34">
        <f>($B44/12)*(1+INDEX($C44:$E44,1,Control!$B$10))^BA5*INDEX($B$13:$M$13,1,MOD(48-1,12)+1)</f>
        <v/>
      </c>
      <c r="BB44" s="34">
        <f>($B44/12)*(1+INDEX($C44:$E44,1,Control!$B$10))^BB5*INDEX($B$13:$M$13,1,MOD(49-1,12)+1)</f>
        <v/>
      </c>
      <c r="BC44" s="34">
        <f>($B44/12)*(1+INDEX($C44:$E44,1,Control!$B$10))^BC5*INDEX($B$13:$M$13,1,MOD(50-1,12)+1)</f>
        <v/>
      </c>
      <c r="BD44" s="34">
        <f>($B44/12)*(1+INDEX($C44:$E44,1,Control!$B$10))^BD5*INDEX($B$13:$M$13,1,MOD(51-1,12)+1)</f>
        <v/>
      </c>
      <c r="BE44" s="34">
        <f>($B44/12)*(1+INDEX($C44:$E44,1,Control!$B$10))^BE5*INDEX($B$13:$M$13,1,MOD(52-1,12)+1)</f>
        <v/>
      </c>
      <c r="BF44" s="34">
        <f>($B44/12)*(1+INDEX($C44:$E44,1,Control!$B$10))^BF5*INDEX($B$13:$M$13,1,MOD(53-1,12)+1)</f>
        <v/>
      </c>
      <c r="BG44" s="34">
        <f>($B44/12)*(1+INDEX($C44:$E44,1,Control!$B$10))^BG5*INDEX($B$13:$M$13,1,MOD(54-1,12)+1)</f>
        <v/>
      </c>
      <c r="BH44" s="34">
        <f>($B44/12)*(1+INDEX($C44:$E44,1,Control!$B$10))^BH5*INDEX($B$13:$M$13,1,MOD(55-1,12)+1)</f>
        <v/>
      </c>
      <c r="BI44" s="34">
        <f>($B44/12)*(1+INDEX($C44:$E44,1,Control!$B$10))^BI5*INDEX($B$13:$M$13,1,MOD(56-1,12)+1)</f>
        <v/>
      </c>
      <c r="BJ44" s="34">
        <f>($B44/12)*(1+INDEX($C44:$E44,1,Control!$B$10))^BJ5*INDEX($B$13:$M$13,1,MOD(57-1,12)+1)</f>
        <v/>
      </c>
      <c r="BK44" s="34">
        <f>($B44/12)*(1+INDEX($C44:$E44,1,Control!$B$10))^BK5*INDEX($B$13:$M$13,1,MOD(58-1,12)+1)</f>
        <v/>
      </c>
      <c r="BL44" s="34">
        <f>($B44/12)*(1+INDEX($C44:$E44,1,Control!$B$10))^BL5*INDEX($B$13:$M$13,1,MOD(59-1,12)+1)</f>
        <v/>
      </c>
      <c r="BM44" s="34">
        <f>($B44/12)*(1+INDEX($C44:$E44,1,Control!$B$10))^BM5*INDEX($B$13:$M$13,1,MOD(60-1,12)+1)</f>
        <v/>
      </c>
      <c r="BN44" s="34">
        <f>($B44/12)*(1+INDEX($C44:$E44,1,Control!$B$10))^BN5*INDEX($B$13:$M$13,1,MOD(61-1,12)+1)</f>
        <v/>
      </c>
      <c r="BO44" s="34">
        <f>($B44/12)*(1+INDEX($C44:$E44,1,Control!$B$10))^BO5*INDEX($B$13:$M$13,1,MOD(62-1,12)+1)</f>
        <v/>
      </c>
      <c r="BP44" s="34">
        <f>($B44/12)*(1+INDEX($C44:$E44,1,Control!$B$10))^BP5*INDEX($B$13:$M$13,1,MOD(63-1,12)+1)</f>
        <v/>
      </c>
      <c r="BQ44" s="34">
        <f>($B44/12)*(1+INDEX($C44:$E44,1,Control!$B$10))^BQ5*INDEX($B$13:$M$13,1,MOD(64-1,12)+1)</f>
        <v/>
      </c>
      <c r="BR44" s="34">
        <f>($B44/12)*(1+INDEX($C44:$E44,1,Control!$B$10))^BR5*INDEX($B$13:$M$13,1,MOD(65-1,12)+1)</f>
        <v/>
      </c>
      <c r="BS44" s="34">
        <f>($B44/12)*(1+INDEX($C44:$E44,1,Control!$B$10))^BS5*INDEX($B$13:$M$13,1,MOD(66-1,12)+1)</f>
        <v/>
      </c>
      <c r="BT44" s="34">
        <f>($B44/12)*(1+INDEX($C44:$E44,1,Control!$B$10))^BT5*INDEX($B$13:$M$13,1,MOD(67-1,12)+1)</f>
        <v/>
      </c>
      <c r="BU44" s="34">
        <f>($B44/12)*(1+INDEX($C44:$E44,1,Control!$B$10))^BU5*INDEX($B$13:$M$13,1,MOD(68-1,12)+1)</f>
        <v/>
      </c>
      <c r="BV44" s="34">
        <f>($B44/12)*(1+INDEX($C44:$E44,1,Control!$B$10))^BV5*INDEX($B$13:$M$13,1,MOD(69-1,12)+1)</f>
        <v/>
      </c>
      <c r="BW44" s="34">
        <f>($B44/12)*(1+INDEX($C44:$E44,1,Control!$B$10))^BW5*INDEX($B$13:$M$13,1,MOD(70-1,12)+1)</f>
        <v/>
      </c>
      <c r="BX44" s="34">
        <f>($B44/12)*(1+INDEX($C44:$E44,1,Control!$B$10))^BX5*INDEX($B$13:$M$13,1,MOD(71-1,12)+1)</f>
        <v/>
      </c>
      <c r="BY44" s="34">
        <f>($B44/12)*(1+INDEX($C44:$E44,1,Control!$B$10))^BY5*INDEX($B$13:$M$13,1,MOD(72-1,12)+1)</f>
        <v/>
      </c>
      <c r="BZ44" s="34">
        <f>($B44/12)*(1+INDEX($C44:$E44,1,Control!$B$10))^BZ5*INDEX($B$13:$M$13,1,MOD(73-1,12)+1)</f>
        <v/>
      </c>
      <c r="CA44" s="34">
        <f>($B44/12)*(1+INDEX($C44:$E44,1,Control!$B$10))^CA5*INDEX($B$13:$M$13,1,MOD(74-1,12)+1)</f>
        <v/>
      </c>
      <c r="CB44" s="34">
        <f>($B44/12)*(1+INDEX($C44:$E44,1,Control!$B$10))^CB5*INDEX($B$13:$M$13,1,MOD(75-1,12)+1)</f>
        <v/>
      </c>
      <c r="CC44" s="34">
        <f>($B44/12)*(1+INDEX($C44:$E44,1,Control!$B$10))^CC5*INDEX($B$13:$M$13,1,MOD(76-1,12)+1)</f>
        <v/>
      </c>
      <c r="CD44" s="34">
        <f>($B44/12)*(1+INDEX($C44:$E44,1,Control!$B$10))^CD5*INDEX($B$13:$M$13,1,MOD(77-1,12)+1)</f>
        <v/>
      </c>
      <c r="CE44" s="34">
        <f>($B44/12)*(1+INDEX($C44:$E44,1,Control!$B$10))^CE5*INDEX($B$13:$M$13,1,MOD(78-1,12)+1)</f>
        <v/>
      </c>
      <c r="CF44" s="34">
        <f>($B44/12)*(1+INDEX($C44:$E44,1,Control!$B$10))^CF5*INDEX($B$13:$M$13,1,MOD(79-1,12)+1)</f>
        <v/>
      </c>
      <c r="CG44" s="34">
        <f>($B44/12)*(1+INDEX($C44:$E44,1,Control!$B$10))^CG5*INDEX($B$13:$M$13,1,MOD(80-1,12)+1)</f>
        <v/>
      </c>
      <c r="CH44" s="34">
        <f>($B44/12)*(1+INDEX($C44:$E44,1,Control!$B$10))^CH5*INDEX($B$13:$M$13,1,MOD(81-1,12)+1)</f>
        <v/>
      </c>
      <c r="CI44" s="34">
        <f>($B44/12)*(1+INDEX($C44:$E44,1,Control!$B$10))^CI5*INDEX($B$13:$M$13,1,MOD(82-1,12)+1)</f>
        <v/>
      </c>
      <c r="CJ44" s="34">
        <f>($B44/12)*(1+INDEX($C44:$E44,1,Control!$B$10))^CJ5*INDEX($B$13:$M$13,1,MOD(83-1,12)+1)</f>
        <v/>
      </c>
      <c r="CK44" s="34">
        <f>($B44/12)*(1+INDEX($C44:$E44,1,Control!$B$10))^CK5*INDEX($B$13:$M$13,1,MOD(84-1,12)+1)</f>
        <v/>
      </c>
      <c r="CL44" s="34">
        <f>($B44/12)*(1+INDEX($C44:$E44,1,Control!$B$10))^CL5*INDEX($B$13:$M$13,1,MOD(85-1,12)+1)</f>
        <v/>
      </c>
      <c r="CM44" s="34">
        <f>($B44/12)*(1+INDEX($C44:$E44,1,Control!$B$10))^CM5*INDEX($B$13:$M$13,1,MOD(86-1,12)+1)</f>
        <v/>
      </c>
      <c r="CN44" s="34">
        <f>($B44/12)*(1+INDEX($C44:$E44,1,Control!$B$10))^CN5*INDEX($B$13:$M$13,1,MOD(87-1,12)+1)</f>
        <v/>
      </c>
      <c r="CO44" s="34">
        <f>($B44/12)*(1+INDEX($C44:$E44,1,Control!$B$10))^CO5*INDEX($B$13:$M$13,1,MOD(88-1,12)+1)</f>
        <v/>
      </c>
      <c r="CP44" s="34">
        <f>($B44/12)*(1+INDEX($C44:$E44,1,Control!$B$10))^CP5*INDEX($B$13:$M$13,1,MOD(89-1,12)+1)</f>
        <v/>
      </c>
      <c r="CQ44" s="34">
        <f>($B44/12)*(1+INDEX($C44:$E44,1,Control!$B$10))^CQ5*INDEX($B$13:$M$13,1,MOD(90-1,12)+1)</f>
        <v/>
      </c>
      <c r="CR44" s="34">
        <f>($B44/12)*(1+INDEX($C44:$E44,1,Control!$B$10))^CR5*INDEX($B$13:$M$13,1,MOD(91-1,12)+1)</f>
        <v/>
      </c>
      <c r="CS44" s="34">
        <f>($B44/12)*(1+INDEX($C44:$E44,1,Control!$B$10))^CS5*INDEX($B$13:$M$13,1,MOD(92-1,12)+1)</f>
        <v/>
      </c>
      <c r="CT44" s="34">
        <f>($B44/12)*(1+INDEX($C44:$E44,1,Control!$B$10))^CT5*INDEX($B$13:$M$13,1,MOD(93-1,12)+1)</f>
        <v/>
      </c>
      <c r="CU44" s="34">
        <f>($B44/12)*(1+INDEX($C44:$E44,1,Control!$B$10))^CU5*INDEX($B$13:$M$13,1,MOD(94-1,12)+1)</f>
        <v/>
      </c>
      <c r="CV44" s="34">
        <f>($B44/12)*(1+INDEX($C44:$E44,1,Control!$B$10))^CV5*INDEX($B$13:$M$13,1,MOD(95-1,12)+1)</f>
        <v/>
      </c>
      <c r="CW44" s="34">
        <f>($B44/12)*(1+INDEX($C44:$E44,1,Control!$B$10))^CW5*INDEX($B$13:$M$13,1,MOD(96-1,12)+1)</f>
        <v/>
      </c>
      <c r="CX44" s="34">
        <f>($B44/12)*(1+INDEX($C44:$E44,1,Control!$B$10))^CX5*INDEX($B$13:$M$13,1,MOD(97-1,12)+1)</f>
        <v/>
      </c>
      <c r="CY44" s="34">
        <f>($B44/12)*(1+INDEX($C44:$E44,1,Control!$B$10))^CY5*INDEX($B$13:$M$13,1,MOD(98-1,12)+1)</f>
        <v/>
      </c>
      <c r="CZ44" s="34">
        <f>($B44/12)*(1+INDEX($C44:$E44,1,Control!$B$10))^CZ5*INDEX($B$13:$M$13,1,MOD(99-1,12)+1)</f>
        <v/>
      </c>
      <c r="DA44" s="34">
        <f>($B44/12)*(1+INDEX($C44:$E44,1,Control!$B$10))^DA5*INDEX($B$13:$M$13,1,MOD(100-1,12)+1)</f>
        <v/>
      </c>
      <c r="DB44" s="34">
        <f>($B44/12)*(1+INDEX($C44:$E44,1,Control!$B$10))^DB5*INDEX($B$13:$M$13,1,MOD(101-1,12)+1)</f>
        <v/>
      </c>
      <c r="DC44" s="34">
        <f>($B44/12)*(1+INDEX($C44:$E44,1,Control!$B$10))^DC5*INDEX($B$13:$M$13,1,MOD(102-1,12)+1)</f>
        <v/>
      </c>
      <c r="DD44" s="34">
        <f>($B44/12)*(1+INDEX($C44:$E44,1,Control!$B$10))^DD5*INDEX($B$13:$M$13,1,MOD(103-1,12)+1)</f>
        <v/>
      </c>
      <c r="DE44" s="34">
        <f>($B44/12)*(1+INDEX($C44:$E44,1,Control!$B$10))^DE5*INDEX($B$13:$M$13,1,MOD(104-1,12)+1)</f>
        <v/>
      </c>
      <c r="DF44" s="34">
        <f>($B44/12)*(1+INDEX($C44:$E44,1,Control!$B$10))^DF5*INDEX($B$13:$M$13,1,MOD(105-1,12)+1)</f>
        <v/>
      </c>
      <c r="DG44" s="34">
        <f>($B44/12)*(1+INDEX($C44:$E44,1,Control!$B$10))^DG5*INDEX($B$13:$M$13,1,MOD(106-1,12)+1)</f>
        <v/>
      </c>
      <c r="DH44" s="34">
        <f>($B44/12)*(1+INDEX($C44:$E44,1,Control!$B$10))^DH5*INDEX($B$13:$M$13,1,MOD(107-1,12)+1)</f>
        <v/>
      </c>
      <c r="DI44" s="34">
        <f>($B44/12)*(1+INDEX($C44:$E44,1,Control!$B$10))^DI5*INDEX($B$13:$M$13,1,MOD(108-1,12)+1)</f>
        <v/>
      </c>
      <c r="DJ44" s="34">
        <f>($B44/12)*(1+INDEX($C44:$E44,1,Control!$B$10))^DJ5*INDEX($B$13:$M$13,1,MOD(109-1,12)+1)</f>
        <v/>
      </c>
      <c r="DK44" s="34">
        <f>($B44/12)*(1+INDEX($C44:$E44,1,Control!$B$10))^DK5*INDEX($B$13:$M$13,1,MOD(110-1,12)+1)</f>
        <v/>
      </c>
      <c r="DL44" s="34">
        <f>($B44/12)*(1+INDEX($C44:$E44,1,Control!$B$10))^DL5*INDEX($B$13:$M$13,1,MOD(111-1,12)+1)</f>
        <v/>
      </c>
      <c r="DM44" s="34">
        <f>($B44/12)*(1+INDEX($C44:$E44,1,Control!$B$10))^DM5*INDEX($B$13:$M$13,1,MOD(112-1,12)+1)</f>
        <v/>
      </c>
      <c r="DN44" s="34">
        <f>($B44/12)*(1+INDEX($C44:$E44,1,Control!$B$10))^DN5*INDEX($B$13:$M$13,1,MOD(113-1,12)+1)</f>
        <v/>
      </c>
      <c r="DO44" s="34">
        <f>($B44/12)*(1+INDEX($C44:$E44,1,Control!$B$10))^DO5*INDEX($B$13:$M$13,1,MOD(114-1,12)+1)</f>
        <v/>
      </c>
      <c r="DP44" s="34">
        <f>($B44/12)*(1+INDEX($C44:$E44,1,Control!$B$10))^DP5*INDEX($B$13:$M$13,1,MOD(115-1,12)+1)</f>
        <v/>
      </c>
      <c r="DQ44" s="34">
        <f>($B44/12)*(1+INDEX($C44:$E44,1,Control!$B$10))^DQ5*INDEX($B$13:$M$13,1,MOD(116-1,12)+1)</f>
        <v/>
      </c>
      <c r="DR44" s="34">
        <f>($B44/12)*(1+INDEX($C44:$E44,1,Control!$B$10))^DR5*INDEX($B$13:$M$13,1,MOD(117-1,12)+1)</f>
        <v/>
      </c>
      <c r="DS44" s="34">
        <f>($B44/12)*(1+INDEX($C44:$E44,1,Control!$B$10))^DS5*INDEX($B$13:$M$13,1,MOD(118-1,12)+1)</f>
        <v/>
      </c>
      <c r="DT44" s="34">
        <f>($B44/12)*(1+INDEX($C44:$E44,1,Control!$B$10))^DT5*INDEX($B$13:$M$13,1,MOD(119-1,12)+1)</f>
        <v/>
      </c>
      <c r="DU44" s="34">
        <f>($B44/12)*(1+INDEX($C44:$E44,1,Control!$B$10))^DU5*INDEX($B$13:$M$13,1,MOD(120-1,12)+1)</f>
        <v/>
      </c>
    </row>
    <row r="45">
      <c r="A45" t="inlineStr">
        <is>
          <t>HarborIPA-Cans-OnTrade</t>
        </is>
      </c>
      <c r="B45" s="33" t="n">
        <v>10000</v>
      </c>
      <c r="C45" s="22" t="n">
        <v>0.05</v>
      </c>
      <c r="D45" s="22" t="n">
        <v>0.07000000000000001</v>
      </c>
      <c r="E45" s="22" t="n">
        <v>0.03</v>
      </c>
      <c r="F45" s="34">
        <f>($B45/12)*(1+INDEX($C45:$E45,1,Control!$B$10))^F5*INDEX($B$13:$M$13,1,MOD(1-1,12)+1)</f>
        <v/>
      </c>
      <c r="G45" s="34">
        <f>($B45/12)*(1+INDEX($C45:$E45,1,Control!$B$10))^G5*INDEX($B$13:$M$13,1,MOD(2-1,12)+1)</f>
        <v/>
      </c>
      <c r="H45" s="34">
        <f>($B45/12)*(1+INDEX($C45:$E45,1,Control!$B$10))^H5*INDEX($B$13:$M$13,1,MOD(3-1,12)+1)</f>
        <v/>
      </c>
      <c r="I45" s="34">
        <f>($B45/12)*(1+INDEX($C45:$E45,1,Control!$B$10))^I5*INDEX($B$13:$M$13,1,MOD(4-1,12)+1)</f>
        <v/>
      </c>
      <c r="J45" s="34">
        <f>($B45/12)*(1+INDEX($C45:$E45,1,Control!$B$10))^J5*INDEX($B$13:$M$13,1,MOD(5-1,12)+1)</f>
        <v/>
      </c>
      <c r="K45" s="34">
        <f>($B45/12)*(1+INDEX($C45:$E45,1,Control!$B$10))^K5*INDEX($B$13:$M$13,1,MOD(6-1,12)+1)</f>
        <v/>
      </c>
      <c r="L45" s="34">
        <f>($B45/12)*(1+INDEX($C45:$E45,1,Control!$B$10))^L5*INDEX($B$13:$M$13,1,MOD(7-1,12)+1)</f>
        <v/>
      </c>
      <c r="M45" s="34">
        <f>($B45/12)*(1+INDEX($C45:$E45,1,Control!$B$10))^M5*INDEX($B$13:$M$13,1,MOD(8-1,12)+1)</f>
        <v/>
      </c>
      <c r="N45" s="34">
        <f>($B45/12)*(1+INDEX($C45:$E45,1,Control!$B$10))^N5*INDEX($B$13:$M$13,1,MOD(9-1,12)+1)</f>
        <v/>
      </c>
      <c r="O45" s="34">
        <f>($B45/12)*(1+INDEX($C45:$E45,1,Control!$B$10))^O5*INDEX($B$13:$M$13,1,MOD(10-1,12)+1)</f>
        <v/>
      </c>
      <c r="P45" s="34">
        <f>($B45/12)*(1+INDEX($C45:$E45,1,Control!$B$10))^P5*INDEX($B$13:$M$13,1,MOD(11-1,12)+1)</f>
        <v/>
      </c>
      <c r="Q45" s="34">
        <f>($B45/12)*(1+INDEX($C45:$E45,1,Control!$B$10))^Q5*INDEX($B$13:$M$13,1,MOD(12-1,12)+1)</f>
        <v/>
      </c>
      <c r="R45" s="34">
        <f>($B45/12)*(1+INDEX($C45:$E45,1,Control!$B$10))^R5*INDEX($B$13:$M$13,1,MOD(13-1,12)+1)</f>
        <v/>
      </c>
      <c r="S45" s="34">
        <f>($B45/12)*(1+INDEX($C45:$E45,1,Control!$B$10))^S5*INDEX($B$13:$M$13,1,MOD(14-1,12)+1)</f>
        <v/>
      </c>
      <c r="T45" s="34">
        <f>($B45/12)*(1+INDEX($C45:$E45,1,Control!$B$10))^T5*INDEX($B$13:$M$13,1,MOD(15-1,12)+1)</f>
        <v/>
      </c>
      <c r="U45" s="34">
        <f>($B45/12)*(1+INDEX($C45:$E45,1,Control!$B$10))^U5*INDEX($B$13:$M$13,1,MOD(16-1,12)+1)</f>
        <v/>
      </c>
      <c r="V45" s="34">
        <f>($B45/12)*(1+INDEX($C45:$E45,1,Control!$B$10))^V5*INDEX($B$13:$M$13,1,MOD(17-1,12)+1)</f>
        <v/>
      </c>
      <c r="W45" s="34">
        <f>($B45/12)*(1+INDEX($C45:$E45,1,Control!$B$10))^W5*INDEX($B$13:$M$13,1,MOD(18-1,12)+1)</f>
        <v/>
      </c>
      <c r="X45" s="34">
        <f>($B45/12)*(1+INDEX($C45:$E45,1,Control!$B$10))^X5*INDEX($B$13:$M$13,1,MOD(19-1,12)+1)</f>
        <v/>
      </c>
      <c r="Y45" s="34">
        <f>($B45/12)*(1+INDEX($C45:$E45,1,Control!$B$10))^Y5*INDEX($B$13:$M$13,1,MOD(20-1,12)+1)</f>
        <v/>
      </c>
      <c r="Z45" s="34">
        <f>($B45/12)*(1+INDEX($C45:$E45,1,Control!$B$10))^Z5*INDEX($B$13:$M$13,1,MOD(21-1,12)+1)</f>
        <v/>
      </c>
      <c r="AA45" s="34">
        <f>($B45/12)*(1+INDEX($C45:$E45,1,Control!$B$10))^AA5*INDEX($B$13:$M$13,1,MOD(22-1,12)+1)</f>
        <v/>
      </c>
      <c r="AB45" s="34">
        <f>($B45/12)*(1+INDEX($C45:$E45,1,Control!$B$10))^AB5*INDEX($B$13:$M$13,1,MOD(23-1,12)+1)</f>
        <v/>
      </c>
      <c r="AC45" s="34">
        <f>($B45/12)*(1+INDEX($C45:$E45,1,Control!$B$10))^AC5*INDEX($B$13:$M$13,1,MOD(24-1,12)+1)</f>
        <v/>
      </c>
      <c r="AD45" s="34">
        <f>($B45/12)*(1+INDEX($C45:$E45,1,Control!$B$10))^AD5*INDEX($B$13:$M$13,1,MOD(25-1,12)+1)</f>
        <v/>
      </c>
      <c r="AE45" s="34">
        <f>($B45/12)*(1+INDEX($C45:$E45,1,Control!$B$10))^AE5*INDEX($B$13:$M$13,1,MOD(26-1,12)+1)</f>
        <v/>
      </c>
      <c r="AF45" s="34">
        <f>($B45/12)*(1+INDEX($C45:$E45,1,Control!$B$10))^AF5*INDEX($B$13:$M$13,1,MOD(27-1,12)+1)</f>
        <v/>
      </c>
      <c r="AG45" s="34">
        <f>($B45/12)*(1+INDEX($C45:$E45,1,Control!$B$10))^AG5*INDEX($B$13:$M$13,1,MOD(28-1,12)+1)</f>
        <v/>
      </c>
      <c r="AH45" s="34">
        <f>($B45/12)*(1+INDEX($C45:$E45,1,Control!$B$10))^AH5*INDEX($B$13:$M$13,1,MOD(29-1,12)+1)</f>
        <v/>
      </c>
      <c r="AI45" s="34">
        <f>($B45/12)*(1+INDEX($C45:$E45,1,Control!$B$10))^AI5*INDEX($B$13:$M$13,1,MOD(30-1,12)+1)</f>
        <v/>
      </c>
      <c r="AJ45" s="34">
        <f>($B45/12)*(1+INDEX($C45:$E45,1,Control!$B$10))^AJ5*INDEX($B$13:$M$13,1,MOD(31-1,12)+1)</f>
        <v/>
      </c>
      <c r="AK45" s="34">
        <f>($B45/12)*(1+INDEX($C45:$E45,1,Control!$B$10))^AK5*INDEX($B$13:$M$13,1,MOD(32-1,12)+1)</f>
        <v/>
      </c>
      <c r="AL45" s="34">
        <f>($B45/12)*(1+INDEX($C45:$E45,1,Control!$B$10))^AL5*INDEX($B$13:$M$13,1,MOD(33-1,12)+1)</f>
        <v/>
      </c>
      <c r="AM45" s="34">
        <f>($B45/12)*(1+INDEX($C45:$E45,1,Control!$B$10))^AM5*INDEX($B$13:$M$13,1,MOD(34-1,12)+1)</f>
        <v/>
      </c>
      <c r="AN45" s="34">
        <f>($B45/12)*(1+INDEX($C45:$E45,1,Control!$B$10))^AN5*INDEX($B$13:$M$13,1,MOD(35-1,12)+1)</f>
        <v/>
      </c>
      <c r="AO45" s="34">
        <f>($B45/12)*(1+INDEX($C45:$E45,1,Control!$B$10))^AO5*INDEX($B$13:$M$13,1,MOD(36-1,12)+1)</f>
        <v/>
      </c>
      <c r="AP45" s="34">
        <f>($B45/12)*(1+INDEX($C45:$E45,1,Control!$B$10))^AP5*INDEX($B$13:$M$13,1,MOD(37-1,12)+1)</f>
        <v/>
      </c>
      <c r="AQ45" s="34">
        <f>($B45/12)*(1+INDEX($C45:$E45,1,Control!$B$10))^AQ5*INDEX($B$13:$M$13,1,MOD(38-1,12)+1)</f>
        <v/>
      </c>
      <c r="AR45" s="34">
        <f>($B45/12)*(1+INDEX($C45:$E45,1,Control!$B$10))^AR5*INDEX($B$13:$M$13,1,MOD(39-1,12)+1)</f>
        <v/>
      </c>
      <c r="AS45" s="34">
        <f>($B45/12)*(1+INDEX($C45:$E45,1,Control!$B$10))^AS5*INDEX($B$13:$M$13,1,MOD(40-1,12)+1)</f>
        <v/>
      </c>
      <c r="AT45" s="34">
        <f>($B45/12)*(1+INDEX($C45:$E45,1,Control!$B$10))^AT5*INDEX($B$13:$M$13,1,MOD(41-1,12)+1)</f>
        <v/>
      </c>
      <c r="AU45" s="34">
        <f>($B45/12)*(1+INDEX($C45:$E45,1,Control!$B$10))^AU5*INDEX($B$13:$M$13,1,MOD(42-1,12)+1)</f>
        <v/>
      </c>
      <c r="AV45" s="34">
        <f>($B45/12)*(1+INDEX($C45:$E45,1,Control!$B$10))^AV5*INDEX($B$13:$M$13,1,MOD(43-1,12)+1)</f>
        <v/>
      </c>
      <c r="AW45" s="34">
        <f>($B45/12)*(1+INDEX($C45:$E45,1,Control!$B$10))^AW5*INDEX($B$13:$M$13,1,MOD(44-1,12)+1)</f>
        <v/>
      </c>
      <c r="AX45" s="34">
        <f>($B45/12)*(1+INDEX($C45:$E45,1,Control!$B$10))^AX5*INDEX($B$13:$M$13,1,MOD(45-1,12)+1)</f>
        <v/>
      </c>
      <c r="AY45" s="34">
        <f>($B45/12)*(1+INDEX($C45:$E45,1,Control!$B$10))^AY5*INDEX($B$13:$M$13,1,MOD(46-1,12)+1)</f>
        <v/>
      </c>
      <c r="AZ45" s="34">
        <f>($B45/12)*(1+INDEX($C45:$E45,1,Control!$B$10))^AZ5*INDEX($B$13:$M$13,1,MOD(47-1,12)+1)</f>
        <v/>
      </c>
      <c r="BA45" s="34">
        <f>($B45/12)*(1+INDEX($C45:$E45,1,Control!$B$10))^BA5*INDEX($B$13:$M$13,1,MOD(48-1,12)+1)</f>
        <v/>
      </c>
      <c r="BB45" s="34">
        <f>($B45/12)*(1+INDEX($C45:$E45,1,Control!$B$10))^BB5*INDEX($B$13:$M$13,1,MOD(49-1,12)+1)</f>
        <v/>
      </c>
      <c r="BC45" s="34">
        <f>($B45/12)*(1+INDEX($C45:$E45,1,Control!$B$10))^BC5*INDEX($B$13:$M$13,1,MOD(50-1,12)+1)</f>
        <v/>
      </c>
      <c r="BD45" s="34">
        <f>($B45/12)*(1+INDEX($C45:$E45,1,Control!$B$10))^BD5*INDEX($B$13:$M$13,1,MOD(51-1,12)+1)</f>
        <v/>
      </c>
      <c r="BE45" s="34">
        <f>($B45/12)*(1+INDEX($C45:$E45,1,Control!$B$10))^BE5*INDEX($B$13:$M$13,1,MOD(52-1,12)+1)</f>
        <v/>
      </c>
      <c r="BF45" s="34">
        <f>($B45/12)*(1+INDEX($C45:$E45,1,Control!$B$10))^BF5*INDEX($B$13:$M$13,1,MOD(53-1,12)+1)</f>
        <v/>
      </c>
      <c r="BG45" s="34">
        <f>($B45/12)*(1+INDEX($C45:$E45,1,Control!$B$10))^BG5*INDEX($B$13:$M$13,1,MOD(54-1,12)+1)</f>
        <v/>
      </c>
      <c r="BH45" s="34">
        <f>($B45/12)*(1+INDEX($C45:$E45,1,Control!$B$10))^BH5*INDEX($B$13:$M$13,1,MOD(55-1,12)+1)</f>
        <v/>
      </c>
      <c r="BI45" s="34">
        <f>($B45/12)*(1+INDEX($C45:$E45,1,Control!$B$10))^BI5*INDEX($B$13:$M$13,1,MOD(56-1,12)+1)</f>
        <v/>
      </c>
      <c r="BJ45" s="34">
        <f>($B45/12)*(1+INDEX($C45:$E45,1,Control!$B$10))^BJ5*INDEX($B$13:$M$13,1,MOD(57-1,12)+1)</f>
        <v/>
      </c>
      <c r="BK45" s="34">
        <f>($B45/12)*(1+INDEX($C45:$E45,1,Control!$B$10))^BK5*INDEX($B$13:$M$13,1,MOD(58-1,12)+1)</f>
        <v/>
      </c>
      <c r="BL45" s="34">
        <f>($B45/12)*(1+INDEX($C45:$E45,1,Control!$B$10))^BL5*INDEX($B$13:$M$13,1,MOD(59-1,12)+1)</f>
        <v/>
      </c>
      <c r="BM45" s="34">
        <f>($B45/12)*(1+INDEX($C45:$E45,1,Control!$B$10))^BM5*INDEX($B$13:$M$13,1,MOD(60-1,12)+1)</f>
        <v/>
      </c>
      <c r="BN45" s="34">
        <f>($B45/12)*(1+INDEX($C45:$E45,1,Control!$B$10))^BN5*INDEX($B$13:$M$13,1,MOD(61-1,12)+1)</f>
        <v/>
      </c>
      <c r="BO45" s="34">
        <f>($B45/12)*(1+INDEX($C45:$E45,1,Control!$B$10))^BO5*INDEX($B$13:$M$13,1,MOD(62-1,12)+1)</f>
        <v/>
      </c>
      <c r="BP45" s="34">
        <f>($B45/12)*(1+INDEX($C45:$E45,1,Control!$B$10))^BP5*INDEX($B$13:$M$13,1,MOD(63-1,12)+1)</f>
        <v/>
      </c>
      <c r="BQ45" s="34">
        <f>($B45/12)*(1+INDEX($C45:$E45,1,Control!$B$10))^BQ5*INDEX($B$13:$M$13,1,MOD(64-1,12)+1)</f>
        <v/>
      </c>
      <c r="BR45" s="34">
        <f>($B45/12)*(1+INDEX($C45:$E45,1,Control!$B$10))^BR5*INDEX($B$13:$M$13,1,MOD(65-1,12)+1)</f>
        <v/>
      </c>
      <c r="BS45" s="34">
        <f>($B45/12)*(1+INDEX($C45:$E45,1,Control!$B$10))^BS5*INDEX($B$13:$M$13,1,MOD(66-1,12)+1)</f>
        <v/>
      </c>
      <c r="BT45" s="34">
        <f>($B45/12)*(1+INDEX($C45:$E45,1,Control!$B$10))^BT5*INDEX($B$13:$M$13,1,MOD(67-1,12)+1)</f>
        <v/>
      </c>
      <c r="BU45" s="34">
        <f>($B45/12)*(1+INDEX($C45:$E45,1,Control!$B$10))^BU5*INDEX($B$13:$M$13,1,MOD(68-1,12)+1)</f>
        <v/>
      </c>
      <c r="BV45" s="34">
        <f>($B45/12)*(1+INDEX($C45:$E45,1,Control!$B$10))^BV5*INDEX($B$13:$M$13,1,MOD(69-1,12)+1)</f>
        <v/>
      </c>
      <c r="BW45" s="34">
        <f>($B45/12)*(1+INDEX($C45:$E45,1,Control!$B$10))^BW5*INDEX($B$13:$M$13,1,MOD(70-1,12)+1)</f>
        <v/>
      </c>
      <c r="BX45" s="34">
        <f>($B45/12)*(1+INDEX($C45:$E45,1,Control!$B$10))^BX5*INDEX($B$13:$M$13,1,MOD(71-1,12)+1)</f>
        <v/>
      </c>
      <c r="BY45" s="34">
        <f>($B45/12)*(1+INDEX($C45:$E45,1,Control!$B$10))^BY5*INDEX($B$13:$M$13,1,MOD(72-1,12)+1)</f>
        <v/>
      </c>
      <c r="BZ45" s="34">
        <f>($B45/12)*(1+INDEX($C45:$E45,1,Control!$B$10))^BZ5*INDEX($B$13:$M$13,1,MOD(73-1,12)+1)</f>
        <v/>
      </c>
      <c r="CA45" s="34">
        <f>($B45/12)*(1+INDEX($C45:$E45,1,Control!$B$10))^CA5*INDEX($B$13:$M$13,1,MOD(74-1,12)+1)</f>
        <v/>
      </c>
      <c r="CB45" s="34">
        <f>($B45/12)*(1+INDEX($C45:$E45,1,Control!$B$10))^CB5*INDEX($B$13:$M$13,1,MOD(75-1,12)+1)</f>
        <v/>
      </c>
      <c r="CC45" s="34">
        <f>($B45/12)*(1+INDEX($C45:$E45,1,Control!$B$10))^CC5*INDEX($B$13:$M$13,1,MOD(76-1,12)+1)</f>
        <v/>
      </c>
      <c r="CD45" s="34">
        <f>($B45/12)*(1+INDEX($C45:$E45,1,Control!$B$10))^CD5*INDEX($B$13:$M$13,1,MOD(77-1,12)+1)</f>
        <v/>
      </c>
      <c r="CE45" s="34">
        <f>($B45/12)*(1+INDEX($C45:$E45,1,Control!$B$10))^CE5*INDEX($B$13:$M$13,1,MOD(78-1,12)+1)</f>
        <v/>
      </c>
      <c r="CF45" s="34">
        <f>($B45/12)*(1+INDEX($C45:$E45,1,Control!$B$10))^CF5*INDEX($B$13:$M$13,1,MOD(79-1,12)+1)</f>
        <v/>
      </c>
      <c r="CG45" s="34">
        <f>($B45/12)*(1+INDEX($C45:$E45,1,Control!$B$10))^CG5*INDEX($B$13:$M$13,1,MOD(80-1,12)+1)</f>
        <v/>
      </c>
      <c r="CH45" s="34">
        <f>($B45/12)*(1+INDEX($C45:$E45,1,Control!$B$10))^CH5*INDEX($B$13:$M$13,1,MOD(81-1,12)+1)</f>
        <v/>
      </c>
      <c r="CI45" s="34">
        <f>($B45/12)*(1+INDEX($C45:$E45,1,Control!$B$10))^CI5*INDEX($B$13:$M$13,1,MOD(82-1,12)+1)</f>
        <v/>
      </c>
      <c r="CJ45" s="34">
        <f>($B45/12)*(1+INDEX($C45:$E45,1,Control!$B$10))^CJ5*INDEX($B$13:$M$13,1,MOD(83-1,12)+1)</f>
        <v/>
      </c>
      <c r="CK45" s="34">
        <f>($B45/12)*(1+INDEX($C45:$E45,1,Control!$B$10))^CK5*INDEX($B$13:$M$13,1,MOD(84-1,12)+1)</f>
        <v/>
      </c>
      <c r="CL45" s="34">
        <f>($B45/12)*(1+INDEX($C45:$E45,1,Control!$B$10))^CL5*INDEX($B$13:$M$13,1,MOD(85-1,12)+1)</f>
        <v/>
      </c>
      <c r="CM45" s="34">
        <f>($B45/12)*(1+INDEX($C45:$E45,1,Control!$B$10))^CM5*INDEX($B$13:$M$13,1,MOD(86-1,12)+1)</f>
        <v/>
      </c>
      <c r="CN45" s="34">
        <f>($B45/12)*(1+INDEX($C45:$E45,1,Control!$B$10))^CN5*INDEX($B$13:$M$13,1,MOD(87-1,12)+1)</f>
        <v/>
      </c>
      <c r="CO45" s="34">
        <f>($B45/12)*(1+INDEX($C45:$E45,1,Control!$B$10))^CO5*INDEX($B$13:$M$13,1,MOD(88-1,12)+1)</f>
        <v/>
      </c>
      <c r="CP45" s="34">
        <f>($B45/12)*(1+INDEX($C45:$E45,1,Control!$B$10))^CP5*INDEX($B$13:$M$13,1,MOD(89-1,12)+1)</f>
        <v/>
      </c>
      <c r="CQ45" s="34">
        <f>($B45/12)*(1+INDEX($C45:$E45,1,Control!$B$10))^CQ5*INDEX($B$13:$M$13,1,MOD(90-1,12)+1)</f>
        <v/>
      </c>
      <c r="CR45" s="34">
        <f>($B45/12)*(1+INDEX($C45:$E45,1,Control!$B$10))^CR5*INDEX($B$13:$M$13,1,MOD(91-1,12)+1)</f>
        <v/>
      </c>
      <c r="CS45" s="34">
        <f>($B45/12)*(1+INDEX($C45:$E45,1,Control!$B$10))^CS5*INDEX($B$13:$M$13,1,MOD(92-1,12)+1)</f>
        <v/>
      </c>
      <c r="CT45" s="34">
        <f>($B45/12)*(1+INDEX($C45:$E45,1,Control!$B$10))^CT5*INDEX($B$13:$M$13,1,MOD(93-1,12)+1)</f>
        <v/>
      </c>
      <c r="CU45" s="34">
        <f>($B45/12)*(1+INDEX($C45:$E45,1,Control!$B$10))^CU5*INDEX($B$13:$M$13,1,MOD(94-1,12)+1)</f>
        <v/>
      </c>
      <c r="CV45" s="34">
        <f>($B45/12)*(1+INDEX($C45:$E45,1,Control!$B$10))^CV5*INDEX($B$13:$M$13,1,MOD(95-1,12)+1)</f>
        <v/>
      </c>
      <c r="CW45" s="34">
        <f>($B45/12)*(1+INDEX($C45:$E45,1,Control!$B$10))^CW5*INDEX($B$13:$M$13,1,MOD(96-1,12)+1)</f>
        <v/>
      </c>
      <c r="CX45" s="34">
        <f>($B45/12)*(1+INDEX($C45:$E45,1,Control!$B$10))^CX5*INDEX($B$13:$M$13,1,MOD(97-1,12)+1)</f>
        <v/>
      </c>
      <c r="CY45" s="34">
        <f>($B45/12)*(1+INDEX($C45:$E45,1,Control!$B$10))^CY5*INDEX($B$13:$M$13,1,MOD(98-1,12)+1)</f>
        <v/>
      </c>
      <c r="CZ45" s="34">
        <f>($B45/12)*(1+INDEX($C45:$E45,1,Control!$B$10))^CZ5*INDEX($B$13:$M$13,1,MOD(99-1,12)+1)</f>
        <v/>
      </c>
      <c r="DA45" s="34">
        <f>($B45/12)*(1+INDEX($C45:$E45,1,Control!$B$10))^DA5*INDEX($B$13:$M$13,1,MOD(100-1,12)+1)</f>
        <v/>
      </c>
      <c r="DB45" s="34">
        <f>($B45/12)*(1+INDEX($C45:$E45,1,Control!$B$10))^DB5*INDEX($B$13:$M$13,1,MOD(101-1,12)+1)</f>
        <v/>
      </c>
      <c r="DC45" s="34">
        <f>($B45/12)*(1+INDEX($C45:$E45,1,Control!$B$10))^DC5*INDEX($B$13:$M$13,1,MOD(102-1,12)+1)</f>
        <v/>
      </c>
      <c r="DD45" s="34">
        <f>($B45/12)*(1+INDEX($C45:$E45,1,Control!$B$10))^DD5*INDEX($B$13:$M$13,1,MOD(103-1,12)+1)</f>
        <v/>
      </c>
      <c r="DE45" s="34">
        <f>($B45/12)*(1+INDEX($C45:$E45,1,Control!$B$10))^DE5*INDEX($B$13:$M$13,1,MOD(104-1,12)+1)</f>
        <v/>
      </c>
      <c r="DF45" s="34">
        <f>($B45/12)*(1+INDEX($C45:$E45,1,Control!$B$10))^DF5*INDEX($B$13:$M$13,1,MOD(105-1,12)+1)</f>
        <v/>
      </c>
      <c r="DG45" s="34">
        <f>($B45/12)*(1+INDEX($C45:$E45,1,Control!$B$10))^DG5*INDEX($B$13:$M$13,1,MOD(106-1,12)+1)</f>
        <v/>
      </c>
      <c r="DH45" s="34">
        <f>($B45/12)*(1+INDEX($C45:$E45,1,Control!$B$10))^DH5*INDEX($B$13:$M$13,1,MOD(107-1,12)+1)</f>
        <v/>
      </c>
      <c r="DI45" s="34">
        <f>($B45/12)*(1+INDEX($C45:$E45,1,Control!$B$10))^DI5*INDEX($B$13:$M$13,1,MOD(108-1,12)+1)</f>
        <v/>
      </c>
      <c r="DJ45" s="34">
        <f>($B45/12)*(1+INDEX($C45:$E45,1,Control!$B$10))^DJ5*INDEX($B$13:$M$13,1,MOD(109-1,12)+1)</f>
        <v/>
      </c>
      <c r="DK45" s="34">
        <f>($B45/12)*(1+INDEX($C45:$E45,1,Control!$B$10))^DK5*INDEX($B$13:$M$13,1,MOD(110-1,12)+1)</f>
        <v/>
      </c>
      <c r="DL45" s="34">
        <f>($B45/12)*(1+INDEX($C45:$E45,1,Control!$B$10))^DL5*INDEX($B$13:$M$13,1,MOD(111-1,12)+1)</f>
        <v/>
      </c>
      <c r="DM45" s="34">
        <f>($B45/12)*(1+INDEX($C45:$E45,1,Control!$B$10))^DM5*INDEX($B$13:$M$13,1,MOD(112-1,12)+1)</f>
        <v/>
      </c>
      <c r="DN45" s="34">
        <f>($B45/12)*(1+INDEX($C45:$E45,1,Control!$B$10))^DN5*INDEX($B$13:$M$13,1,MOD(113-1,12)+1)</f>
        <v/>
      </c>
      <c r="DO45" s="34">
        <f>($B45/12)*(1+INDEX($C45:$E45,1,Control!$B$10))^DO5*INDEX($B$13:$M$13,1,MOD(114-1,12)+1)</f>
        <v/>
      </c>
      <c r="DP45" s="34">
        <f>($B45/12)*(1+INDEX($C45:$E45,1,Control!$B$10))^DP5*INDEX($B$13:$M$13,1,MOD(115-1,12)+1)</f>
        <v/>
      </c>
      <c r="DQ45" s="34">
        <f>($B45/12)*(1+INDEX($C45:$E45,1,Control!$B$10))^DQ5*INDEX($B$13:$M$13,1,MOD(116-1,12)+1)</f>
        <v/>
      </c>
      <c r="DR45" s="34">
        <f>($B45/12)*(1+INDEX($C45:$E45,1,Control!$B$10))^DR5*INDEX($B$13:$M$13,1,MOD(117-1,12)+1)</f>
        <v/>
      </c>
      <c r="DS45" s="34">
        <f>($B45/12)*(1+INDEX($C45:$E45,1,Control!$B$10))^DS5*INDEX($B$13:$M$13,1,MOD(118-1,12)+1)</f>
        <v/>
      </c>
      <c r="DT45" s="34">
        <f>($B45/12)*(1+INDEX($C45:$E45,1,Control!$B$10))^DT5*INDEX($B$13:$M$13,1,MOD(119-1,12)+1)</f>
        <v/>
      </c>
      <c r="DU45" s="34">
        <f>($B45/12)*(1+INDEX($C45:$E45,1,Control!$B$10))^DU5*INDEX($B$13:$M$13,1,MOD(120-1,12)+1)</f>
        <v/>
      </c>
    </row>
    <row r="46">
      <c r="A46" t="inlineStr">
        <is>
          <t>HarborIPA-Cans-OffTrade</t>
        </is>
      </c>
      <c r="B46" s="33" t="n">
        <v>25000</v>
      </c>
      <c r="C46" s="22" t="n">
        <v>0.05</v>
      </c>
      <c r="D46" s="22" t="n">
        <v>0.07000000000000001</v>
      </c>
      <c r="E46" s="22" t="n">
        <v>0.03</v>
      </c>
      <c r="F46" s="34">
        <f>($B46/12)*(1+INDEX($C46:$E46,1,Control!$B$10))^F5*INDEX($B$13:$M$13,1,MOD(1-1,12)+1)</f>
        <v/>
      </c>
      <c r="G46" s="34">
        <f>($B46/12)*(1+INDEX($C46:$E46,1,Control!$B$10))^G5*INDEX($B$13:$M$13,1,MOD(2-1,12)+1)</f>
        <v/>
      </c>
      <c r="H46" s="34">
        <f>($B46/12)*(1+INDEX($C46:$E46,1,Control!$B$10))^H5*INDEX($B$13:$M$13,1,MOD(3-1,12)+1)</f>
        <v/>
      </c>
      <c r="I46" s="34">
        <f>($B46/12)*(1+INDEX($C46:$E46,1,Control!$B$10))^I5*INDEX($B$13:$M$13,1,MOD(4-1,12)+1)</f>
        <v/>
      </c>
      <c r="J46" s="34">
        <f>($B46/12)*(1+INDEX($C46:$E46,1,Control!$B$10))^J5*INDEX($B$13:$M$13,1,MOD(5-1,12)+1)</f>
        <v/>
      </c>
      <c r="K46" s="34">
        <f>($B46/12)*(1+INDEX($C46:$E46,1,Control!$B$10))^K5*INDEX($B$13:$M$13,1,MOD(6-1,12)+1)</f>
        <v/>
      </c>
      <c r="L46" s="34">
        <f>($B46/12)*(1+INDEX($C46:$E46,1,Control!$B$10))^L5*INDEX($B$13:$M$13,1,MOD(7-1,12)+1)</f>
        <v/>
      </c>
      <c r="M46" s="34">
        <f>($B46/12)*(1+INDEX($C46:$E46,1,Control!$B$10))^M5*INDEX($B$13:$M$13,1,MOD(8-1,12)+1)</f>
        <v/>
      </c>
      <c r="N46" s="34">
        <f>($B46/12)*(1+INDEX($C46:$E46,1,Control!$B$10))^N5*INDEX($B$13:$M$13,1,MOD(9-1,12)+1)</f>
        <v/>
      </c>
      <c r="O46" s="34">
        <f>($B46/12)*(1+INDEX($C46:$E46,1,Control!$B$10))^O5*INDEX($B$13:$M$13,1,MOD(10-1,12)+1)</f>
        <v/>
      </c>
      <c r="P46" s="34">
        <f>($B46/12)*(1+INDEX($C46:$E46,1,Control!$B$10))^P5*INDEX($B$13:$M$13,1,MOD(11-1,12)+1)</f>
        <v/>
      </c>
      <c r="Q46" s="34">
        <f>($B46/12)*(1+INDEX($C46:$E46,1,Control!$B$10))^Q5*INDEX($B$13:$M$13,1,MOD(12-1,12)+1)</f>
        <v/>
      </c>
      <c r="R46" s="34">
        <f>($B46/12)*(1+INDEX($C46:$E46,1,Control!$B$10))^R5*INDEX($B$13:$M$13,1,MOD(13-1,12)+1)</f>
        <v/>
      </c>
      <c r="S46" s="34">
        <f>($B46/12)*(1+INDEX($C46:$E46,1,Control!$B$10))^S5*INDEX($B$13:$M$13,1,MOD(14-1,12)+1)</f>
        <v/>
      </c>
      <c r="T46" s="34">
        <f>($B46/12)*(1+INDEX($C46:$E46,1,Control!$B$10))^T5*INDEX($B$13:$M$13,1,MOD(15-1,12)+1)</f>
        <v/>
      </c>
      <c r="U46" s="34">
        <f>($B46/12)*(1+INDEX($C46:$E46,1,Control!$B$10))^U5*INDEX($B$13:$M$13,1,MOD(16-1,12)+1)</f>
        <v/>
      </c>
      <c r="V46" s="34">
        <f>($B46/12)*(1+INDEX($C46:$E46,1,Control!$B$10))^V5*INDEX($B$13:$M$13,1,MOD(17-1,12)+1)</f>
        <v/>
      </c>
      <c r="W46" s="34">
        <f>($B46/12)*(1+INDEX($C46:$E46,1,Control!$B$10))^W5*INDEX($B$13:$M$13,1,MOD(18-1,12)+1)</f>
        <v/>
      </c>
      <c r="X46" s="34">
        <f>($B46/12)*(1+INDEX($C46:$E46,1,Control!$B$10))^X5*INDEX($B$13:$M$13,1,MOD(19-1,12)+1)</f>
        <v/>
      </c>
      <c r="Y46" s="34">
        <f>($B46/12)*(1+INDEX($C46:$E46,1,Control!$B$10))^Y5*INDEX($B$13:$M$13,1,MOD(20-1,12)+1)</f>
        <v/>
      </c>
      <c r="Z46" s="34">
        <f>($B46/12)*(1+INDEX($C46:$E46,1,Control!$B$10))^Z5*INDEX($B$13:$M$13,1,MOD(21-1,12)+1)</f>
        <v/>
      </c>
      <c r="AA46" s="34">
        <f>($B46/12)*(1+INDEX($C46:$E46,1,Control!$B$10))^AA5*INDEX($B$13:$M$13,1,MOD(22-1,12)+1)</f>
        <v/>
      </c>
      <c r="AB46" s="34">
        <f>($B46/12)*(1+INDEX($C46:$E46,1,Control!$B$10))^AB5*INDEX($B$13:$M$13,1,MOD(23-1,12)+1)</f>
        <v/>
      </c>
      <c r="AC46" s="34">
        <f>($B46/12)*(1+INDEX($C46:$E46,1,Control!$B$10))^AC5*INDEX($B$13:$M$13,1,MOD(24-1,12)+1)</f>
        <v/>
      </c>
      <c r="AD46" s="34">
        <f>($B46/12)*(1+INDEX($C46:$E46,1,Control!$B$10))^AD5*INDEX($B$13:$M$13,1,MOD(25-1,12)+1)</f>
        <v/>
      </c>
      <c r="AE46" s="34">
        <f>($B46/12)*(1+INDEX($C46:$E46,1,Control!$B$10))^AE5*INDEX($B$13:$M$13,1,MOD(26-1,12)+1)</f>
        <v/>
      </c>
      <c r="AF46" s="34">
        <f>($B46/12)*(1+INDEX($C46:$E46,1,Control!$B$10))^AF5*INDEX($B$13:$M$13,1,MOD(27-1,12)+1)</f>
        <v/>
      </c>
      <c r="AG46" s="34">
        <f>($B46/12)*(1+INDEX($C46:$E46,1,Control!$B$10))^AG5*INDEX($B$13:$M$13,1,MOD(28-1,12)+1)</f>
        <v/>
      </c>
      <c r="AH46" s="34">
        <f>($B46/12)*(1+INDEX($C46:$E46,1,Control!$B$10))^AH5*INDEX($B$13:$M$13,1,MOD(29-1,12)+1)</f>
        <v/>
      </c>
      <c r="AI46" s="34">
        <f>($B46/12)*(1+INDEX($C46:$E46,1,Control!$B$10))^AI5*INDEX($B$13:$M$13,1,MOD(30-1,12)+1)</f>
        <v/>
      </c>
      <c r="AJ46" s="34">
        <f>($B46/12)*(1+INDEX($C46:$E46,1,Control!$B$10))^AJ5*INDEX($B$13:$M$13,1,MOD(31-1,12)+1)</f>
        <v/>
      </c>
      <c r="AK46" s="34">
        <f>($B46/12)*(1+INDEX($C46:$E46,1,Control!$B$10))^AK5*INDEX($B$13:$M$13,1,MOD(32-1,12)+1)</f>
        <v/>
      </c>
      <c r="AL46" s="34">
        <f>($B46/12)*(1+INDEX($C46:$E46,1,Control!$B$10))^AL5*INDEX($B$13:$M$13,1,MOD(33-1,12)+1)</f>
        <v/>
      </c>
      <c r="AM46" s="34">
        <f>($B46/12)*(1+INDEX($C46:$E46,1,Control!$B$10))^AM5*INDEX($B$13:$M$13,1,MOD(34-1,12)+1)</f>
        <v/>
      </c>
      <c r="AN46" s="34">
        <f>($B46/12)*(1+INDEX($C46:$E46,1,Control!$B$10))^AN5*INDEX($B$13:$M$13,1,MOD(35-1,12)+1)</f>
        <v/>
      </c>
      <c r="AO46" s="34">
        <f>($B46/12)*(1+INDEX($C46:$E46,1,Control!$B$10))^AO5*INDEX($B$13:$M$13,1,MOD(36-1,12)+1)</f>
        <v/>
      </c>
      <c r="AP46" s="34">
        <f>($B46/12)*(1+INDEX($C46:$E46,1,Control!$B$10))^AP5*INDEX($B$13:$M$13,1,MOD(37-1,12)+1)</f>
        <v/>
      </c>
      <c r="AQ46" s="34">
        <f>($B46/12)*(1+INDEX($C46:$E46,1,Control!$B$10))^AQ5*INDEX($B$13:$M$13,1,MOD(38-1,12)+1)</f>
        <v/>
      </c>
      <c r="AR46" s="34">
        <f>($B46/12)*(1+INDEX($C46:$E46,1,Control!$B$10))^AR5*INDEX($B$13:$M$13,1,MOD(39-1,12)+1)</f>
        <v/>
      </c>
      <c r="AS46" s="34">
        <f>($B46/12)*(1+INDEX($C46:$E46,1,Control!$B$10))^AS5*INDEX($B$13:$M$13,1,MOD(40-1,12)+1)</f>
        <v/>
      </c>
      <c r="AT46" s="34">
        <f>($B46/12)*(1+INDEX($C46:$E46,1,Control!$B$10))^AT5*INDEX($B$13:$M$13,1,MOD(41-1,12)+1)</f>
        <v/>
      </c>
      <c r="AU46" s="34">
        <f>($B46/12)*(1+INDEX($C46:$E46,1,Control!$B$10))^AU5*INDEX($B$13:$M$13,1,MOD(42-1,12)+1)</f>
        <v/>
      </c>
      <c r="AV46" s="34">
        <f>($B46/12)*(1+INDEX($C46:$E46,1,Control!$B$10))^AV5*INDEX($B$13:$M$13,1,MOD(43-1,12)+1)</f>
        <v/>
      </c>
      <c r="AW46" s="34">
        <f>($B46/12)*(1+INDEX($C46:$E46,1,Control!$B$10))^AW5*INDEX($B$13:$M$13,1,MOD(44-1,12)+1)</f>
        <v/>
      </c>
      <c r="AX46" s="34">
        <f>($B46/12)*(1+INDEX($C46:$E46,1,Control!$B$10))^AX5*INDEX($B$13:$M$13,1,MOD(45-1,12)+1)</f>
        <v/>
      </c>
      <c r="AY46" s="34">
        <f>($B46/12)*(1+INDEX($C46:$E46,1,Control!$B$10))^AY5*INDEX($B$13:$M$13,1,MOD(46-1,12)+1)</f>
        <v/>
      </c>
      <c r="AZ46" s="34">
        <f>($B46/12)*(1+INDEX($C46:$E46,1,Control!$B$10))^AZ5*INDEX($B$13:$M$13,1,MOD(47-1,12)+1)</f>
        <v/>
      </c>
      <c r="BA46" s="34">
        <f>($B46/12)*(1+INDEX($C46:$E46,1,Control!$B$10))^BA5*INDEX($B$13:$M$13,1,MOD(48-1,12)+1)</f>
        <v/>
      </c>
      <c r="BB46" s="34">
        <f>($B46/12)*(1+INDEX($C46:$E46,1,Control!$B$10))^BB5*INDEX($B$13:$M$13,1,MOD(49-1,12)+1)</f>
        <v/>
      </c>
      <c r="BC46" s="34">
        <f>($B46/12)*(1+INDEX($C46:$E46,1,Control!$B$10))^BC5*INDEX($B$13:$M$13,1,MOD(50-1,12)+1)</f>
        <v/>
      </c>
      <c r="BD46" s="34">
        <f>($B46/12)*(1+INDEX($C46:$E46,1,Control!$B$10))^BD5*INDEX($B$13:$M$13,1,MOD(51-1,12)+1)</f>
        <v/>
      </c>
      <c r="BE46" s="34">
        <f>($B46/12)*(1+INDEX($C46:$E46,1,Control!$B$10))^BE5*INDEX($B$13:$M$13,1,MOD(52-1,12)+1)</f>
        <v/>
      </c>
      <c r="BF46" s="34">
        <f>($B46/12)*(1+INDEX($C46:$E46,1,Control!$B$10))^BF5*INDEX($B$13:$M$13,1,MOD(53-1,12)+1)</f>
        <v/>
      </c>
      <c r="BG46" s="34">
        <f>($B46/12)*(1+INDEX($C46:$E46,1,Control!$B$10))^BG5*INDEX($B$13:$M$13,1,MOD(54-1,12)+1)</f>
        <v/>
      </c>
      <c r="BH46" s="34">
        <f>($B46/12)*(1+INDEX($C46:$E46,1,Control!$B$10))^BH5*INDEX($B$13:$M$13,1,MOD(55-1,12)+1)</f>
        <v/>
      </c>
      <c r="BI46" s="34">
        <f>($B46/12)*(1+INDEX($C46:$E46,1,Control!$B$10))^BI5*INDEX($B$13:$M$13,1,MOD(56-1,12)+1)</f>
        <v/>
      </c>
      <c r="BJ46" s="34">
        <f>($B46/12)*(1+INDEX($C46:$E46,1,Control!$B$10))^BJ5*INDEX($B$13:$M$13,1,MOD(57-1,12)+1)</f>
        <v/>
      </c>
      <c r="BK46" s="34">
        <f>($B46/12)*(1+INDEX($C46:$E46,1,Control!$B$10))^BK5*INDEX($B$13:$M$13,1,MOD(58-1,12)+1)</f>
        <v/>
      </c>
      <c r="BL46" s="34">
        <f>($B46/12)*(1+INDEX($C46:$E46,1,Control!$B$10))^BL5*INDEX($B$13:$M$13,1,MOD(59-1,12)+1)</f>
        <v/>
      </c>
      <c r="BM46" s="34">
        <f>($B46/12)*(1+INDEX($C46:$E46,1,Control!$B$10))^BM5*INDEX($B$13:$M$13,1,MOD(60-1,12)+1)</f>
        <v/>
      </c>
      <c r="BN46" s="34">
        <f>($B46/12)*(1+INDEX($C46:$E46,1,Control!$B$10))^BN5*INDEX($B$13:$M$13,1,MOD(61-1,12)+1)</f>
        <v/>
      </c>
      <c r="BO46" s="34">
        <f>($B46/12)*(1+INDEX($C46:$E46,1,Control!$B$10))^BO5*INDEX($B$13:$M$13,1,MOD(62-1,12)+1)</f>
        <v/>
      </c>
      <c r="BP46" s="34">
        <f>($B46/12)*(1+INDEX($C46:$E46,1,Control!$B$10))^BP5*INDEX($B$13:$M$13,1,MOD(63-1,12)+1)</f>
        <v/>
      </c>
      <c r="BQ46" s="34">
        <f>($B46/12)*(1+INDEX($C46:$E46,1,Control!$B$10))^BQ5*INDEX($B$13:$M$13,1,MOD(64-1,12)+1)</f>
        <v/>
      </c>
      <c r="BR46" s="34">
        <f>($B46/12)*(1+INDEX($C46:$E46,1,Control!$B$10))^BR5*INDEX($B$13:$M$13,1,MOD(65-1,12)+1)</f>
        <v/>
      </c>
      <c r="BS46" s="34">
        <f>($B46/12)*(1+INDEX($C46:$E46,1,Control!$B$10))^BS5*INDEX($B$13:$M$13,1,MOD(66-1,12)+1)</f>
        <v/>
      </c>
      <c r="BT46" s="34">
        <f>($B46/12)*(1+INDEX($C46:$E46,1,Control!$B$10))^BT5*INDEX($B$13:$M$13,1,MOD(67-1,12)+1)</f>
        <v/>
      </c>
      <c r="BU46" s="34">
        <f>($B46/12)*(1+INDEX($C46:$E46,1,Control!$B$10))^BU5*INDEX($B$13:$M$13,1,MOD(68-1,12)+1)</f>
        <v/>
      </c>
      <c r="BV46" s="34">
        <f>($B46/12)*(1+INDEX($C46:$E46,1,Control!$B$10))^BV5*INDEX($B$13:$M$13,1,MOD(69-1,12)+1)</f>
        <v/>
      </c>
      <c r="BW46" s="34">
        <f>($B46/12)*(1+INDEX($C46:$E46,1,Control!$B$10))^BW5*INDEX($B$13:$M$13,1,MOD(70-1,12)+1)</f>
        <v/>
      </c>
      <c r="BX46" s="34">
        <f>($B46/12)*(1+INDEX($C46:$E46,1,Control!$B$10))^BX5*INDEX($B$13:$M$13,1,MOD(71-1,12)+1)</f>
        <v/>
      </c>
      <c r="BY46" s="34">
        <f>($B46/12)*(1+INDEX($C46:$E46,1,Control!$B$10))^BY5*INDEX($B$13:$M$13,1,MOD(72-1,12)+1)</f>
        <v/>
      </c>
      <c r="BZ46" s="34">
        <f>($B46/12)*(1+INDEX($C46:$E46,1,Control!$B$10))^BZ5*INDEX($B$13:$M$13,1,MOD(73-1,12)+1)</f>
        <v/>
      </c>
      <c r="CA46" s="34">
        <f>($B46/12)*(1+INDEX($C46:$E46,1,Control!$B$10))^CA5*INDEX($B$13:$M$13,1,MOD(74-1,12)+1)</f>
        <v/>
      </c>
      <c r="CB46" s="34">
        <f>($B46/12)*(1+INDEX($C46:$E46,1,Control!$B$10))^CB5*INDEX($B$13:$M$13,1,MOD(75-1,12)+1)</f>
        <v/>
      </c>
      <c r="CC46" s="34">
        <f>($B46/12)*(1+INDEX($C46:$E46,1,Control!$B$10))^CC5*INDEX($B$13:$M$13,1,MOD(76-1,12)+1)</f>
        <v/>
      </c>
      <c r="CD46" s="34">
        <f>($B46/12)*(1+INDEX($C46:$E46,1,Control!$B$10))^CD5*INDEX($B$13:$M$13,1,MOD(77-1,12)+1)</f>
        <v/>
      </c>
      <c r="CE46" s="34">
        <f>($B46/12)*(1+INDEX($C46:$E46,1,Control!$B$10))^CE5*INDEX($B$13:$M$13,1,MOD(78-1,12)+1)</f>
        <v/>
      </c>
      <c r="CF46" s="34">
        <f>($B46/12)*(1+INDEX($C46:$E46,1,Control!$B$10))^CF5*INDEX($B$13:$M$13,1,MOD(79-1,12)+1)</f>
        <v/>
      </c>
      <c r="CG46" s="34">
        <f>($B46/12)*(1+INDEX($C46:$E46,1,Control!$B$10))^CG5*INDEX($B$13:$M$13,1,MOD(80-1,12)+1)</f>
        <v/>
      </c>
      <c r="CH46" s="34">
        <f>($B46/12)*(1+INDEX($C46:$E46,1,Control!$B$10))^CH5*INDEX($B$13:$M$13,1,MOD(81-1,12)+1)</f>
        <v/>
      </c>
      <c r="CI46" s="34">
        <f>($B46/12)*(1+INDEX($C46:$E46,1,Control!$B$10))^CI5*INDEX($B$13:$M$13,1,MOD(82-1,12)+1)</f>
        <v/>
      </c>
      <c r="CJ46" s="34">
        <f>($B46/12)*(1+INDEX($C46:$E46,1,Control!$B$10))^CJ5*INDEX($B$13:$M$13,1,MOD(83-1,12)+1)</f>
        <v/>
      </c>
      <c r="CK46" s="34">
        <f>($B46/12)*(1+INDEX($C46:$E46,1,Control!$B$10))^CK5*INDEX($B$13:$M$13,1,MOD(84-1,12)+1)</f>
        <v/>
      </c>
      <c r="CL46" s="34">
        <f>($B46/12)*(1+INDEX($C46:$E46,1,Control!$B$10))^CL5*INDEX($B$13:$M$13,1,MOD(85-1,12)+1)</f>
        <v/>
      </c>
      <c r="CM46" s="34">
        <f>($B46/12)*(1+INDEX($C46:$E46,1,Control!$B$10))^CM5*INDEX($B$13:$M$13,1,MOD(86-1,12)+1)</f>
        <v/>
      </c>
      <c r="CN46" s="34">
        <f>($B46/12)*(1+INDEX($C46:$E46,1,Control!$B$10))^CN5*INDEX($B$13:$M$13,1,MOD(87-1,12)+1)</f>
        <v/>
      </c>
      <c r="CO46" s="34">
        <f>($B46/12)*(1+INDEX($C46:$E46,1,Control!$B$10))^CO5*INDEX($B$13:$M$13,1,MOD(88-1,12)+1)</f>
        <v/>
      </c>
      <c r="CP46" s="34">
        <f>($B46/12)*(1+INDEX($C46:$E46,1,Control!$B$10))^CP5*INDEX($B$13:$M$13,1,MOD(89-1,12)+1)</f>
        <v/>
      </c>
      <c r="CQ46" s="34">
        <f>($B46/12)*(1+INDEX($C46:$E46,1,Control!$B$10))^CQ5*INDEX($B$13:$M$13,1,MOD(90-1,12)+1)</f>
        <v/>
      </c>
      <c r="CR46" s="34">
        <f>($B46/12)*(1+INDEX($C46:$E46,1,Control!$B$10))^CR5*INDEX($B$13:$M$13,1,MOD(91-1,12)+1)</f>
        <v/>
      </c>
      <c r="CS46" s="34">
        <f>($B46/12)*(1+INDEX($C46:$E46,1,Control!$B$10))^CS5*INDEX($B$13:$M$13,1,MOD(92-1,12)+1)</f>
        <v/>
      </c>
      <c r="CT46" s="34">
        <f>($B46/12)*(1+INDEX($C46:$E46,1,Control!$B$10))^CT5*INDEX($B$13:$M$13,1,MOD(93-1,12)+1)</f>
        <v/>
      </c>
      <c r="CU46" s="34">
        <f>($B46/12)*(1+INDEX($C46:$E46,1,Control!$B$10))^CU5*INDEX($B$13:$M$13,1,MOD(94-1,12)+1)</f>
        <v/>
      </c>
      <c r="CV46" s="34">
        <f>($B46/12)*(1+INDEX($C46:$E46,1,Control!$B$10))^CV5*INDEX($B$13:$M$13,1,MOD(95-1,12)+1)</f>
        <v/>
      </c>
      <c r="CW46" s="34">
        <f>($B46/12)*(1+INDEX($C46:$E46,1,Control!$B$10))^CW5*INDEX($B$13:$M$13,1,MOD(96-1,12)+1)</f>
        <v/>
      </c>
      <c r="CX46" s="34">
        <f>($B46/12)*(1+INDEX($C46:$E46,1,Control!$B$10))^CX5*INDEX($B$13:$M$13,1,MOD(97-1,12)+1)</f>
        <v/>
      </c>
      <c r="CY46" s="34">
        <f>($B46/12)*(1+INDEX($C46:$E46,1,Control!$B$10))^CY5*INDEX($B$13:$M$13,1,MOD(98-1,12)+1)</f>
        <v/>
      </c>
      <c r="CZ46" s="34">
        <f>($B46/12)*(1+INDEX($C46:$E46,1,Control!$B$10))^CZ5*INDEX($B$13:$M$13,1,MOD(99-1,12)+1)</f>
        <v/>
      </c>
      <c r="DA46" s="34">
        <f>($B46/12)*(1+INDEX($C46:$E46,1,Control!$B$10))^DA5*INDEX($B$13:$M$13,1,MOD(100-1,12)+1)</f>
        <v/>
      </c>
      <c r="DB46" s="34">
        <f>($B46/12)*(1+INDEX($C46:$E46,1,Control!$B$10))^DB5*INDEX($B$13:$M$13,1,MOD(101-1,12)+1)</f>
        <v/>
      </c>
      <c r="DC46" s="34">
        <f>($B46/12)*(1+INDEX($C46:$E46,1,Control!$B$10))^DC5*INDEX($B$13:$M$13,1,MOD(102-1,12)+1)</f>
        <v/>
      </c>
      <c r="DD46" s="34">
        <f>($B46/12)*(1+INDEX($C46:$E46,1,Control!$B$10))^DD5*INDEX($B$13:$M$13,1,MOD(103-1,12)+1)</f>
        <v/>
      </c>
      <c r="DE46" s="34">
        <f>($B46/12)*(1+INDEX($C46:$E46,1,Control!$B$10))^DE5*INDEX($B$13:$M$13,1,MOD(104-1,12)+1)</f>
        <v/>
      </c>
      <c r="DF46" s="34">
        <f>($B46/12)*(1+INDEX($C46:$E46,1,Control!$B$10))^DF5*INDEX($B$13:$M$13,1,MOD(105-1,12)+1)</f>
        <v/>
      </c>
      <c r="DG46" s="34">
        <f>($B46/12)*(1+INDEX($C46:$E46,1,Control!$B$10))^DG5*INDEX($B$13:$M$13,1,MOD(106-1,12)+1)</f>
        <v/>
      </c>
      <c r="DH46" s="34">
        <f>($B46/12)*(1+INDEX($C46:$E46,1,Control!$B$10))^DH5*INDEX($B$13:$M$13,1,MOD(107-1,12)+1)</f>
        <v/>
      </c>
      <c r="DI46" s="34">
        <f>($B46/12)*(1+INDEX($C46:$E46,1,Control!$B$10))^DI5*INDEX($B$13:$M$13,1,MOD(108-1,12)+1)</f>
        <v/>
      </c>
      <c r="DJ46" s="34">
        <f>($B46/12)*(1+INDEX($C46:$E46,1,Control!$B$10))^DJ5*INDEX($B$13:$M$13,1,MOD(109-1,12)+1)</f>
        <v/>
      </c>
      <c r="DK46" s="34">
        <f>($B46/12)*(1+INDEX($C46:$E46,1,Control!$B$10))^DK5*INDEX($B$13:$M$13,1,MOD(110-1,12)+1)</f>
        <v/>
      </c>
      <c r="DL46" s="34">
        <f>($B46/12)*(1+INDEX($C46:$E46,1,Control!$B$10))^DL5*INDEX($B$13:$M$13,1,MOD(111-1,12)+1)</f>
        <v/>
      </c>
      <c r="DM46" s="34">
        <f>($B46/12)*(1+INDEX($C46:$E46,1,Control!$B$10))^DM5*INDEX($B$13:$M$13,1,MOD(112-1,12)+1)</f>
        <v/>
      </c>
      <c r="DN46" s="34">
        <f>($B46/12)*(1+INDEX($C46:$E46,1,Control!$B$10))^DN5*INDEX($B$13:$M$13,1,MOD(113-1,12)+1)</f>
        <v/>
      </c>
      <c r="DO46" s="34">
        <f>($B46/12)*(1+INDEX($C46:$E46,1,Control!$B$10))^DO5*INDEX($B$13:$M$13,1,MOD(114-1,12)+1)</f>
        <v/>
      </c>
      <c r="DP46" s="34">
        <f>($B46/12)*(1+INDEX($C46:$E46,1,Control!$B$10))^DP5*INDEX($B$13:$M$13,1,MOD(115-1,12)+1)</f>
        <v/>
      </c>
      <c r="DQ46" s="34">
        <f>($B46/12)*(1+INDEX($C46:$E46,1,Control!$B$10))^DQ5*INDEX($B$13:$M$13,1,MOD(116-1,12)+1)</f>
        <v/>
      </c>
      <c r="DR46" s="34">
        <f>($B46/12)*(1+INDEX($C46:$E46,1,Control!$B$10))^DR5*INDEX($B$13:$M$13,1,MOD(117-1,12)+1)</f>
        <v/>
      </c>
      <c r="DS46" s="34">
        <f>($B46/12)*(1+INDEX($C46:$E46,1,Control!$B$10))^DS5*INDEX($B$13:$M$13,1,MOD(118-1,12)+1)</f>
        <v/>
      </c>
      <c r="DT46" s="34">
        <f>($B46/12)*(1+INDEX($C46:$E46,1,Control!$B$10))^DT5*INDEX($B$13:$M$13,1,MOD(119-1,12)+1)</f>
        <v/>
      </c>
      <c r="DU46" s="34">
        <f>($B46/12)*(1+INDEX($C46:$E46,1,Control!$B$10))^DU5*INDEX($B$13:$M$13,1,MOD(120-1,12)+1)</f>
        <v/>
      </c>
    </row>
    <row r="47">
      <c r="A47" t="inlineStr">
        <is>
          <t>HarborIPA-Kegs-OnTrade</t>
        </is>
      </c>
      <c r="B47" s="33" t="n">
        <v>15000</v>
      </c>
      <c r="C47" s="22" t="n">
        <v>0.05</v>
      </c>
      <c r="D47" s="22" t="n">
        <v>0.07000000000000001</v>
      </c>
      <c r="E47" s="22" t="n">
        <v>0.03</v>
      </c>
      <c r="F47" s="34">
        <f>($B47/12)*(1+INDEX($C47:$E47,1,Control!$B$10))^F5*INDEX($B$13:$M$13,1,MOD(1-1,12)+1)</f>
        <v/>
      </c>
      <c r="G47" s="34">
        <f>($B47/12)*(1+INDEX($C47:$E47,1,Control!$B$10))^G5*INDEX($B$13:$M$13,1,MOD(2-1,12)+1)</f>
        <v/>
      </c>
      <c r="H47" s="34">
        <f>($B47/12)*(1+INDEX($C47:$E47,1,Control!$B$10))^H5*INDEX($B$13:$M$13,1,MOD(3-1,12)+1)</f>
        <v/>
      </c>
      <c r="I47" s="34">
        <f>($B47/12)*(1+INDEX($C47:$E47,1,Control!$B$10))^I5*INDEX($B$13:$M$13,1,MOD(4-1,12)+1)</f>
        <v/>
      </c>
      <c r="J47" s="34">
        <f>($B47/12)*(1+INDEX($C47:$E47,1,Control!$B$10))^J5*INDEX($B$13:$M$13,1,MOD(5-1,12)+1)</f>
        <v/>
      </c>
      <c r="K47" s="34">
        <f>($B47/12)*(1+INDEX($C47:$E47,1,Control!$B$10))^K5*INDEX($B$13:$M$13,1,MOD(6-1,12)+1)</f>
        <v/>
      </c>
      <c r="L47" s="34">
        <f>($B47/12)*(1+INDEX($C47:$E47,1,Control!$B$10))^L5*INDEX($B$13:$M$13,1,MOD(7-1,12)+1)</f>
        <v/>
      </c>
      <c r="M47" s="34">
        <f>($B47/12)*(1+INDEX($C47:$E47,1,Control!$B$10))^M5*INDEX($B$13:$M$13,1,MOD(8-1,12)+1)</f>
        <v/>
      </c>
      <c r="N47" s="34">
        <f>($B47/12)*(1+INDEX($C47:$E47,1,Control!$B$10))^N5*INDEX($B$13:$M$13,1,MOD(9-1,12)+1)</f>
        <v/>
      </c>
      <c r="O47" s="34">
        <f>($B47/12)*(1+INDEX($C47:$E47,1,Control!$B$10))^O5*INDEX($B$13:$M$13,1,MOD(10-1,12)+1)</f>
        <v/>
      </c>
      <c r="P47" s="34">
        <f>($B47/12)*(1+INDEX($C47:$E47,1,Control!$B$10))^P5*INDEX($B$13:$M$13,1,MOD(11-1,12)+1)</f>
        <v/>
      </c>
      <c r="Q47" s="34">
        <f>($B47/12)*(1+INDEX($C47:$E47,1,Control!$B$10))^Q5*INDEX($B$13:$M$13,1,MOD(12-1,12)+1)</f>
        <v/>
      </c>
      <c r="R47" s="34">
        <f>($B47/12)*(1+INDEX($C47:$E47,1,Control!$B$10))^R5*INDEX($B$13:$M$13,1,MOD(13-1,12)+1)</f>
        <v/>
      </c>
      <c r="S47" s="34">
        <f>($B47/12)*(1+INDEX($C47:$E47,1,Control!$B$10))^S5*INDEX($B$13:$M$13,1,MOD(14-1,12)+1)</f>
        <v/>
      </c>
      <c r="T47" s="34">
        <f>($B47/12)*(1+INDEX($C47:$E47,1,Control!$B$10))^T5*INDEX($B$13:$M$13,1,MOD(15-1,12)+1)</f>
        <v/>
      </c>
      <c r="U47" s="34">
        <f>($B47/12)*(1+INDEX($C47:$E47,1,Control!$B$10))^U5*INDEX($B$13:$M$13,1,MOD(16-1,12)+1)</f>
        <v/>
      </c>
      <c r="V47" s="34">
        <f>($B47/12)*(1+INDEX($C47:$E47,1,Control!$B$10))^V5*INDEX($B$13:$M$13,1,MOD(17-1,12)+1)</f>
        <v/>
      </c>
      <c r="W47" s="34">
        <f>($B47/12)*(1+INDEX($C47:$E47,1,Control!$B$10))^W5*INDEX($B$13:$M$13,1,MOD(18-1,12)+1)</f>
        <v/>
      </c>
      <c r="X47" s="34">
        <f>($B47/12)*(1+INDEX($C47:$E47,1,Control!$B$10))^X5*INDEX($B$13:$M$13,1,MOD(19-1,12)+1)</f>
        <v/>
      </c>
      <c r="Y47" s="34">
        <f>($B47/12)*(1+INDEX($C47:$E47,1,Control!$B$10))^Y5*INDEX($B$13:$M$13,1,MOD(20-1,12)+1)</f>
        <v/>
      </c>
      <c r="Z47" s="34">
        <f>($B47/12)*(1+INDEX($C47:$E47,1,Control!$B$10))^Z5*INDEX($B$13:$M$13,1,MOD(21-1,12)+1)</f>
        <v/>
      </c>
      <c r="AA47" s="34">
        <f>($B47/12)*(1+INDEX($C47:$E47,1,Control!$B$10))^AA5*INDEX($B$13:$M$13,1,MOD(22-1,12)+1)</f>
        <v/>
      </c>
      <c r="AB47" s="34">
        <f>($B47/12)*(1+INDEX($C47:$E47,1,Control!$B$10))^AB5*INDEX($B$13:$M$13,1,MOD(23-1,12)+1)</f>
        <v/>
      </c>
      <c r="AC47" s="34">
        <f>($B47/12)*(1+INDEX($C47:$E47,1,Control!$B$10))^AC5*INDEX($B$13:$M$13,1,MOD(24-1,12)+1)</f>
        <v/>
      </c>
      <c r="AD47" s="34">
        <f>($B47/12)*(1+INDEX($C47:$E47,1,Control!$B$10))^AD5*INDEX($B$13:$M$13,1,MOD(25-1,12)+1)</f>
        <v/>
      </c>
      <c r="AE47" s="34">
        <f>($B47/12)*(1+INDEX($C47:$E47,1,Control!$B$10))^AE5*INDEX($B$13:$M$13,1,MOD(26-1,12)+1)</f>
        <v/>
      </c>
      <c r="AF47" s="34">
        <f>($B47/12)*(1+INDEX($C47:$E47,1,Control!$B$10))^AF5*INDEX($B$13:$M$13,1,MOD(27-1,12)+1)</f>
        <v/>
      </c>
      <c r="AG47" s="34">
        <f>($B47/12)*(1+INDEX($C47:$E47,1,Control!$B$10))^AG5*INDEX($B$13:$M$13,1,MOD(28-1,12)+1)</f>
        <v/>
      </c>
      <c r="AH47" s="34">
        <f>($B47/12)*(1+INDEX($C47:$E47,1,Control!$B$10))^AH5*INDEX($B$13:$M$13,1,MOD(29-1,12)+1)</f>
        <v/>
      </c>
      <c r="AI47" s="34">
        <f>($B47/12)*(1+INDEX($C47:$E47,1,Control!$B$10))^AI5*INDEX($B$13:$M$13,1,MOD(30-1,12)+1)</f>
        <v/>
      </c>
      <c r="AJ47" s="34">
        <f>($B47/12)*(1+INDEX($C47:$E47,1,Control!$B$10))^AJ5*INDEX($B$13:$M$13,1,MOD(31-1,12)+1)</f>
        <v/>
      </c>
      <c r="AK47" s="34">
        <f>($B47/12)*(1+INDEX($C47:$E47,1,Control!$B$10))^AK5*INDEX($B$13:$M$13,1,MOD(32-1,12)+1)</f>
        <v/>
      </c>
      <c r="AL47" s="34">
        <f>($B47/12)*(1+INDEX($C47:$E47,1,Control!$B$10))^AL5*INDEX($B$13:$M$13,1,MOD(33-1,12)+1)</f>
        <v/>
      </c>
      <c r="AM47" s="34">
        <f>($B47/12)*(1+INDEX($C47:$E47,1,Control!$B$10))^AM5*INDEX($B$13:$M$13,1,MOD(34-1,12)+1)</f>
        <v/>
      </c>
      <c r="AN47" s="34">
        <f>($B47/12)*(1+INDEX($C47:$E47,1,Control!$B$10))^AN5*INDEX($B$13:$M$13,1,MOD(35-1,12)+1)</f>
        <v/>
      </c>
      <c r="AO47" s="34">
        <f>($B47/12)*(1+INDEX($C47:$E47,1,Control!$B$10))^AO5*INDEX($B$13:$M$13,1,MOD(36-1,12)+1)</f>
        <v/>
      </c>
      <c r="AP47" s="34">
        <f>($B47/12)*(1+INDEX($C47:$E47,1,Control!$B$10))^AP5*INDEX($B$13:$M$13,1,MOD(37-1,12)+1)</f>
        <v/>
      </c>
      <c r="AQ47" s="34">
        <f>($B47/12)*(1+INDEX($C47:$E47,1,Control!$B$10))^AQ5*INDEX($B$13:$M$13,1,MOD(38-1,12)+1)</f>
        <v/>
      </c>
      <c r="AR47" s="34">
        <f>($B47/12)*(1+INDEX($C47:$E47,1,Control!$B$10))^AR5*INDEX($B$13:$M$13,1,MOD(39-1,12)+1)</f>
        <v/>
      </c>
      <c r="AS47" s="34">
        <f>($B47/12)*(1+INDEX($C47:$E47,1,Control!$B$10))^AS5*INDEX($B$13:$M$13,1,MOD(40-1,12)+1)</f>
        <v/>
      </c>
      <c r="AT47" s="34">
        <f>($B47/12)*(1+INDEX($C47:$E47,1,Control!$B$10))^AT5*INDEX($B$13:$M$13,1,MOD(41-1,12)+1)</f>
        <v/>
      </c>
      <c r="AU47" s="34">
        <f>($B47/12)*(1+INDEX($C47:$E47,1,Control!$B$10))^AU5*INDEX($B$13:$M$13,1,MOD(42-1,12)+1)</f>
        <v/>
      </c>
      <c r="AV47" s="34">
        <f>($B47/12)*(1+INDEX($C47:$E47,1,Control!$B$10))^AV5*INDEX($B$13:$M$13,1,MOD(43-1,12)+1)</f>
        <v/>
      </c>
      <c r="AW47" s="34">
        <f>($B47/12)*(1+INDEX($C47:$E47,1,Control!$B$10))^AW5*INDEX($B$13:$M$13,1,MOD(44-1,12)+1)</f>
        <v/>
      </c>
      <c r="AX47" s="34">
        <f>($B47/12)*(1+INDEX($C47:$E47,1,Control!$B$10))^AX5*INDEX($B$13:$M$13,1,MOD(45-1,12)+1)</f>
        <v/>
      </c>
      <c r="AY47" s="34">
        <f>($B47/12)*(1+INDEX($C47:$E47,1,Control!$B$10))^AY5*INDEX($B$13:$M$13,1,MOD(46-1,12)+1)</f>
        <v/>
      </c>
      <c r="AZ47" s="34">
        <f>($B47/12)*(1+INDEX($C47:$E47,1,Control!$B$10))^AZ5*INDEX($B$13:$M$13,1,MOD(47-1,12)+1)</f>
        <v/>
      </c>
      <c r="BA47" s="34">
        <f>($B47/12)*(1+INDEX($C47:$E47,1,Control!$B$10))^BA5*INDEX($B$13:$M$13,1,MOD(48-1,12)+1)</f>
        <v/>
      </c>
      <c r="BB47" s="34">
        <f>($B47/12)*(1+INDEX($C47:$E47,1,Control!$B$10))^BB5*INDEX($B$13:$M$13,1,MOD(49-1,12)+1)</f>
        <v/>
      </c>
      <c r="BC47" s="34">
        <f>($B47/12)*(1+INDEX($C47:$E47,1,Control!$B$10))^BC5*INDEX($B$13:$M$13,1,MOD(50-1,12)+1)</f>
        <v/>
      </c>
      <c r="BD47" s="34">
        <f>($B47/12)*(1+INDEX($C47:$E47,1,Control!$B$10))^BD5*INDEX($B$13:$M$13,1,MOD(51-1,12)+1)</f>
        <v/>
      </c>
      <c r="BE47" s="34">
        <f>($B47/12)*(1+INDEX($C47:$E47,1,Control!$B$10))^BE5*INDEX($B$13:$M$13,1,MOD(52-1,12)+1)</f>
        <v/>
      </c>
      <c r="BF47" s="34">
        <f>($B47/12)*(1+INDEX($C47:$E47,1,Control!$B$10))^BF5*INDEX($B$13:$M$13,1,MOD(53-1,12)+1)</f>
        <v/>
      </c>
      <c r="BG47" s="34">
        <f>($B47/12)*(1+INDEX($C47:$E47,1,Control!$B$10))^BG5*INDEX($B$13:$M$13,1,MOD(54-1,12)+1)</f>
        <v/>
      </c>
      <c r="BH47" s="34">
        <f>($B47/12)*(1+INDEX($C47:$E47,1,Control!$B$10))^BH5*INDEX($B$13:$M$13,1,MOD(55-1,12)+1)</f>
        <v/>
      </c>
      <c r="BI47" s="34">
        <f>($B47/12)*(1+INDEX($C47:$E47,1,Control!$B$10))^BI5*INDEX($B$13:$M$13,1,MOD(56-1,12)+1)</f>
        <v/>
      </c>
      <c r="BJ47" s="34">
        <f>($B47/12)*(1+INDEX($C47:$E47,1,Control!$B$10))^BJ5*INDEX($B$13:$M$13,1,MOD(57-1,12)+1)</f>
        <v/>
      </c>
      <c r="BK47" s="34">
        <f>($B47/12)*(1+INDEX($C47:$E47,1,Control!$B$10))^BK5*INDEX($B$13:$M$13,1,MOD(58-1,12)+1)</f>
        <v/>
      </c>
      <c r="BL47" s="34">
        <f>($B47/12)*(1+INDEX($C47:$E47,1,Control!$B$10))^BL5*INDEX($B$13:$M$13,1,MOD(59-1,12)+1)</f>
        <v/>
      </c>
      <c r="BM47" s="34">
        <f>($B47/12)*(1+INDEX($C47:$E47,1,Control!$B$10))^BM5*INDEX($B$13:$M$13,1,MOD(60-1,12)+1)</f>
        <v/>
      </c>
      <c r="BN47" s="34">
        <f>($B47/12)*(1+INDEX($C47:$E47,1,Control!$B$10))^BN5*INDEX($B$13:$M$13,1,MOD(61-1,12)+1)</f>
        <v/>
      </c>
      <c r="BO47" s="34">
        <f>($B47/12)*(1+INDEX($C47:$E47,1,Control!$B$10))^BO5*INDEX($B$13:$M$13,1,MOD(62-1,12)+1)</f>
        <v/>
      </c>
      <c r="BP47" s="34">
        <f>($B47/12)*(1+INDEX($C47:$E47,1,Control!$B$10))^BP5*INDEX($B$13:$M$13,1,MOD(63-1,12)+1)</f>
        <v/>
      </c>
      <c r="BQ47" s="34">
        <f>($B47/12)*(1+INDEX($C47:$E47,1,Control!$B$10))^BQ5*INDEX($B$13:$M$13,1,MOD(64-1,12)+1)</f>
        <v/>
      </c>
      <c r="BR47" s="34">
        <f>($B47/12)*(1+INDEX($C47:$E47,1,Control!$B$10))^BR5*INDEX($B$13:$M$13,1,MOD(65-1,12)+1)</f>
        <v/>
      </c>
      <c r="BS47" s="34">
        <f>($B47/12)*(1+INDEX($C47:$E47,1,Control!$B$10))^BS5*INDEX($B$13:$M$13,1,MOD(66-1,12)+1)</f>
        <v/>
      </c>
      <c r="BT47" s="34">
        <f>($B47/12)*(1+INDEX($C47:$E47,1,Control!$B$10))^BT5*INDEX($B$13:$M$13,1,MOD(67-1,12)+1)</f>
        <v/>
      </c>
      <c r="BU47" s="34">
        <f>($B47/12)*(1+INDEX($C47:$E47,1,Control!$B$10))^BU5*INDEX($B$13:$M$13,1,MOD(68-1,12)+1)</f>
        <v/>
      </c>
      <c r="BV47" s="34">
        <f>($B47/12)*(1+INDEX($C47:$E47,1,Control!$B$10))^BV5*INDEX($B$13:$M$13,1,MOD(69-1,12)+1)</f>
        <v/>
      </c>
      <c r="BW47" s="34">
        <f>($B47/12)*(1+INDEX($C47:$E47,1,Control!$B$10))^BW5*INDEX($B$13:$M$13,1,MOD(70-1,12)+1)</f>
        <v/>
      </c>
      <c r="BX47" s="34">
        <f>($B47/12)*(1+INDEX($C47:$E47,1,Control!$B$10))^BX5*INDEX($B$13:$M$13,1,MOD(71-1,12)+1)</f>
        <v/>
      </c>
      <c r="BY47" s="34">
        <f>($B47/12)*(1+INDEX($C47:$E47,1,Control!$B$10))^BY5*INDEX($B$13:$M$13,1,MOD(72-1,12)+1)</f>
        <v/>
      </c>
      <c r="BZ47" s="34">
        <f>($B47/12)*(1+INDEX($C47:$E47,1,Control!$B$10))^BZ5*INDEX($B$13:$M$13,1,MOD(73-1,12)+1)</f>
        <v/>
      </c>
      <c r="CA47" s="34">
        <f>($B47/12)*(1+INDEX($C47:$E47,1,Control!$B$10))^CA5*INDEX($B$13:$M$13,1,MOD(74-1,12)+1)</f>
        <v/>
      </c>
      <c r="CB47" s="34">
        <f>($B47/12)*(1+INDEX($C47:$E47,1,Control!$B$10))^CB5*INDEX($B$13:$M$13,1,MOD(75-1,12)+1)</f>
        <v/>
      </c>
      <c r="CC47" s="34">
        <f>($B47/12)*(1+INDEX($C47:$E47,1,Control!$B$10))^CC5*INDEX($B$13:$M$13,1,MOD(76-1,12)+1)</f>
        <v/>
      </c>
      <c r="CD47" s="34">
        <f>($B47/12)*(1+INDEX($C47:$E47,1,Control!$B$10))^CD5*INDEX($B$13:$M$13,1,MOD(77-1,12)+1)</f>
        <v/>
      </c>
      <c r="CE47" s="34">
        <f>($B47/12)*(1+INDEX($C47:$E47,1,Control!$B$10))^CE5*INDEX($B$13:$M$13,1,MOD(78-1,12)+1)</f>
        <v/>
      </c>
      <c r="CF47" s="34">
        <f>($B47/12)*(1+INDEX($C47:$E47,1,Control!$B$10))^CF5*INDEX($B$13:$M$13,1,MOD(79-1,12)+1)</f>
        <v/>
      </c>
      <c r="CG47" s="34">
        <f>($B47/12)*(1+INDEX($C47:$E47,1,Control!$B$10))^CG5*INDEX($B$13:$M$13,1,MOD(80-1,12)+1)</f>
        <v/>
      </c>
      <c r="CH47" s="34">
        <f>($B47/12)*(1+INDEX($C47:$E47,1,Control!$B$10))^CH5*INDEX($B$13:$M$13,1,MOD(81-1,12)+1)</f>
        <v/>
      </c>
      <c r="CI47" s="34">
        <f>($B47/12)*(1+INDEX($C47:$E47,1,Control!$B$10))^CI5*INDEX($B$13:$M$13,1,MOD(82-1,12)+1)</f>
        <v/>
      </c>
      <c r="CJ47" s="34">
        <f>($B47/12)*(1+INDEX($C47:$E47,1,Control!$B$10))^CJ5*INDEX($B$13:$M$13,1,MOD(83-1,12)+1)</f>
        <v/>
      </c>
      <c r="CK47" s="34">
        <f>($B47/12)*(1+INDEX($C47:$E47,1,Control!$B$10))^CK5*INDEX($B$13:$M$13,1,MOD(84-1,12)+1)</f>
        <v/>
      </c>
      <c r="CL47" s="34">
        <f>($B47/12)*(1+INDEX($C47:$E47,1,Control!$B$10))^CL5*INDEX($B$13:$M$13,1,MOD(85-1,12)+1)</f>
        <v/>
      </c>
      <c r="CM47" s="34">
        <f>($B47/12)*(1+INDEX($C47:$E47,1,Control!$B$10))^CM5*INDEX($B$13:$M$13,1,MOD(86-1,12)+1)</f>
        <v/>
      </c>
      <c r="CN47" s="34">
        <f>($B47/12)*(1+INDEX($C47:$E47,1,Control!$B$10))^CN5*INDEX($B$13:$M$13,1,MOD(87-1,12)+1)</f>
        <v/>
      </c>
      <c r="CO47" s="34">
        <f>($B47/12)*(1+INDEX($C47:$E47,1,Control!$B$10))^CO5*INDEX($B$13:$M$13,1,MOD(88-1,12)+1)</f>
        <v/>
      </c>
      <c r="CP47" s="34">
        <f>($B47/12)*(1+INDEX($C47:$E47,1,Control!$B$10))^CP5*INDEX($B$13:$M$13,1,MOD(89-1,12)+1)</f>
        <v/>
      </c>
      <c r="CQ47" s="34">
        <f>($B47/12)*(1+INDEX($C47:$E47,1,Control!$B$10))^CQ5*INDEX($B$13:$M$13,1,MOD(90-1,12)+1)</f>
        <v/>
      </c>
      <c r="CR47" s="34">
        <f>($B47/12)*(1+INDEX($C47:$E47,1,Control!$B$10))^CR5*INDEX($B$13:$M$13,1,MOD(91-1,12)+1)</f>
        <v/>
      </c>
      <c r="CS47" s="34">
        <f>($B47/12)*(1+INDEX($C47:$E47,1,Control!$B$10))^CS5*INDEX($B$13:$M$13,1,MOD(92-1,12)+1)</f>
        <v/>
      </c>
      <c r="CT47" s="34">
        <f>($B47/12)*(1+INDEX($C47:$E47,1,Control!$B$10))^CT5*INDEX($B$13:$M$13,1,MOD(93-1,12)+1)</f>
        <v/>
      </c>
      <c r="CU47" s="34">
        <f>($B47/12)*(1+INDEX($C47:$E47,1,Control!$B$10))^CU5*INDEX($B$13:$M$13,1,MOD(94-1,12)+1)</f>
        <v/>
      </c>
      <c r="CV47" s="34">
        <f>($B47/12)*(1+INDEX($C47:$E47,1,Control!$B$10))^CV5*INDEX($B$13:$M$13,1,MOD(95-1,12)+1)</f>
        <v/>
      </c>
      <c r="CW47" s="34">
        <f>($B47/12)*(1+INDEX($C47:$E47,1,Control!$B$10))^CW5*INDEX($B$13:$M$13,1,MOD(96-1,12)+1)</f>
        <v/>
      </c>
      <c r="CX47" s="34">
        <f>($B47/12)*(1+INDEX($C47:$E47,1,Control!$B$10))^CX5*INDEX($B$13:$M$13,1,MOD(97-1,12)+1)</f>
        <v/>
      </c>
      <c r="CY47" s="34">
        <f>($B47/12)*(1+INDEX($C47:$E47,1,Control!$B$10))^CY5*INDEX($B$13:$M$13,1,MOD(98-1,12)+1)</f>
        <v/>
      </c>
      <c r="CZ47" s="34">
        <f>($B47/12)*(1+INDEX($C47:$E47,1,Control!$B$10))^CZ5*INDEX($B$13:$M$13,1,MOD(99-1,12)+1)</f>
        <v/>
      </c>
      <c r="DA47" s="34">
        <f>($B47/12)*(1+INDEX($C47:$E47,1,Control!$B$10))^DA5*INDEX($B$13:$M$13,1,MOD(100-1,12)+1)</f>
        <v/>
      </c>
      <c r="DB47" s="34">
        <f>($B47/12)*(1+INDEX($C47:$E47,1,Control!$B$10))^DB5*INDEX($B$13:$M$13,1,MOD(101-1,12)+1)</f>
        <v/>
      </c>
      <c r="DC47" s="34">
        <f>($B47/12)*(1+INDEX($C47:$E47,1,Control!$B$10))^DC5*INDEX($B$13:$M$13,1,MOD(102-1,12)+1)</f>
        <v/>
      </c>
      <c r="DD47" s="34">
        <f>($B47/12)*(1+INDEX($C47:$E47,1,Control!$B$10))^DD5*INDEX($B$13:$M$13,1,MOD(103-1,12)+1)</f>
        <v/>
      </c>
      <c r="DE47" s="34">
        <f>($B47/12)*(1+INDEX($C47:$E47,1,Control!$B$10))^DE5*INDEX($B$13:$M$13,1,MOD(104-1,12)+1)</f>
        <v/>
      </c>
      <c r="DF47" s="34">
        <f>($B47/12)*(1+INDEX($C47:$E47,1,Control!$B$10))^DF5*INDEX($B$13:$M$13,1,MOD(105-1,12)+1)</f>
        <v/>
      </c>
      <c r="DG47" s="34">
        <f>($B47/12)*(1+INDEX($C47:$E47,1,Control!$B$10))^DG5*INDEX($B$13:$M$13,1,MOD(106-1,12)+1)</f>
        <v/>
      </c>
      <c r="DH47" s="34">
        <f>($B47/12)*(1+INDEX($C47:$E47,1,Control!$B$10))^DH5*INDEX($B$13:$M$13,1,MOD(107-1,12)+1)</f>
        <v/>
      </c>
      <c r="DI47" s="34">
        <f>($B47/12)*(1+INDEX($C47:$E47,1,Control!$B$10))^DI5*INDEX($B$13:$M$13,1,MOD(108-1,12)+1)</f>
        <v/>
      </c>
      <c r="DJ47" s="34">
        <f>($B47/12)*(1+INDEX($C47:$E47,1,Control!$B$10))^DJ5*INDEX($B$13:$M$13,1,MOD(109-1,12)+1)</f>
        <v/>
      </c>
      <c r="DK47" s="34">
        <f>($B47/12)*(1+INDEX($C47:$E47,1,Control!$B$10))^DK5*INDEX($B$13:$M$13,1,MOD(110-1,12)+1)</f>
        <v/>
      </c>
      <c r="DL47" s="34">
        <f>($B47/12)*(1+INDEX($C47:$E47,1,Control!$B$10))^DL5*INDEX($B$13:$M$13,1,MOD(111-1,12)+1)</f>
        <v/>
      </c>
      <c r="DM47" s="34">
        <f>($B47/12)*(1+INDEX($C47:$E47,1,Control!$B$10))^DM5*INDEX($B$13:$M$13,1,MOD(112-1,12)+1)</f>
        <v/>
      </c>
      <c r="DN47" s="34">
        <f>($B47/12)*(1+INDEX($C47:$E47,1,Control!$B$10))^DN5*INDEX($B$13:$M$13,1,MOD(113-1,12)+1)</f>
        <v/>
      </c>
      <c r="DO47" s="34">
        <f>($B47/12)*(1+INDEX($C47:$E47,1,Control!$B$10))^DO5*INDEX($B$13:$M$13,1,MOD(114-1,12)+1)</f>
        <v/>
      </c>
      <c r="DP47" s="34">
        <f>($B47/12)*(1+INDEX($C47:$E47,1,Control!$B$10))^DP5*INDEX($B$13:$M$13,1,MOD(115-1,12)+1)</f>
        <v/>
      </c>
      <c r="DQ47" s="34">
        <f>($B47/12)*(1+INDEX($C47:$E47,1,Control!$B$10))^DQ5*INDEX($B$13:$M$13,1,MOD(116-1,12)+1)</f>
        <v/>
      </c>
      <c r="DR47" s="34">
        <f>($B47/12)*(1+INDEX($C47:$E47,1,Control!$B$10))^DR5*INDEX($B$13:$M$13,1,MOD(117-1,12)+1)</f>
        <v/>
      </c>
      <c r="DS47" s="34">
        <f>($B47/12)*(1+INDEX($C47:$E47,1,Control!$B$10))^DS5*INDEX($B$13:$M$13,1,MOD(118-1,12)+1)</f>
        <v/>
      </c>
      <c r="DT47" s="34">
        <f>($B47/12)*(1+INDEX($C47:$E47,1,Control!$B$10))^DT5*INDEX($B$13:$M$13,1,MOD(119-1,12)+1)</f>
        <v/>
      </c>
      <c r="DU47" s="34">
        <f>($B47/12)*(1+INDEX($C47:$E47,1,Control!$B$10))^DU5*INDEX($B$13:$M$13,1,MOD(120-1,12)+1)</f>
        <v/>
      </c>
    </row>
    <row r="48">
      <c r="A48" t="inlineStr">
        <is>
          <t>HarborIPA-Kegs-OffTrade</t>
        </is>
      </c>
      <c r="B48" s="33" t="n">
        <v>0</v>
      </c>
      <c r="C48" s="22" t="n">
        <v>0.05</v>
      </c>
      <c r="D48" s="22" t="n">
        <v>0.07000000000000001</v>
      </c>
      <c r="E48" s="22" t="n">
        <v>0.03</v>
      </c>
      <c r="F48" s="34">
        <f>($B48/12)*(1+INDEX($C48:$E48,1,Control!$B$10))^F5*INDEX($B$13:$M$13,1,MOD(1-1,12)+1)</f>
        <v/>
      </c>
      <c r="G48" s="34">
        <f>($B48/12)*(1+INDEX($C48:$E48,1,Control!$B$10))^G5*INDEX($B$13:$M$13,1,MOD(2-1,12)+1)</f>
        <v/>
      </c>
      <c r="H48" s="34">
        <f>($B48/12)*(1+INDEX($C48:$E48,1,Control!$B$10))^H5*INDEX($B$13:$M$13,1,MOD(3-1,12)+1)</f>
        <v/>
      </c>
      <c r="I48" s="34">
        <f>($B48/12)*(1+INDEX($C48:$E48,1,Control!$B$10))^I5*INDEX($B$13:$M$13,1,MOD(4-1,12)+1)</f>
        <v/>
      </c>
      <c r="J48" s="34">
        <f>($B48/12)*(1+INDEX($C48:$E48,1,Control!$B$10))^J5*INDEX($B$13:$M$13,1,MOD(5-1,12)+1)</f>
        <v/>
      </c>
      <c r="K48" s="34">
        <f>($B48/12)*(1+INDEX($C48:$E48,1,Control!$B$10))^K5*INDEX($B$13:$M$13,1,MOD(6-1,12)+1)</f>
        <v/>
      </c>
      <c r="L48" s="34">
        <f>($B48/12)*(1+INDEX($C48:$E48,1,Control!$B$10))^L5*INDEX($B$13:$M$13,1,MOD(7-1,12)+1)</f>
        <v/>
      </c>
      <c r="M48" s="34">
        <f>($B48/12)*(1+INDEX($C48:$E48,1,Control!$B$10))^M5*INDEX($B$13:$M$13,1,MOD(8-1,12)+1)</f>
        <v/>
      </c>
      <c r="N48" s="34">
        <f>($B48/12)*(1+INDEX($C48:$E48,1,Control!$B$10))^N5*INDEX($B$13:$M$13,1,MOD(9-1,12)+1)</f>
        <v/>
      </c>
      <c r="O48" s="34">
        <f>($B48/12)*(1+INDEX($C48:$E48,1,Control!$B$10))^O5*INDEX($B$13:$M$13,1,MOD(10-1,12)+1)</f>
        <v/>
      </c>
      <c r="P48" s="34">
        <f>($B48/12)*(1+INDEX($C48:$E48,1,Control!$B$10))^P5*INDEX($B$13:$M$13,1,MOD(11-1,12)+1)</f>
        <v/>
      </c>
      <c r="Q48" s="34">
        <f>($B48/12)*(1+INDEX($C48:$E48,1,Control!$B$10))^Q5*INDEX($B$13:$M$13,1,MOD(12-1,12)+1)</f>
        <v/>
      </c>
      <c r="R48" s="34">
        <f>($B48/12)*(1+INDEX($C48:$E48,1,Control!$B$10))^R5*INDEX($B$13:$M$13,1,MOD(13-1,12)+1)</f>
        <v/>
      </c>
      <c r="S48" s="34">
        <f>($B48/12)*(1+INDEX($C48:$E48,1,Control!$B$10))^S5*INDEX($B$13:$M$13,1,MOD(14-1,12)+1)</f>
        <v/>
      </c>
      <c r="T48" s="34">
        <f>($B48/12)*(1+INDEX($C48:$E48,1,Control!$B$10))^T5*INDEX($B$13:$M$13,1,MOD(15-1,12)+1)</f>
        <v/>
      </c>
      <c r="U48" s="34">
        <f>($B48/12)*(1+INDEX($C48:$E48,1,Control!$B$10))^U5*INDEX($B$13:$M$13,1,MOD(16-1,12)+1)</f>
        <v/>
      </c>
      <c r="V48" s="34">
        <f>($B48/12)*(1+INDEX($C48:$E48,1,Control!$B$10))^V5*INDEX($B$13:$M$13,1,MOD(17-1,12)+1)</f>
        <v/>
      </c>
      <c r="W48" s="34">
        <f>($B48/12)*(1+INDEX($C48:$E48,1,Control!$B$10))^W5*INDEX($B$13:$M$13,1,MOD(18-1,12)+1)</f>
        <v/>
      </c>
      <c r="X48" s="34">
        <f>($B48/12)*(1+INDEX($C48:$E48,1,Control!$B$10))^X5*INDEX($B$13:$M$13,1,MOD(19-1,12)+1)</f>
        <v/>
      </c>
      <c r="Y48" s="34">
        <f>($B48/12)*(1+INDEX($C48:$E48,1,Control!$B$10))^Y5*INDEX($B$13:$M$13,1,MOD(20-1,12)+1)</f>
        <v/>
      </c>
      <c r="Z48" s="34">
        <f>($B48/12)*(1+INDEX($C48:$E48,1,Control!$B$10))^Z5*INDEX($B$13:$M$13,1,MOD(21-1,12)+1)</f>
        <v/>
      </c>
      <c r="AA48" s="34">
        <f>($B48/12)*(1+INDEX($C48:$E48,1,Control!$B$10))^AA5*INDEX($B$13:$M$13,1,MOD(22-1,12)+1)</f>
        <v/>
      </c>
      <c r="AB48" s="34">
        <f>($B48/12)*(1+INDEX($C48:$E48,1,Control!$B$10))^AB5*INDEX($B$13:$M$13,1,MOD(23-1,12)+1)</f>
        <v/>
      </c>
      <c r="AC48" s="34">
        <f>($B48/12)*(1+INDEX($C48:$E48,1,Control!$B$10))^AC5*INDEX($B$13:$M$13,1,MOD(24-1,12)+1)</f>
        <v/>
      </c>
      <c r="AD48" s="34">
        <f>($B48/12)*(1+INDEX($C48:$E48,1,Control!$B$10))^AD5*INDEX($B$13:$M$13,1,MOD(25-1,12)+1)</f>
        <v/>
      </c>
      <c r="AE48" s="34">
        <f>($B48/12)*(1+INDEX($C48:$E48,1,Control!$B$10))^AE5*INDEX($B$13:$M$13,1,MOD(26-1,12)+1)</f>
        <v/>
      </c>
      <c r="AF48" s="34">
        <f>($B48/12)*(1+INDEX($C48:$E48,1,Control!$B$10))^AF5*INDEX($B$13:$M$13,1,MOD(27-1,12)+1)</f>
        <v/>
      </c>
      <c r="AG48" s="34">
        <f>($B48/12)*(1+INDEX($C48:$E48,1,Control!$B$10))^AG5*INDEX($B$13:$M$13,1,MOD(28-1,12)+1)</f>
        <v/>
      </c>
      <c r="AH48" s="34">
        <f>($B48/12)*(1+INDEX($C48:$E48,1,Control!$B$10))^AH5*INDEX($B$13:$M$13,1,MOD(29-1,12)+1)</f>
        <v/>
      </c>
      <c r="AI48" s="34">
        <f>($B48/12)*(1+INDEX($C48:$E48,1,Control!$B$10))^AI5*INDEX($B$13:$M$13,1,MOD(30-1,12)+1)</f>
        <v/>
      </c>
      <c r="AJ48" s="34">
        <f>($B48/12)*(1+INDEX($C48:$E48,1,Control!$B$10))^AJ5*INDEX($B$13:$M$13,1,MOD(31-1,12)+1)</f>
        <v/>
      </c>
      <c r="AK48" s="34">
        <f>($B48/12)*(1+INDEX($C48:$E48,1,Control!$B$10))^AK5*INDEX($B$13:$M$13,1,MOD(32-1,12)+1)</f>
        <v/>
      </c>
      <c r="AL48" s="34">
        <f>($B48/12)*(1+INDEX($C48:$E48,1,Control!$B$10))^AL5*INDEX($B$13:$M$13,1,MOD(33-1,12)+1)</f>
        <v/>
      </c>
      <c r="AM48" s="34">
        <f>($B48/12)*(1+INDEX($C48:$E48,1,Control!$B$10))^AM5*INDEX($B$13:$M$13,1,MOD(34-1,12)+1)</f>
        <v/>
      </c>
      <c r="AN48" s="34">
        <f>($B48/12)*(1+INDEX($C48:$E48,1,Control!$B$10))^AN5*INDEX($B$13:$M$13,1,MOD(35-1,12)+1)</f>
        <v/>
      </c>
      <c r="AO48" s="34">
        <f>($B48/12)*(1+INDEX($C48:$E48,1,Control!$B$10))^AO5*INDEX($B$13:$M$13,1,MOD(36-1,12)+1)</f>
        <v/>
      </c>
      <c r="AP48" s="34">
        <f>($B48/12)*(1+INDEX($C48:$E48,1,Control!$B$10))^AP5*INDEX($B$13:$M$13,1,MOD(37-1,12)+1)</f>
        <v/>
      </c>
      <c r="AQ48" s="34">
        <f>($B48/12)*(1+INDEX($C48:$E48,1,Control!$B$10))^AQ5*INDEX($B$13:$M$13,1,MOD(38-1,12)+1)</f>
        <v/>
      </c>
      <c r="AR48" s="34">
        <f>($B48/12)*(1+INDEX($C48:$E48,1,Control!$B$10))^AR5*INDEX($B$13:$M$13,1,MOD(39-1,12)+1)</f>
        <v/>
      </c>
      <c r="AS48" s="34">
        <f>($B48/12)*(1+INDEX($C48:$E48,1,Control!$B$10))^AS5*INDEX($B$13:$M$13,1,MOD(40-1,12)+1)</f>
        <v/>
      </c>
      <c r="AT48" s="34">
        <f>($B48/12)*(1+INDEX($C48:$E48,1,Control!$B$10))^AT5*INDEX($B$13:$M$13,1,MOD(41-1,12)+1)</f>
        <v/>
      </c>
      <c r="AU48" s="34">
        <f>($B48/12)*(1+INDEX($C48:$E48,1,Control!$B$10))^AU5*INDEX($B$13:$M$13,1,MOD(42-1,12)+1)</f>
        <v/>
      </c>
      <c r="AV48" s="34">
        <f>($B48/12)*(1+INDEX($C48:$E48,1,Control!$B$10))^AV5*INDEX($B$13:$M$13,1,MOD(43-1,12)+1)</f>
        <v/>
      </c>
      <c r="AW48" s="34">
        <f>($B48/12)*(1+INDEX($C48:$E48,1,Control!$B$10))^AW5*INDEX($B$13:$M$13,1,MOD(44-1,12)+1)</f>
        <v/>
      </c>
      <c r="AX48" s="34">
        <f>($B48/12)*(1+INDEX($C48:$E48,1,Control!$B$10))^AX5*INDEX($B$13:$M$13,1,MOD(45-1,12)+1)</f>
        <v/>
      </c>
      <c r="AY48" s="34">
        <f>($B48/12)*(1+INDEX($C48:$E48,1,Control!$B$10))^AY5*INDEX($B$13:$M$13,1,MOD(46-1,12)+1)</f>
        <v/>
      </c>
      <c r="AZ48" s="34">
        <f>($B48/12)*(1+INDEX($C48:$E48,1,Control!$B$10))^AZ5*INDEX($B$13:$M$13,1,MOD(47-1,12)+1)</f>
        <v/>
      </c>
      <c r="BA48" s="34">
        <f>($B48/12)*(1+INDEX($C48:$E48,1,Control!$B$10))^BA5*INDEX($B$13:$M$13,1,MOD(48-1,12)+1)</f>
        <v/>
      </c>
      <c r="BB48" s="34">
        <f>($B48/12)*(1+INDEX($C48:$E48,1,Control!$B$10))^BB5*INDEX($B$13:$M$13,1,MOD(49-1,12)+1)</f>
        <v/>
      </c>
      <c r="BC48" s="34">
        <f>($B48/12)*(1+INDEX($C48:$E48,1,Control!$B$10))^BC5*INDEX($B$13:$M$13,1,MOD(50-1,12)+1)</f>
        <v/>
      </c>
      <c r="BD48" s="34">
        <f>($B48/12)*(1+INDEX($C48:$E48,1,Control!$B$10))^BD5*INDEX($B$13:$M$13,1,MOD(51-1,12)+1)</f>
        <v/>
      </c>
      <c r="BE48" s="34">
        <f>($B48/12)*(1+INDEX($C48:$E48,1,Control!$B$10))^BE5*INDEX($B$13:$M$13,1,MOD(52-1,12)+1)</f>
        <v/>
      </c>
      <c r="BF48" s="34">
        <f>($B48/12)*(1+INDEX($C48:$E48,1,Control!$B$10))^BF5*INDEX($B$13:$M$13,1,MOD(53-1,12)+1)</f>
        <v/>
      </c>
      <c r="BG48" s="34">
        <f>($B48/12)*(1+INDEX($C48:$E48,1,Control!$B$10))^BG5*INDEX($B$13:$M$13,1,MOD(54-1,12)+1)</f>
        <v/>
      </c>
      <c r="BH48" s="34">
        <f>($B48/12)*(1+INDEX($C48:$E48,1,Control!$B$10))^BH5*INDEX($B$13:$M$13,1,MOD(55-1,12)+1)</f>
        <v/>
      </c>
      <c r="BI48" s="34">
        <f>($B48/12)*(1+INDEX($C48:$E48,1,Control!$B$10))^BI5*INDEX($B$13:$M$13,1,MOD(56-1,12)+1)</f>
        <v/>
      </c>
      <c r="BJ48" s="34">
        <f>($B48/12)*(1+INDEX($C48:$E48,1,Control!$B$10))^BJ5*INDEX($B$13:$M$13,1,MOD(57-1,12)+1)</f>
        <v/>
      </c>
      <c r="BK48" s="34">
        <f>($B48/12)*(1+INDEX($C48:$E48,1,Control!$B$10))^BK5*INDEX($B$13:$M$13,1,MOD(58-1,12)+1)</f>
        <v/>
      </c>
      <c r="BL48" s="34">
        <f>($B48/12)*(1+INDEX($C48:$E48,1,Control!$B$10))^BL5*INDEX($B$13:$M$13,1,MOD(59-1,12)+1)</f>
        <v/>
      </c>
      <c r="BM48" s="34">
        <f>($B48/12)*(1+INDEX($C48:$E48,1,Control!$B$10))^BM5*INDEX($B$13:$M$13,1,MOD(60-1,12)+1)</f>
        <v/>
      </c>
      <c r="BN48" s="34">
        <f>($B48/12)*(1+INDEX($C48:$E48,1,Control!$B$10))^BN5*INDEX($B$13:$M$13,1,MOD(61-1,12)+1)</f>
        <v/>
      </c>
      <c r="BO48" s="34">
        <f>($B48/12)*(1+INDEX($C48:$E48,1,Control!$B$10))^BO5*INDEX($B$13:$M$13,1,MOD(62-1,12)+1)</f>
        <v/>
      </c>
      <c r="BP48" s="34">
        <f>($B48/12)*(1+INDEX($C48:$E48,1,Control!$B$10))^BP5*INDEX($B$13:$M$13,1,MOD(63-1,12)+1)</f>
        <v/>
      </c>
      <c r="BQ48" s="34">
        <f>($B48/12)*(1+INDEX($C48:$E48,1,Control!$B$10))^BQ5*INDEX($B$13:$M$13,1,MOD(64-1,12)+1)</f>
        <v/>
      </c>
      <c r="BR48" s="34">
        <f>($B48/12)*(1+INDEX($C48:$E48,1,Control!$B$10))^BR5*INDEX($B$13:$M$13,1,MOD(65-1,12)+1)</f>
        <v/>
      </c>
      <c r="BS48" s="34">
        <f>($B48/12)*(1+INDEX($C48:$E48,1,Control!$B$10))^BS5*INDEX($B$13:$M$13,1,MOD(66-1,12)+1)</f>
        <v/>
      </c>
      <c r="BT48" s="34">
        <f>($B48/12)*(1+INDEX($C48:$E48,1,Control!$B$10))^BT5*INDEX($B$13:$M$13,1,MOD(67-1,12)+1)</f>
        <v/>
      </c>
      <c r="BU48" s="34">
        <f>($B48/12)*(1+INDEX($C48:$E48,1,Control!$B$10))^BU5*INDEX($B$13:$M$13,1,MOD(68-1,12)+1)</f>
        <v/>
      </c>
      <c r="BV48" s="34">
        <f>($B48/12)*(1+INDEX($C48:$E48,1,Control!$B$10))^BV5*INDEX($B$13:$M$13,1,MOD(69-1,12)+1)</f>
        <v/>
      </c>
      <c r="BW48" s="34">
        <f>($B48/12)*(1+INDEX($C48:$E48,1,Control!$B$10))^BW5*INDEX($B$13:$M$13,1,MOD(70-1,12)+1)</f>
        <v/>
      </c>
      <c r="BX48" s="34">
        <f>($B48/12)*(1+INDEX($C48:$E48,1,Control!$B$10))^BX5*INDEX($B$13:$M$13,1,MOD(71-1,12)+1)</f>
        <v/>
      </c>
      <c r="BY48" s="34">
        <f>($B48/12)*(1+INDEX($C48:$E48,1,Control!$B$10))^BY5*INDEX($B$13:$M$13,1,MOD(72-1,12)+1)</f>
        <v/>
      </c>
      <c r="BZ48" s="34">
        <f>($B48/12)*(1+INDEX($C48:$E48,1,Control!$B$10))^BZ5*INDEX($B$13:$M$13,1,MOD(73-1,12)+1)</f>
        <v/>
      </c>
      <c r="CA48" s="34">
        <f>($B48/12)*(1+INDEX($C48:$E48,1,Control!$B$10))^CA5*INDEX($B$13:$M$13,1,MOD(74-1,12)+1)</f>
        <v/>
      </c>
      <c r="CB48" s="34">
        <f>($B48/12)*(1+INDEX($C48:$E48,1,Control!$B$10))^CB5*INDEX($B$13:$M$13,1,MOD(75-1,12)+1)</f>
        <v/>
      </c>
      <c r="CC48" s="34">
        <f>($B48/12)*(1+INDEX($C48:$E48,1,Control!$B$10))^CC5*INDEX($B$13:$M$13,1,MOD(76-1,12)+1)</f>
        <v/>
      </c>
      <c r="CD48" s="34">
        <f>($B48/12)*(1+INDEX($C48:$E48,1,Control!$B$10))^CD5*INDEX($B$13:$M$13,1,MOD(77-1,12)+1)</f>
        <v/>
      </c>
      <c r="CE48" s="34">
        <f>($B48/12)*(1+INDEX($C48:$E48,1,Control!$B$10))^CE5*INDEX($B$13:$M$13,1,MOD(78-1,12)+1)</f>
        <v/>
      </c>
      <c r="CF48" s="34">
        <f>($B48/12)*(1+INDEX($C48:$E48,1,Control!$B$10))^CF5*INDEX($B$13:$M$13,1,MOD(79-1,12)+1)</f>
        <v/>
      </c>
      <c r="CG48" s="34">
        <f>($B48/12)*(1+INDEX($C48:$E48,1,Control!$B$10))^CG5*INDEX($B$13:$M$13,1,MOD(80-1,12)+1)</f>
        <v/>
      </c>
      <c r="CH48" s="34">
        <f>($B48/12)*(1+INDEX($C48:$E48,1,Control!$B$10))^CH5*INDEX($B$13:$M$13,1,MOD(81-1,12)+1)</f>
        <v/>
      </c>
      <c r="CI48" s="34">
        <f>($B48/12)*(1+INDEX($C48:$E48,1,Control!$B$10))^CI5*INDEX($B$13:$M$13,1,MOD(82-1,12)+1)</f>
        <v/>
      </c>
      <c r="CJ48" s="34">
        <f>($B48/12)*(1+INDEX($C48:$E48,1,Control!$B$10))^CJ5*INDEX($B$13:$M$13,1,MOD(83-1,12)+1)</f>
        <v/>
      </c>
      <c r="CK48" s="34">
        <f>($B48/12)*(1+INDEX($C48:$E48,1,Control!$B$10))^CK5*INDEX($B$13:$M$13,1,MOD(84-1,12)+1)</f>
        <v/>
      </c>
      <c r="CL48" s="34">
        <f>($B48/12)*(1+INDEX($C48:$E48,1,Control!$B$10))^CL5*INDEX($B$13:$M$13,1,MOD(85-1,12)+1)</f>
        <v/>
      </c>
      <c r="CM48" s="34">
        <f>($B48/12)*(1+INDEX($C48:$E48,1,Control!$B$10))^CM5*INDEX($B$13:$M$13,1,MOD(86-1,12)+1)</f>
        <v/>
      </c>
      <c r="CN48" s="34">
        <f>($B48/12)*(1+INDEX($C48:$E48,1,Control!$B$10))^CN5*INDEX($B$13:$M$13,1,MOD(87-1,12)+1)</f>
        <v/>
      </c>
      <c r="CO48" s="34">
        <f>($B48/12)*(1+INDEX($C48:$E48,1,Control!$B$10))^CO5*INDEX($B$13:$M$13,1,MOD(88-1,12)+1)</f>
        <v/>
      </c>
      <c r="CP48" s="34">
        <f>($B48/12)*(1+INDEX($C48:$E48,1,Control!$B$10))^CP5*INDEX($B$13:$M$13,1,MOD(89-1,12)+1)</f>
        <v/>
      </c>
      <c r="CQ48" s="34">
        <f>($B48/12)*(1+INDEX($C48:$E48,1,Control!$B$10))^CQ5*INDEX($B$13:$M$13,1,MOD(90-1,12)+1)</f>
        <v/>
      </c>
      <c r="CR48" s="34">
        <f>($B48/12)*(1+INDEX($C48:$E48,1,Control!$B$10))^CR5*INDEX($B$13:$M$13,1,MOD(91-1,12)+1)</f>
        <v/>
      </c>
      <c r="CS48" s="34">
        <f>($B48/12)*(1+INDEX($C48:$E48,1,Control!$B$10))^CS5*INDEX($B$13:$M$13,1,MOD(92-1,12)+1)</f>
        <v/>
      </c>
      <c r="CT48" s="34">
        <f>($B48/12)*(1+INDEX($C48:$E48,1,Control!$B$10))^CT5*INDEX($B$13:$M$13,1,MOD(93-1,12)+1)</f>
        <v/>
      </c>
      <c r="CU48" s="34">
        <f>($B48/12)*(1+INDEX($C48:$E48,1,Control!$B$10))^CU5*INDEX($B$13:$M$13,1,MOD(94-1,12)+1)</f>
        <v/>
      </c>
      <c r="CV48" s="34">
        <f>($B48/12)*(1+INDEX($C48:$E48,1,Control!$B$10))^CV5*INDEX($B$13:$M$13,1,MOD(95-1,12)+1)</f>
        <v/>
      </c>
      <c r="CW48" s="34">
        <f>($B48/12)*(1+INDEX($C48:$E48,1,Control!$B$10))^CW5*INDEX($B$13:$M$13,1,MOD(96-1,12)+1)</f>
        <v/>
      </c>
      <c r="CX48" s="34">
        <f>($B48/12)*(1+INDEX($C48:$E48,1,Control!$B$10))^CX5*INDEX($B$13:$M$13,1,MOD(97-1,12)+1)</f>
        <v/>
      </c>
      <c r="CY48" s="34">
        <f>($B48/12)*(1+INDEX($C48:$E48,1,Control!$B$10))^CY5*INDEX($B$13:$M$13,1,MOD(98-1,12)+1)</f>
        <v/>
      </c>
      <c r="CZ48" s="34">
        <f>($B48/12)*(1+INDEX($C48:$E48,1,Control!$B$10))^CZ5*INDEX($B$13:$M$13,1,MOD(99-1,12)+1)</f>
        <v/>
      </c>
      <c r="DA48" s="34">
        <f>($B48/12)*(1+INDEX($C48:$E48,1,Control!$B$10))^DA5*INDEX($B$13:$M$13,1,MOD(100-1,12)+1)</f>
        <v/>
      </c>
      <c r="DB48" s="34">
        <f>($B48/12)*(1+INDEX($C48:$E48,1,Control!$B$10))^DB5*INDEX($B$13:$M$13,1,MOD(101-1,12)+1)</f>
        <v/>
      </c>
      <c r="DC48" s="34">
        <f>($B48/12)*(1+INDEX($C48:$E48,1,Control!$B$10))^DC5*INDEX($B$13:$M$13,1,MOD(102-1,12)+1)</f>
        <v/>
      </c>
      <c r="DD48" s="34">
        <f>($B48/12)*(1+INDEX($C48:$E48,1,Control!$B$10))^DD5*INDEX($B$13:$M$13,1,MOD(103-1,12)+1)</f>
        <v/>
      </c>
      <c r="DE48" s="34">
        <f>($B48/12)*(1+INDEX($C48:$E48,1,Control!$B$10))^DE5*INDEX($B$13:$M$13,1,MOD(104-1,12)+1)</f>
        <v/>
      </c>
      <c r="DF48" s="34">
        <f>($B48/12)*(1+INDEX($C48:$E48,1,Control!$B$10))^DF5*INDEX($B$13:$M$13,1,MOD(105-1,12)+1)</f>
        <v/>
      </c>
      <c r="DG48" s="34">
        <f>($B48/12)*(1+INDEX($C48:$E48,1,Control!$B$10))^DG5*INDEX($B$13:$M$13,1,MOD(106-1,12)+1)</f>
        <v/>
      </c>
      <c r="DH48" s="34">
        <f>($B48/12)*(1+INDEX($C48:$E48,1,Control!$B$10))^DH5*INDEX($B$13:$M$13,1,MOD(107-1,12)+1)</f>
        <v/>
      </c>
      <c r="DI48" s="34">
        <f>($B48/12)*(1+INDEX($C48:$E48,1,Control!$B$10))^DI5*INDEX($B$13:$M$13,1,MOD(108-1,12)+1)</f>
        <v/>
      </c>
      <c r="DJ48" s="34">
        <f>($B48/12)*(1+INDEX($C48:$E48,1,Control!$B$10))^DJ5*INDEX($B$13:$M$13,1,MOD(109-1,12)+1)</f>
        <v/>
      </c>
      <c r="DK48" s="34">
        <f>($B48/12)*(1+INDEX($C48:$E48,1,Control!$B$10))^DK5*INDEX($B$13:$M$13,1,MOD(110-1,12)+1)</f>
        <v/>
      </c>
      <c r="DL48" s="34">
        <f>($B48/12)*(1+INDEX($C48:$E48,1,Control!$B$10))^DL5*INDEX($B$13:$M$13,1,MOD(111-1,12)+1)</f>
        <v/>
      </c>
      <c r="DM48" s="34">
        <f>($B48/12)*(1+INDEX($C48:$E48,1,Control!$B$10))^DM5*INDEX($B$13:$M$13,1,MOD(112-1,12)+1)</f>
        <v/>
      </c>
      <c r="DN48" s="34">
        <f>($B48/12)*(1+INDEX($C48:$E48,1,Control!$B$10))^DN5*INDEX($B$13:$M$13,1,MOD(113-1,12)+1)</f>
        <v/>
      </c>
      <c r="DO48" s="34">
        <f>($B48/12)*(1+INDEX($C48:$E48,1,Control!$B$10))^DO5*INDEX($B$13:$M$13,1,MOD(114-1,12)+1)</f>
        <v/>
      </c>
      <c r="DP48" s="34">
        <f>($B48/12)*(1+INDEX($C48:$E48,1,Control!$B$10))^DP5*INDEX($B$13:$M$13,1,MOD(115-1,12)+1)</f>
        <v/>
      </c>
      <c r="DQ48" s="34">
        <f>($B48/12)*(1+INDEX($C48:$E48,1,Control!$B$10))^DQ5*INDEX($B$13:$M$13,1,MOD(116-1,12)+1)</f>
        <v/>
      </c>
      <c r="DR48" s="34">
        <f>($B48/12)*(1+INDEX($C48:$E48,1,Control!$B$10))^DR5*INDEX($B$13:$M$13,1,MOD(117-1,12)+1)</f>
        <v/>
      </c>
      <c r="DS48" s="34">
        <f>($B48/12)*(1+INDEX($C48:$E48,1,Control!$B$10))^DS5*INDEX($B$13:$M$13,1,MOD(118-1,12)+1)</f>
        <v/>
      </c>
      <c r="DT48" s="34">
        <f>($B48/12)*(1+INDEX($C48:$E48,1,Control!$B$10))^DT5*INDEX($B$13:$M$13,1,MOD(119-1,12)+1)</f>
        <v/>
      </c>
      <c r="DU48" s="34">
        <f>($B48/12)*(1+INDEX($C48:$E48,1,Control!$B$10))^DU5*INDEX($B$13:$M$13,1,MOD(120-1,12)+1)</f>
        <v/>
      </c>
    </row>
    <row r="50">
      <c r="A50" s="35" t="inlineStr">
        <is>
          <t>TOTAL HL SOLD</t>
        </is>
      </c>
      <c r="F50" s="36">
        <f>SUM(F19:F48)</f>
        <v/>
      </c>
      <c r="G50" s="36">
        <f>SUM(G19:G48)</f>
        <v/>
      </c>
      <c r="H50" s="36">
        <f>SUM(H19:H48)</f>
        <v/>
      </c>
      <c r="I50" s="36">
        <f>SUM(I19:I48)</f>
        <v/>
      </c>
      <c r="J50" s="36">
        <f>SUM(J19:J48)</f>
        <v/>
      </c>
      <c r="K50" s="36">
        <f>SUM(K19:K48)</f>
        <v/>
      </c>
      <c r="L50" s="36">
        <f>SUM(L19:L48)</f>
        <v/>
      </c>
      <c r="M50" s="36">
        <f>SUM(M19:M48)</f>
        <v/>
      </c>
      <c r="N50" s="36">
        <f>SUM(N19:N48)</f>
        <v/>
      </c>
      <c r="O50" s="36">
        <f>SUM(O19:O48)</f>
        <v/>
      </c>
      <c r="P50" s="36">
        <f>SUM(P19:P48)</f>
        <v/>
      </c>
      <c r="Q50" s="36">
        <f>SUM(Q19:Q48)</f>
        <v/>
      </c>
      <c r="R50" s="36">
        <f>SUM(R19:R48)</f>
        <v/>
      </c>
      <c r="S50" s="36">
        <f>SUM(S19:S48)</f>
        <v/>
      </c>
      <c r="T50" s="36">
        <f>SUM(T19:T48)</f>
        <v/>
      </c>
      <c r="U50" s="36">
        <f>SUM(U19:U48)</f>
        <v/>
      </c>
      <c r="V50" s="36">
        <f>SUM(V19:V48)</f>
        <v/>
      </c>
      <c r="W50" s="36">
        <f>SUM(W19:W48)</f>
        <v/>
      </c>
      <c r="X50" s="36">
        <f>SUM(X19:X48)</f>
        <v/>
      </c>
      <c r="Y50" s="36">
        <f>SUM(Y19:Y48)</f>
        <v/>
      </c>
      <c r="Z50" s="36">
        <f>SUM(Z19:Z48)</f>
        <v/>
      </c>
      <c r="AA50" s="36">
        <f>SUM(AA19:AA48)</f>
        <v/>
      </c>
      <c r="AB50" s="36">
        <f>SUM(AB19:AB48)</f>
        <v/>
      </c>
      <c r="AC50" s="36">
        <f>SUM(AC19:AC48)</f>
        <v/>
      </c>
      <c r="AD50" s="36">
        <f>SUM(AD19:AD48)</f>
        <v/>
      </c>
      <c r="AE50" s="36">
        <f>SUM(AE19:AE48)</f>
        <v/>
      </c>
      <c r="AF50" s="36">
        <f>SUM(AF19:AF48)</f>
        <v/>
      </c>
      <c r="AG50" s="36">
        <f>SUM(AG19:AG48)</f>
        <v/>
      </c>
      <c r="AH50" s="36">
        <f>SUM(AH19:AH48)</f>
        <v/>
      </c>
      <c r="AI50" s="36">
        <f>SUM(AI19:AI48)</f>
        <v/>
      </c>
      <c r="AJ50" s="36">
        <f>SUM(AJ19:AJ48)</f>
        <v/>
      </c>
      <c r="AK50" s="36">
        <f>SUM(AK19:AK48)</f>
        <v/>
      </c>
      <c r="AL50" s="36">
        <f>SUM(AL19:AL48)</f>
        <v/>
      </c>
      <c r="AM50" s="36">
        <f>SUM(AM19:AM48)</f>
        <v/>
      </c>
      <c r="AN50" s="36">
        <f>SUM(AN19:AN48)</f>
        <v/>
      </c>
      <c r="AO50" s="36">
        <f>SUM(AO19:AO48)</f>
        <v/>
      </c>
      <c r="AP50" s="36">
        <f>SUM(AP19:AP48)</f>
        <v/>
      </c>
      <c r="AQ50" s="36">
        <f>SUM(AQ19:AQ48)</f>
        <v/>
      </c>
      <c r="AR50" s="36">
        <f>SUM(AR19:AR48)</f>
        <v/>
      </c>
      <c r="AS50" s="36">
        <f>SUM(AS19:AS48)</f>
        <v/>
      </c>
      <c r="AT50" s="36">
        <f>SUM(AT19:AT48)</f>
        <v/>
      </c>
      <c r="AU50" s="36">
        <f>SUM(AU19:AU48)</f>
        <v/>
      </c>
      <c r="AV50" s="36">
        <f>SUM(AV19:AV48)</f>
        <v/>
      </c>
      <c r="AW50" s="36">
        <f>SUM(AW19:AW48)</f>
        <v/>
      </c>
      <c r="AX50" s="36">
        <f>SUM(AX19:AX48)</f>
        <v/>
      </c>
      <c r="AY50" s="36">
        <f>SUM(AY19:AY48)</f>
        <v/>
      </c>
      <c r="AZ50" s="36">
        <f>SUM(AZ19:AZ48)</f>
        <v/>
      </c>
      <c r="BA50" s="36">
        <f>SUM(BA19:BA48)</f>
        <v/>
      </c>
      <c r="BB50" s="36">
        <f>SUM(BB19:BB48)</f>
        <v/>
      </c>
      <c r="BC50" s="36">
        <f>SUM(BC19:BC48)</f>
        <v/>
      </c>
      <c r="BD50" s="36">
        <f>SUM(BD19:BD48)</f>
        <v/>
      </c>
      <c r="BE50" s="36">
        <f>SUM(BE19:BE48)</f>
        <v/>
      </c>
      <c r="BF50" s="36">
        <f>SUM(BF19:BF48)</f>
        <v/>
      </c>
      <c r="BG50" s="36">
        <f>SUM(BG19:BG48)</f>
        <v/>
      </c>
      <c r="BH50" s="36">
        <f>SUM(BH19:BH48)</f>
        <v/>
      </c>
      <c r="BI50" s="36">
        <f>SUM(BI19:BI48)</f>
        <v/>
      </c>
      <c r="BJ50" s="36">
        <f>SUM(BJ19:BJ48)</f>
        <v/>
      </c>
      <c r="BK50" s="36">
        <f>SUM(BK19:BK48)</f>
        <v/>
      </c>
      <c r="BL50" s="36">
        <f>SUM(BL19:BL48)</f>
        <v/>
      </c>
      <c r="BM50" s="36">
        <f>SUM(BM19:BM48)</f>
        <v/>
      </c>
      <c r="BN50" s="36">
        <f>SUM(BN19:BN48)</f>
        <v/>
      </c>
      <c r="BO50" s="36">
        <f>SUM(BO19:BO48)</f>
        <v/>
      </c>
      <c r="BP50" s="36">
        <f>SUM(BP19:BP48)</f>
        <v/>
      </c>
      <c r="BQ50" s="36">
        <f>SUM(BQ19:BQ48)</f>
        <v/>
      </c>
      <c r="BR50" s="36">
        <f>SUM(BR19:BR48)</f>
        <v/>
      </c>
      <c r="BS50" s="36">
        <f>SUM(BS19:BS48)</f>
        <v/>
      </c>
      <c r="BT50" s="36">
        <f>SUM(BT19:BT48)</f>
        <v/>
      </c>
      <c r="BU50" s="36">
        <f>SUM(BU19:BU48)</f>
        <v/>
      </c>
      <c r="BV50" s="36">
        <f>SUM(BV19:BV48)</f>
        <v/>
      </c>
      <c r="BW50" s="36">
        <f>SUM(BW19:BW48)</f>
        <v/>
      </c>
      <c r="BX50" s="36">
        <f>SUM(BX19:BX48)</f>
        <v/>
      </c>
      <c r="BY50" s="36">
        <f>SUM(BY19:BY48)</f>
        <v/>
      </c>
      <c r="BZ50" s="36">
        <f>SUM(BZ19:BZ48)</f>
        <v/>
      </c>
      <c r="CA50" s="36">
        <f>SUM(CA19:CA48)</f>
        <v/>
      </c>
      <c r="CB50" s="36">
        <f>SUM(CB19:CB48)</f>
        <v/>
      </c>
      <c r="CC50" s="36">
        <f>SUM(CC19:CC48)</f>
        <v/>
      </c>
      <c r="CD50" s="36">
        <f>SUM(CD19:CD48)</f>
        <v/>
      </c>
      <c r="CE50" s="36">
        <f>SUM(CE19:CE48)</f>
        <v/>
      </c>
      <c r="CF50" s="36">
        <f>SUM(CF19:CF48)</f>
        <v/>
      </c>
      <c r="CG50" s="36">
        <f>SUM(CG19:CG48)</f>
        <v/>
      </c>
      <c r="CH50" s="36">
        <f>SUM(CH19:CH48)</f>
        <v/>
      </c>
      <c r="CI50" s="36">
        <f>SUM(CI19:CI48)</f>
        <v/>
      </c>
      <c r="CJ50" s="36">
        <f>SUM(CJ19:CJ48)</f>
        <v/>
      </c>
      <c r="CK50" s="36">
        <f>SUM(CK19:CK48)</f>
        <v/>
      </c>
      <c r="CL50" s="36">
        <f>SUM(CL19:CL48)</f>
        <v/>
      </c>
      <c r="CM50" s="36">
        <f>SUM(CM19:CM48)</f>
        <v/>
      </c>
      <c r="CN50" s="36">
        <f>SUM(CN19:CN48)</f>
        <v/>
      </c>
      <c r="CO50" s="36">
        <f>SUM(CO19:CO48)</f>
        <v/>
      </c>
      <c r="CP50" s="36">
        <f>SUM(CP19:CP48)</f>
        <v/>
      </c>
      <c r="CQ50" s="36">
        <f>SUM(CQ19:CQ48)</f>
        <v/>
      </c>
      <c r="CR50" s="36">
        <f>SUM(CR19:CR48)</f>
        <v/>
      </c>
      <c r="CS50" s="36">
        <f>SUM(CS19:CS48)</f>
        <v/>
      </c>
      <c r="CT50" s="36">
        <f>SUM(CT19:CT48)</f>
        <v/>
      </c>
      <c r="CU50" s="36">
        <f>SUM(CU19:CU48)</f>
        <v/>
      </c>
      <c r="CV50" s="36">
        <f>SUM(CV19:CV48)</f>
        <v/>
      </c>
      <c r="CW50" s="36">
        <f>SUM(CW19:CW48)</f>
        <v/>
      </c>
      <c r="CX50" s="36">
        <f>SUM(CX19:CX48)</f>
        <v/>
      </c>
      <c r="CY50" s="36">
        <f>SUM(CY19:CY48)</f>
        <v/>
      </c>
      <c r="CZ50" s="36">
        <f>SUM(CZ19:CZ48)</f>
        <v/>
      </c>
      <c r="DA50" s="36">
        <f>SUM(DA19:DA48)</f>
        <v/>
      </c>
      <c r="DB50" s="36">
        <f>SUM(DB19:DB48)</f>
        <v/>
      </c>
      <c r="DC50" s="36">
        <f>SUM(DC19:DC48)</f>
        <v/>
      </c>
      <c r="DD50" s="36">
        <f>SUM(DD19:DD48)</f>
        <v/>
      </c>
      <c r="DE50" s="36">
        <f>SUM(DE19:DE48)</f>
        <v/>
      </c>
      <c r="DF50" s="36">
        <f>SUM(DF19:DF48)</f>
        <v/>
      </c>
      <c r="DG50" s="36">
        <f>SUM(DG19:DG48)</f>
        <v/>
      </c>
      <c r="DH50" s="36">
        <f>SUM(DH19:DH48)</f>
        <v/>
      </c>
      <c r="DI50" s="36">
        <f>SUM(DI19:DI48)</f>
        <v/>
      </c>
      <c r="DJ50" s="36">
        <f>SUM(DJ19:DJ48)</f>
        <v/>
      </c>
      <c r="DK50" s="36">
        <f>SUM(DK19:DK48)</f>
        <v/>
      </c>
      <c r="DL50" s="36">
        <f>SUM(DL19:DL48)</f>
        <v/>
      </c>
      <c r="DM50" s="36">
        <f>SUM(DM19:DM48)</f>
        <v/>
      </c>
      <c r="DN50" s="36">
        <f>SUM(DN19:DN48)</f>
        <v/>
      </c>
      <c r="DO50" s="36">
        <f>SUM(DO19:DO48)</f>
        <v/>
      </c>
      <c r="DP50" s="36">
        <f>SUM(DP19:DP48)</f>
        <v/>
      </c>
      <c r="DQ50" s="36">
        <f>SUM(DQ19:DQ48)</f>
        <v/>
      </c>
      <c r="DR50" s="36">
        <f>SUM(DR19:DR48)</f>
        <v/>
      </c>
      <c r="DS50" s="36">
        <f>SUM(DS19:DS48)</f>
        <v/>
      </c>
      <c r="DT50" s="36">
        <f>SUM(DT19:DT48)</f>
        <v/>
      </c>
      <c r="DU50" s="36">
        <f>SUM(DU19:DU48)</f>
        <v/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U42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</cols>
  <sheetData>
    <row r="1">
      <c r="A1" s="1" t="inlineStr">
        <is>
          <t>PRICING &amp; REVENUE</t>
        </is>
      </c>
    </row>
    <row r="3">
      <c r="A3" t="inlineStr">
        <is>
          <t>Period</t>
        </is>
      </c>
      <c r="F3" s="28" t="n">
        <v>1</v>
      </c>
      <c r="G3" s="28" t="n">
        <v>2</v>
      </c>
      <c r="H3" s="28" t="n">
        <v>3</v>
      </c>
      <c r="I3" s="28" t="n">
        <v>4</v>
      </c>
      <c r="J3" s="28" t="n">
        <v>5</v>
      </c>
      <c r="K3" s="28" t="n">
        <v>6</v>
      </c>
      <c r="L3" s="28" t="n">
        <v>7</v>
      </c>
      <c r="M3" s="28" t="n">
        <v>8</v>
      </c>
      <c r="N3" s="28" t="n">
        <v>9</v>
      </c>
      <c r="O3" s="28" t="n">
        <v>10</v>
      </c>
      <c r="P3" s="28" t="n">
        <v>11</v>
      </c>
      <c r="Q3" s="28" t="n">
        <v>12</v>
      </c>
      <c r="R3" s="28" t="n">
        <v>13</v>
      </c>
      <c r="S3" s="28" t="n">
        <v>14</v>
      </c>
      <c r="T3" s="28" t="n">
        <v>15</v>
      </c>
      <c r="U3" s="28" t="n">
        <v>16</v>
      </c>
      <c r="V3" s="28" t="n">
        <v>17</v>
      </c>
      <c r="W3" s="28" t="n">
        <v>18</v>
      </c>
      <c r="X3" s="28" t="n">
        <v>19</v>
      </c>
      <c r="Y3" s="28" t="n">
        <v>20</v>
      </c>
      <c r="Z3" s="28" t="n">
        <v>21</v>
      </c>
      <c r="AA3" s="28" t="n">
        <v>22</v>
      </c>
      <c r="AB3" s="28" t="n">
        <v>23</v>
      </c>
      <c r="AC3" s="28" t="n">
        <v>24</v>
      </c>
      <c r="AD3" s="28" t="n">
        <v>25</v>
      </c>
      <c r="AE3" s="28" t="n">
        <v>26</v>
      </c>
      <c r="AF3" s="28" t="n">
        <v>27</v>
      </c>
      <c r="AG3" s="28" t="n">
        <v>28</v>
      </c>
      <c r="AH3" s="28" t="n">
        <v>29</v>
      </c>
      <c r="AI3" s="28" t="n">
        <v>30</v>
      </c>
      <c r="AJ3" s="28" t="n">
        <v>31</v>
      </c>
      <c r="AK3" s="28" t="n">
        <v>32</v>
      </c>
      <c r="AL3" s="28" t="n">
        <v>33</v>
      </c>
      <c r="AM3" s="28" t="n">
        <v>34</v>
      </c>
      <c r="AN3" s="28" t="n">
        <v>35</v>
      </c>
      <c r="AO3" s="28" t="n">
        <v>36</v>
      </c>
      <c r="AP3" s="28" t="n">
        <v>37</v>
      </c>
      <c r="AQ3" s="28" t="n">
        <v>38</v>
      </c>
      <c r="AR3" s="28" t="n">
        <v>39</v>
      </c>
      <c r="AS3" s="28" t="n">
        <v>40</v>
      </c>
      <c r="AT3" s="28" t="n">
        <v>41</v>
      </c>
      <c r="AU3" s="28" t="n">
        <v>42</v>
      </c>
      <c r="AV3" s="28" t="n">
        <v>43</v>
      </c>
      <c r="AW3" s="28" t="n">
        <v>44</v>
      </c>
      <c r="AX3" s="28" t="n">
        <v>45</v>
      </c>
      <c r="AY3" s="28" t="n">
        <v>46</v>
      </c>
      <c r="AZ3" s="28" t="n">
        <v>47</v>
      </c>
      <c r="BA3" s="28" t="n">
        <v>48</v>
      </c>
      <c r="BB3" s="28" t="n">
        <v>49</v>
      </c>
      <c r="BC3" s="28" t="n">
        <v>50</v>
      </c>
      <c r="BD3" s="28" t="n">
        <v>51</v>
      </c>
      <c r="BE3" s="28" t="n">
        <v>52</v>
      </c>
      <c r="BF3" s="28" t="n">
        <v>53</v>
      </c>
      <c r="BG3" s="28" t="n">
        <v>54</v>
      </c>
      <c r="BH3" s="28" t="n">
        <v>55</v>
      </c>
      <c r="BI3" s="28" t="n">
        <v>56</v>
      </c>
      <c r="BJ3" s="28" t="n">
        <v>57</v>
      </c>
      <c r="BK3" s="28" t="n">
        <v>58</v>
      </c>
      <c r="BL3" s="28" t="n">
        <v>59</v>
      </c>
      <c r="BM3" s="28" t="n">
        <v>60</v>
      </c>
      <c r="BN3" s="28" t="n">
        <v>61</v>
      </c>
      <c r="BO3" s="28" t="n">
        <v>62</v>
      </c>
      <c r="BP3" s="28" t="n">
        <v>63</v>
      </c>
      <c r="BQ3" s="28" t="n">
        <v>64</v>
      </c>
      <c r="BR3" s="28" t="n">
        <v>65</v>
      </c>
      <c r="BS3" s="28" t="n">
        <v>66</v>
      </c>
      <c r="BT3" s="28" t="n">
        <v>67</v>
      </c>
      <c r="BU3" s="28" t="n">
        <v>68</v>
      </c>
      <c r="BV3" s="28" t="n">
        <v>69</v>
      </c>
      <c r="BW3" s="28" t="n">
        <v>70</v>
      </c>
      <c r="BX3" s="28" t="n">
        <v>71</v>
      </c>
      <c r="BY3" s="28" t="n">
        <v>72</v>
      </c>
      <c r="BZ3" s="28" t="n">
        <v>73</v>
      </c>
      <c r="CA3" s="28" t="n">
        <v>74</v>
      </c>
      <c r="CB3" s="28" t="n">
        <v>75</v>
      </c>
      <c r="CC3" s="28" t="n">
        <v>76</v>
      </c>
      <c r="CD3" s="28" t="n">
        <v>77</v>
      </c>
      <c r="CE3" s="28" t="n">
        <v>78</v>
      </c>
      <c r="CF3" s="28" t="n">
        <v>79</v>
      </c>
      <c r="CG3" s="28" t="n">
        <v>80</v>
      </c>
      <c r="CH3" s="28" t="n">
        <v>81</v>
      </c>
      <c r="CI3" s="28" t="n">
        <v>82</v>
      </c>
      <c r="CJ3" s="28" t="n">
        <v>83</v>
      </c>
      <c r="CK3" s="28" t="n">
        <v>84</v>
      </c>
      <c r="CL3" s="28" t="n">
        <v>85</v>
      </c>
      <c r="CM3" s="28" t="n">
        <v>86</v>
      </c>
      <c r="CN3" s="28" t="n">
        <v>87</v>
      </c>
      <c r="CO3" s="28" t="n">
        <v>88</v>
      </c>
      <c r="CP3" s="28" t="n">
        <v>89</v>
      </c>
      <c r="CQ3" s="28" t="n">
        <v>90</v>
      </c>
      <c r="CR3" s="28" t="n">
        <v>91</v>
      </c>
      <c r="CS3" s="28" t="n">
        <v>92</v>
      </c>
      <c r="CT3" s="28" t="n">
        <v>93</v>
      </c>
      <c r="CU3" s="28" t="n">
        <v>94</v>
      </c>
      <c r="CV3" s="28" t="n">
        <v>95</v>
      </c>
      <c r="CW3" s="28" t="n">
        <v>96</v>
      </c>
      <c r="CX3" s="28" t="n">
        <v>97</v>
      </c>
      <c r="CY3" s="28" t="n">
        <v>98</v>
      </c>
      <c r="CZ3" s="28" t="n">
        <v>99</v>
      </c>
      <c r="DA3" s="28" t="n">
        <v>100</v>
      </c>
      <c r="DB3" s="28" t="n">
        <v>101</v>
      </c>
      <c r="DC3" s="28" t="n">
        <v>102</v>
      </c>
      <c r="DD3" s="28" t="n">
        <v>103</v>
      </c>
      <c r="DE3" s="28" t="n">
        <v>104</v>
      </c>
      <c r="DF3" s="28" t="n">
        <v>105</v>
      </c>
      <c r="DG3" s="28" t="n">
        <v>106</v>
      </c>
      <c r="DH3" s="28" t="n">
        <v>107</v>
      </c>
      <c r="DI3" s="28" t="n">
        <v>108</v>
      </c>
      <c r="DJ3" s="28" t="n">
        <v>109</v>
      </c>
      <c r="DK3" s="28" t="n">
        <v>110</v>
      </c>
      <c r="DL3" s="28" t="n">
        <v>111</v>
      </c>
      <c r="DM3" s="28" t="n">
        <v>112</v>
      </c>
      <c r="DN3" s="28" t="n">
        <v>113</v>
      </c>
      <c r="DO3" s="28" t="n">
        <v>114</v>
      </c>
      <c r="DP3" s="28" t="n">
        <v>115</v>
      </c>
      <c r="DQ3" s="28" t="n">
        <v>116</v>
      </c>
      <c r="DR3" s="28" t="n">
        <v>117</v>
      </c>
      <c r="DS3" s="28" t="n">
        <v>118</v>
      </c>
      <c r="DT3" s="28" t="n">
        <v>119</v>
      </c>
      <c r="DU3" s="28" t="n">
        <v>120</v>
      </c>
    </row>
    <row r="4">
      <c r="A4" t="inlineStr">
        <is>
          <t>Date</t>
        </is>
      </c>
      <c r="F4" s="29">
        <f>EDATE(Control!$B$4,0)</f>
        <v/>
      </c>
      <c r="G4" s="29">
        <f>EDATE(Control!$B$4,1)</f>
        <v/>
      </c>
      <c r="H4" s="29">
        <f>EDATE(Control!$B$4,2)</f>
        <v/>
      </c>
      <c r="I4" s="29">
        <f>EDATE(Control!$B$4,3)</f>
        <v/>
      </c>
      <c r="J4" s="29">
        <f>EDATE(Control!$B$4,4)</f>
        <v/>
      </c>
      <c r="K4" s="29">
        <f>EDATE(Control!$B$4,5)</f>
        <v/>
      </c>
      <c r="L4" s="29">
        <f>EDATE(Control!$B$4,6)</f>
        <v/>
      </c>
      <c r="M4" s="29">
        <f>EDATE(Control!$B$4,7)</f>
        <v/>
      </c>
      <c r="N4" s="29">
        <f>EDATE(Control!$B$4,8)</f>
        <v/>
      </c>
      <c r="O4" s="29">
        <f>EDATE(Control!$B$4,9)</f>
        <v/>
      </c>
      <c r="P4" s="29">
        <f>EDATE(Control!$B$4,10)</f>
        <v/>
      </c>
      <c r="Q4" s="29">
        <f>EDATE(Control!$B$4,11)</f>
        <v/>
      </c>
      <c r="R4" s="29">
        <f>EDATE(Control!$B$4,12)</f>
        <v/>
      </c>
      <c r="S4" s="29">
        <f>EDATE(Control!$B$4,13)</f>
        <v/>
      </c>
      <c r="T4" s="29">
        <f>EDATE(Control!$B$4,14)</f>
        <v/>
      </c>
      <c r="U4" s="29">
        <f>EDATE(Control!$B$4,15)</f>
        <v/>
      </c>
      <c r="V4" s="29">
        <f>EDATE(Control!$B$4,16)</f>
        <v/>
      </c>
      <c r="W4" s="29">
        <f>EDATE(Control!$B$4,17)</f>
        <v/>
      </c>
      <c r="X4" s="29">
        <f>EDATE(Control!$B$4,18)</f>
        <v/>
      </c>
      <c r="Y4" s="29">
        <f>EDATE(Control!$B$4,19)</f>
        <v/>
      </c>
      <c r="Z4" s="29">
        <f>EDATE(Control!$B$4,20)</f>
        <v/>
      </c>
      <c r="AA4" s="29">
        <f>EDATE(Control!$B$4,21)</f>
        <v/>
      </c>
      <c r="AB4" s="29">
        <f>EDATE(Control!$B$4,22)</f>
        <v/>
      </c>
      <c r="AC4" s="29">
        <f>EDATE(Control!$B$4,23)</f>
        <v/>
      </c>
      <c r="AD4" s="29">
        <f>EDATE(Control!$B$4,24)</f>
        <v/>
      </c>
      <c r="AE4" s="29">
        <f>EDATE(Control!$B$4,25)</f>
        <v/>
      </c>
      <c r="AF4" s="29">
        <f>EDATE(Control!$B$4,26)</f>
        <v/>
      </c>
      <c r="AG4" s="29">
        <f>EDATE(Control!$B$4,27)</f>
        <v/>
      </c>
      <c r="AH4" s="29">
        <f>EDATE(Control!$B$4,28)</f>
        <v/>
      </c>
      <c r="AI4" s="29">
        <f>EDATE(Control!$B$4,29)</f>
        <v/>
      </c>
      <c r="AJ4" s="29">
        <f>EDATE(Control!$B$4,30)</f>
        <v/>
      </c>
      <c r="AK4" s="29">
        <f>EDATE(Control!$B$4,31)</f>
        <v/>
      </c>
      <c r="AL4" s="29">
        <f>EDATE(Control!$B$4,32)</f>
        <v/>
      </c>
      <c r="AM4" s="29">
        <f>EDATE(Control!$B$4,33)</f>
        <v/>
      </c>
      <c r="AN4" s="29">
        <f>EDATE(Control!$B$4,34)</f>
        <v/>
      </c>
      <c r="AO4" s="29">
        <f>EDATE(Control!$B$4,35)</f>
        <v/>
      </c>
      <c r="AP4" s="29">
        <f>EDATE(Control!$B$4,36)</f>
        <v/>
      </c>
      <c r="AQ4" s="29">
        <f>EDATE(Control!$B$4,37)</f>
        <v/>
      </c>
      <c r="AR4" s="29">
        <f>EDATE(Control!$B$4,38)</f>
        <v/>
      </c>
      <c r="AS4" s="29">
        <f>EDATE(Control!$B$4,39)</f>
        <v/>
      </c>
      <c r="AT4" s="29">
        <f>EDATE(Control!$B$4,40)</f>
        <v/>
      </c>
      <c r="AU4" s="29">
        <f>EDATE(Control!$B$4,41)</f>
        <v/>
      </c>
      <c r="AV4" s="29">
        <f>EDATE(Control!$B$4,42)</f>
        <v/>
      </c>
      <c r="AW4" s="29">
        <f>EDATE(Control!$B$4,43)</f>
        <v/>
      </c>
      <c r="AX4" s="29">
        <f>EDATE(Control!$B$4,44)</f>
        <v/>
      </c>
      <c r="AY4" s="29">
        <f>EDATE(Control!$B$4,45)</f>
        <v/>
      </c>
      <c r="AZ4" s="29">
        <f>EDATE(Control!$B$4,46)</f>
        <v/>
      </c>
      <c r="BA4" s="29">
        <f>EDATE(Control!$B$4,47)</f>
        <v/>
      </c>
      <c r="BB4" s="29">
        <f>EDATE(Control!$B$4,48)</f>
        <v/>
      </c>
      <c r="BC4" s="29">
        <f>EDATE(Control!$B$4,49)</f>
        <v/>
      </c>
      <c r="BD4" s="29">
        <f>EDATE(Control!$B$4,50)</f>
        <v/>
      </c>
      <c r="BE4" s="29">
        <f>EDATE(Control!$B$4,51)</f>
        <v/>
      </c>
      <c r="BF4" s="29">
        <f>EDATE(Control!$B$4,52)</f>
        <v/>
      </c>
      <c r="BG4" s="29">
        <f>EDATE(Control!$B$4,53)</f>
        <v/>
      </c>
      <c r="BH4" s="29">
        <f>EDATE(Control!$B$4,54)</f>
        <v/>
      </c>
      <c r="BI4" s="29">
        <f>EDATE(Control!$B$4,55)</f>
        <v/>
      </c>
      <c r="BJ4" s="29">
        <f>EDATE(Control!$B$4,56)</f>
        <v/>
      </c>
      <c r="BK4" s="29">
        <f>EDATE(Control!$B$4,57)</f>
        <v/>
      </c>
      <c r="BL4" s="29">
        <f>EDATE(Control!$B$4,58)</f>
        <v/>
      </c>
      <c r="BM4" s="29">
        <f>EDATE(Control!$B$4,59)</f>
        <v/>
      </c>
      <c r="BN4" s="29">
        <f>EDATE(Control!$B$4,60)</f>
        <v/>
      </c>
      <c r="BO4" s="29">
        <f>EDATE(Control!$B$4,61)</f>
        <v/>
      </c>
      <c r="BP4" s="29">
        <f>EDATE(Control!$B$4,62)</f>
        <v/>
      </c>
      <c r="BQ4" s="29">
        <f>EDATE(Control!$B$4,63)</f>
        <v/>
      </c>
      <c r="BR4" s="29">
        <f>EDATE(Control!$B$4,64)</f>
        <v/>
      </c>
      <c r="BS4" s="29">
        <f>EDATE(Control!$B$4,65)</f>
        <v/>
      </c>
      <c r="BT4" s="29">
        <f>EDATE(Control!$B$4,66)</f>
        <v/>
      </c>
      <c r="BU4" s="29">
        <f>EDATE(Control!$B$4,67)</f>
        <v/>
      </c>
      <c r="BV4" s="29">
        <f>EDATE(Control!$B$4,68)</f>
        <v/>
      </c>
      <c r="BW4" s="29">
        <f>EDATE(Control!$B$4,69)</f>
        <v/>
      </c>
      <c r="BX4" s="29">
        <f>EDATE(Control!$B$4,70)</f>
        <v/>
      </c>
      <c r="BY4" s="29">
        <f>EDATE(Control!$B$4,71)</f>
        <v/>
      </c>
      <c r="BZ4" s="29">
        <f>EDATE(Control!$B$4,72)</f>
        <v/>
      </c>
      <c r="CA4" s="29">
        <f>EDATE(Control!$B$4,73)</f>
        <v/>
      </c>
      <c r="CB4" s="29">
        <f>EDATE(Control!$B$4,74)</f>
        <v/>
      </c>
      <c r="CC4" s="29">
        <f>EDATE(Control!$B$4,75)</f>
        <v/>
      </c>
      <c r="CD4" s="29">
        <f>EDATE(Control!$B$4,76)</f>
        <v/>
      </c>
      <c r="CE4" s="29">
        <f>EDATE(Control!$B$4,77)</f>
        <v/>
      </c>
      <c r="CF4" s="29">
        <f>EDATE(Control!$B$4,78)</f>
        <v/>
      </c>
      <c r="CG4" s="29">
        <f>EDATE(Control!$B$4,79)</f>
        <v/>
      </c>
      <c r="CH4" s="29">
        <f>EDATE(Control!$B$4,80)</f>
        <v/>
      </c>
      <c r="CI4" s="29">
        <f>EDATE(Control!$B$4,81)</f>
        <v/>
      </c>
      <c r="CJ4" s="29">
        <f>EDATE(Control!$B$4,82)</f>
        <v/>
      </c>
      <c r="CK4" s="29">
        <f>EDATE(Control!$B$4,83)</f>
        <v/>
      </c>
      <c r="CL4" s="29">
        <f>EDATE(Control!$B$4,84)</f>
        <v/>
      </c>
      <c r="CM4" s="29">
        <f>EDATE(Control!$B$4,85)</f>
        <v/>
      </c>
      <c r="CN4" s="29">
        <f>EDATE(Control!$B$4,86)</f>
        <v/>
      </c>
      <c r="CO4" s="29">
        <f>EDATE(Control!$B$4,87)</f>
        <v/>
      </c>
      <c r="CP4" s="29">
        <f>EDATE(Control!$B$4,88)</f>
        <v/>
      </c>
      <c r="CQ4" s="29">
        <f>EDATE(Control!$B$4,89)</f>
        <v/>
      </c>
      <c r="CR4" s="29">
        <f>EDATE(Control!$B$4,90)</f>
        <v/>
      </c>
      <c r="CS4" s="29">
        <f>EDATE(Control!$B$4,91)</f>
        <v/>
      </c>
      <c r="CT4" s="29">
        <f>EDATE(Control!$B$4,92)</f>
        <v/>
      </c>
      <c r="CU4" s="29">
        <f>EDATE(Control!$B$4,93)</f>
        <v/>
      </c>
      <c r="CV4" s="29">
        <f>EDATE(Control!$B$4,94)</f>
        <v/>
      </c>
      <c r="CW4" s="29">
        <f>EDATE(Control!$B$4,95)</f>
        <v/>
      </c>
      <c r="CX4" s="29">
        <f>EDATE(Control!$B$4,96)</f>
        <v/>
      </c>
      <c r="CY4" s="29">
        <f>EDATE(Control!$B$4,97)</f>
        <v/>
      </c>
      <c r="CZ4" s="29">
        <f>EDATE(Control!$B$4,98)</f>
        <v/>
      </c>
      <c r="DA4" s="29">
        <f>EDATE(Control!$B$4,99)</f>
        <v/>
      </c>
      <c r="DB4" s="29">
        <f>EDATE(Control!$B$4,100)</f>
        <v/>
      </c>
      <c r="DC4" s="29">
        <f>EDATE(Control!$B$4,101)</f>
        <v/>
      </c>
      <c r="DD4" s="29">
        <f>EDATE(Control!$B$4,102)</f>
        <v/>
      </c>
      <c r="DE4" s="29">
        <f>EDATE(Control!$B$4,103)</f>
        <v/>
      </c>
      <c r="DF4" s="29">
        <f>EDATE(Control!$B$4,104)</f>
        <v/>
      </c>
      <c r="DG4" s="29">
        <f>EDATE(Control!$B$4,105)</f>
        <v/>
      </c>
      <c r="DH4" s="29">
        <f>EDATE(Control!$B$4,106)</f>
        <v/>
      </c>
      <c r="DI4" s="29">
        <f>EDATE(Control!$B$4,107)</f>
        <v/>
      </c>
      <c r="DJ4" s="29">
        <f>EDATE(Control!$B$4,108)</f>
        <v/>
      </c>
      <c r="DK4" s="29">
        <f>EDATE(Control!$B$4,109)</f>
        <v/>
      </c>
      <c r="DL4" s="29">
        <f>EDATE(Control!$B$4,110)</f>
        <v/>
      </c>
      <c r="DM4" s="29">
        <f>EDATE(Control!$B$4,111)</f>
        <v/>
      </c>
      <c r="DN4" s="29">
        <f>EDATE(Control!$B$4,112)</f>
        <v/>
      </c>
      <c r="DO4" s="29">
        <f>EDATE(Control!$B$4,113)</f>
        <v/>
      </c>
      <c r="DP4" s="29">
        <f>EDATE(Control!$B$4,114)</f>
        <v/>
      </c>
      <c r="DQ4" s="29">
        <f>EDATE(Control!$B$4,115)</f>
        <v/>
      </c>
      <c r="DR4" s="29">
        <f>EDATE(Control!$B$4,116)</f>
        <v/>
      </c>
      <c r="DS4" s="29">
        <f>EDATE(Control!$B$4,117)</f>
        <v/>
      </c>
      <c r="DT4" s="29">
        <f>EDATE(Control!$B$4,118)</f>
        <v/>
      </c>
      <c r="DU4" s="29">
        <f>EDATE(Control!$B$4,119)</f>
        <v/>
      </c>
    </row>
    <row r="5">
      <c r="A5" t="inlineStr">
        <is>
          <t>Year</t>
        </is>
      </c>
      <c r="F5" s="30">
        <f>(1-1)/12</f>
        <v/>
      </c>
      <c r="G5" s="30">
        <f>(2-1)/12</f>
        <v/>
      </c>
      <c r="H5" s="30">
        <f>(3-1)/12</f>
        <v/>
      </c>
      <c r="I5" s="30">
        <f>(4-1)/12</f>
        <v/>
      </c>
      <c r="J5" s="30">
        <f>(5-1)/12</f>
        <v/>
      </c>
      <c r="K5" s="30">
        <f>(6-1)/12</f>
        <v/>
      </c>
      <c r="L5" s="30">
        <f>(7-1)/12</f>
        <v/>
      </c>
      <c r="M5" s="30">
        <f>(8-1)/12</f>
        <v/>
      </c>
      <c r="N5" s="30">
        <f>(9-1)/12</f>
        <v/>
      </c>
      <c r="O5" s="30">
        <f>(10-1)/12</f>
        <v/>
      </c>
      <c r="P5" s="30">
        <f>(11-1)/12</f>
        <v/>
      </c>
      <c r="Q5" s="30">
        <f>(12-1)/12</f>
        <v/>
      </c>
      <c r="R5" s="30">
        <f>(13-1)/12</f>
        <v/>
      </c>
      <c r="S5" s="30">
        <f>(14-1)/12</f>
        <v/>
      </c>
      <c r="T5" s="30">
        <f>(15-1)/12</f>
        <v/>
      </c>
      <c r="U5" s="30">
        <f>(16-1)/12</f>
        <v/>
      </c>
      <c r="V5" s="30">
        <f>(17-1)/12</f>
        <v/>
      </c>
      <c r="W5" s="30">
        <f>(18-1)/12</f>
        <v/>
      </c>
      <c r="X5" s="30">
        <f>(19-1)/12</f>
        <v/>
      </c>
      <c r="Y5" s="30">
        <f>(20-1)/12</f>
        <v/>
      </c>
      <c r="Z5" s="30">
        <f>(21-1)/12</f>
        <v/>
      </c>
      <c r="AA5" s="30">
        <f>(22-1)/12</f>
        <v/>
      </c>
      <c r="AB5" s="30">
        <f>(23-1)/12</f>
        <v/>
      </c>
      <c r="AC5" s="30">
        <f>(24-1)/12</f>
        <v/>
      </c>
      <c r="AD5" s="30">
        <f>(25-1)/12</f>
        <v/>
      </c>
      <c r="AE5" s="30">
        <f>(26-1)/12</f>
        <v/>
      </c>
      <c r="AF5" s="30">
        <f>(27-1)/12</f>
        <v/>
      </c>
      <c r="AG5" s="30">
        <f>(28-1)/12</f>
        <v/>
      </c>
      <c r="AH5" s="30">
        <f>(29-1)/12</f>
        <v/>
      </c>
      <c r="AI5" s="30">
        <f>(30-1)/12</f>
        <v/>
      </c>
      <c r="AJ5" s="30">
        <f>(31-1)/12</f>
        <v/>
      </c>
      <c r="AK5" s="30">
        <f>(32-1)/12</f>
        <v/>
      </c>
      <c r="AL5" s="30">
        <f>(33-1)/12</f>
        <v/>
      </c>
      <c r="AM5" s="30">
        <f>(34-1)/12</f>
        <v/>
      </c>
      <c r="AN5" s="30">
        <f>(35-1)/12</f>
        <v/>
      </c>
      <c r="AO5" s="30">
        <f>(36-1)/12</f>
        <v/>
      </c>
      <c r="AP5" s="30">
        <f>(37-1)/12</f>
        <v/>
      </c>
      <c r="AQ5" s="30">
        <f>(38-1)/12</f>
        <v/>
      </c>
      <c r="AR5" s="30">
        <f>(39-1)/12</f>
        <v/>
      </c>
      <c r="AS5" s="30">
        <f>(40-1)/12</f>
        <v/>
      </c>
      <c r="AT5" s="30">
        <f>(41-1)/12</f>
        <v/>
      </c>
      <c r="AU5" s="30">
        <f>(42-1)/12</f>
        <v/>
      </c>
      <c r="AV5" s="30">
        <f>(43-1)/12</f>
        <v/>
      </c>
      <c r="AW5" s="30">
        <f>(44-1)/12</f>
        <v/>
      </c>
      <c r="AX5" s="30">
        <f>(45-1)/12</f>
        <v/>
      </c>
      <c r="AY5" s="30">
        <f>(46-1)/12</f>
        <v/>
      </c>
      <c r="AZ5" s="30">
        <f>(47-1)/12</f>
        <v/>
      </c>
      <c r="BA5" s="30">
        <f>(48-1)/12</f>
        <v/>
      </c>
      <c r="BB5" s="30">
        <f>(49-1)/12</f>
        <v/>
      </c>
      <c r="BC5" s="30">
        <f>(50-1)/12</f>
        <v/>
      </c>
      <c r="BD5" s="30">
        <f>(51-1)/12</f>
        <v/>
      </c>
      <c r="BE5" s="30">
        <f>(52-1)/12</f>
        <v/>
      </c>
      <c r="BF5" s="30">
        <f>(53-1)/12</f>
        <v/>
      </c>
      <c r="BG5" s="30">
        <f>(54-1)/12</f>
        <v/>
      </c>
      <c r="BH5" s="30">
        <f>(55-1)/12</f>
        <v/>
      </c>
      <c r="BI5" s="30">
        <f>(56-1)/12</f>
        <v/>
      </c>
      <c r="BJ5" s="30">
        <f>(57-1)/12</f>
        <v/>
      </c>
      <c r="BK5" s="30">
        <f>(58-1)/12</f>
        <v/>
      </c>
      <c r="BL5" s="30">
        <f>(59-1)/12</f>
        <v/>
      </c>
      <c r="BM5" s="30">
        <f>(60-1)/12</f>
        <v/>
      </c>
      <c r="BN5" s="30">
        <f>(61-1)/12</f>
        <v/>
      </c>
      <c r="BO5" s="30">
        <f>(62-1)/12</f>
        <v/>
      </c>
      <c r="BP5" s="30">
        <f>(63-1)/12</f>
        <v/>
      </c>
      <c r="BQ5" s="30">
        <f>(64-1)/12</f>
        <v/>
      </c>
      <c r="BR5" s="30">
        <f>(65-1)/12</f>
        <v/>
      </c>
      <c r="BS5" s="30">
        <f>(66-1)/12</f>
        <v/>
      </c>
      <c r="BT5" s="30">
        <f>(67-1)/12</f>
        <v/>
      </c>
      <c r="BU5" s="30">
        <f>(68-1)/12</f>
        <v/>
      </c>
      <c r="BV5" s="30">
        <f>(69-1)/12</f>
        <v/>
      </c>
      <c r="BW5" s="30">
        <f>(70-1)/12</f>
        <v/>
      </c>
      <c r="BX5" s="30">
        <f>(71-1)/12</f>
        <v/>
      </c>
      <c r="BY5" s="30">
        <f>(72-1)/12</f>
        <v/>
      </c>
      <c r="BZ5" s="30">
        <f>(73-1)/12</f>
        <v/>
      </c>
      <c r="CA5" s="30">
        <f>(74-1)/12</f>
        <v/>
      </c>
      <c r="CB5" s="30">
        <f>(75-1)/12</f>
        <v/>
      </c>
      <c r="CC5" s="30">
        <f>(76-1)/12</f>
        <v/>
      </c>
      <c r="CD5" s="30">
        <f>(77-1)/12</f>
        <v/>
      </c>
      <c r="CE5" s="30">
        <f>(78-1)/12</f>
        <v/>
      </c>
      <c r="CF5" s="30">
        <f>(79-1)/12</f>
        <v/>
      </c>
      <c r="CG5" s="30">
        <f>(80-1)/12</f>
        <v/>
      </c>
      <c r="CH5" s="30">
        <f>(81-1)/12</f>
        <v/>
      </c>
      <c r="CI5" s="30">
        <f>(82-1)/12</f>
        <v/>
      </c>
      <c r="CJ5" s="30">
        <f>(83-1)/12</f>
        <v/>
      </c>
      <c r="CK5" s="30">
        <f>(84-1)/12</f>
        <v/>
      </c>
      <c r="CL5" s="30">
        <f>(85-1)/12</f>
        <v/>
      </c>
      <c r="CM5" s="30">
        <f>(86-1)/12</f>
        <v/>
      </c>
      <c r="CN5" s="30">
        <f>(87-1)/12</f>
        <v/>
      </c>
      <c r="CO5" s="30">
        <f>(88-1)/12</f>
        <v/>
      </c>
      <c r="CP5" s="30">
        <f>(89-1)/12</f>
        <v/>
      </c>
      <c r="CQ5" s="30">
        <f>(90-1)/12</f>
        <v/>
      </c>
      <c r="CR5" s="30">
        <f>(91-1)/12</f>
        <v/>
      </c>
      <c r="CS5" s="30">
        <f>(92-1)/12</f>
        <v/>
      </c>
      <c r="CT5" s="30">
        <f>(93-1)/12</f>
        <v/>
      </c>
      <c r="CU5" s="30">
        <f>(94-1)/12</f>
        <v/>
      </c>
      <c r="CV5" s="30">
        <f>(95-1)/12</f>
        <v/>
      </c>
      <c r="CW5" s="30">
        <f>(96-1)/12</f>
        <v/>
      </c>
      <c r="CX5" s="30">
        <f>(97-1)/12</f>
        <v/>
      </c>
      <c r="CY5" s="30">
        <f>(98-1)/12</f>
        <v/>
      </c>
      <c r="CZ5" s="30">
        <f>(99-1)/12</f>
        <v/>
      </c>
      <c r="DA5" s="30">
        <f>(100-1)/12</f>
        <v/>
      </c>
      <c r="DB5" s="30">
        <f>(101-1)/12</f>
        <v/>
      </c>
      <c r="DC5" s="30">
        <f>(102-1)/12</f>
        <v/>
      </c>
      <c r="DD5" s="30">
        <f>(103-1)/12</f>
        <v/>
      </c>
      <c r="DE5" s="30">
        <f>(104-1)/12</f>
        <v/>
      </c>
      <c r="DF5" s="30">
        <f>(105-1)/12</f>
        <v/>
      </c>
      <c r="DG5" s="30">
        <f>(106-1)/12</f>
        <v/>
      </c>
      <c r="DH5" s="30">
        <f>(107-1)/12</f>
        <v/>
      </c>
      <c r="DI5" s="30">
        <f>(108-1)/12</f>
        <v/>
      </c>
      <c r="DJ5" s="30">
        <f>(109-1)/12</f>
        <v/>
      </c>
      <c r="DK5" s="30">
        <f>(110-1)/12</f>
        <v/>
      </c>
      <c r="DL5" s="30">
        <f>(111-1)/12</f>
        <v/>
      </c>
      <c r="DM5" s="30">
        <f>(112-1)/12</f>
        <v/>
      </c>
      <c r="DN5" s="30">
        <f>(113-1)/12</f>
        <v/>
      </c>
      <c r="DO5" s="30">
        <f>(114-1)/12</f>
        <v/>
      </c>
      <c r="DP5" s="30">
        <f>(115-1)/12</f>
        <v/>
      </c>
      <c r="DQ5" s="30">
        <f>(116-1)/12</f>
        <v/>
      </c>
      <c r="DR5" s="30">
        <f>(117-1)/12</f>
        <v/>
      </c>
      <c r="DS5" s="30">
        <f>(118-1)/12</f>
        <v/>
      </c>
      <c r="DT5" s="30">
        <f>(119-1)/12</f>
        <v/>
      </c>
      <c r="DU5" s="30">
        <f>(120-1)/12</f>
        <v/>
      </c>
    </row>
    <row r="6">
      <c r="A6" t="inlineStr">
        <is>
          <t>FY</t>
        </is>
      </c>
      <c r="F6" s="8">
        <f>YEAR(F4)</f>
        <v/>
      </c>
      <c r="G6" s="8">
        <f>YEAR(G4)</f>
        <v/>
      </c>
      <c r="H6" s="8">
        <f>YEAR(H4)</f>
        <v/>
      </c>
      <c r="I6" s="8">
        <f>YEAR(I4)</f>
        <v/>
      </c>
      <c r="J6" s="8">
        <f>YEAR(J4)</f>
        <v/>
      </c>
      <c r="K6" s="8">
        <f>YEAR(K4)</f>
        <v/>
      </c>
      <c r="L6" s="8">
        <f>YEAR(L4)</f>
        <v/>
      </c>
      <c r="M6" s="8">
        <f>YEAR(M4)</f>
        <v/>
      </c>
      <c r="N6" s="8">
        <f>YEAR(N4)</f>
        <v/>
      </c>
      <c r="O6" s="8">
        <f>YEAR(O4)</f>
        <v/>
      </c>
      <c r="P6" s="8">
        <f>YEAR(P4)</f>
        <v/>
      </c>
      <c r="Q6" s="8">
        <f>YEAR(Q4)</f>
        <v/>
      </c>
      <c r="R6" s="8">
        <f>YEAR(R4)</f>
        <v/>
      </c>
      <c r="S6" s="8">
        <f>YEAR(S4)</f>
        <v/>
      </c>
      <c r="T6" s="8">
        <f>YEAR(T4)</f>
        <v/>
      </c>
      <c r="U6" s="8">
        <f>YEAR(U4)</f>
        <v/>
      </c>
      <c r="V6" s="8">
        <f>YEAR(V4)</f>
        <v/>
      </c>
      <c r="W6" s="8">
        <f>YEAR(W4)</f>
        <v/>
      </c>
      <c r="X6" s="8">
        <f>YEAR(X4)</f>
        <v/>
      </c>
      <c r="Y6" s="8">
        <f>YEAR(Y4)</f>
        <v/>
      </c>
      <c r="Z6" s="8">
        <f>YEAR(Z4)</f>
        <v/>
      </c>
      <c r="AA6" s="8">
        <f>YEAR(AA4)</f>
        <v/>
      </c>
      <c r="AB6" s="8">
        <f>YEAR(AB4)</f>
        <v/>
      </c>
      <c r="AC6" s="8">
        <f>YEAR(AC4)</f>
        <v/>
      </c>
      <c r="AD6" s="8">
        <f>YEAR(AD4)</f>
        <v/>
      </c>
      <c r="AE6" s="8">
        <f>YEAR(AE4)</f>
        <v/>
      </c>
      <c r="AF6" s="8">
        <f>YEAR(AF4)</f>
        <v/>
      </c>
      <c r="AG6" s="8">
        <f>YEAR(AG4)</f>
        <v/>
      </c>
      <c r="AH6" s="8">
        <f>YEAR(AH4)</f>
        <v/>
      </c>
      <c r="AI6" s="8">
        <f>YEAR(AI4)</f>
        <v/>
      </c>
      <c r="AJ6" s="8">
        <f>YEAR(AJ4)</f>
        <v/>
      </c>
      <c r="AK6" s="8">
        <f>YEAR(AK4)</f>
        <v/>
      </c>
      <c r="AL6" s="8">
        <f>YEAR(AL4)</f>
        <v/>
      </c>
      <c r="AM6" s="8">
        <f>YEAR(AM4)</f>
        <v/>
      </c>
      <c r="AN6" s="8">
        <f>YEAR(AN4)</f>
        <v/>
      </c>
      <c r="AO6" s="8">
        <f>YEAR(AO4)</f>
        <v/>
      </c>
      <c r="AP6" s="8">
        <f>YEAR(AP4)</f>
        <v/>
      </c>
      <c r="AQ6" s="8">
        <f>YEAR(AQ4)</f>
        <v/>
      </c>
      <c r="AR6" s="8">
        <f>YEAR(AR4)</f>
        <v/>
      </c>
      <c r="AS6" s="8">
        <f>YEAR(AS4)</f>
        <v/>
      </c>
      <c r="AT6" s="8">
        <f>YEAR(AT4)</f>
        <v/>
      </c>
      <c r="AU6" s="8">
        <f>YEAR(AU4)</f>
        <v/>
      </c>
      <c r="AV6" s="8">
        <f>YEAR(AV4)</f>
        <v/>
      </c>
      <c r="AW6" s="8">
        <f>YEAR(AW4)</f>
        <v/>
      </c>
      <c r="AX6" s="8">
        <f>YEAR(AX4)</f>
        <v/>
      </c>
      <c r="AY6" s="8">
        <f>YEAR(AY4)</f>
        <v/>
      </c>
      <c r="AZ6" s="8">
        <f>YEAR(AZ4)</f>
        <v/>
      </c>
      <c r="BA6" s="8">
        <f>YEAR(BA4)</f>
        <v/>
      </c>
      <c r="BB6" s="8">
        <f>YEAR(BB4)</f>
        <v/>
      </c>
      <c r="BC6" s="8">
        <f>YEAR(BC4)</f>
        <v/>
      </c>
      <c r="BD6" s="8">
        <f>YEAR(BD4)</f>
        <v/>
      </c>
      <c r="BE6" s="8">
        <f>YEAR(BE4)</f>
        <v/>
      </c>
      <c r="BF6" s="8">
        <f>YEAR(BF4)</f>
        <v/>
      </c>
      <c r="BG6" s="8">
        <f>YEAR(BG4)</f>
        <v/>
      </c>
      <c r="BH6" s="8">
        <f>YEAR(BH4)</f>
        <v/>
      </c>
      <c r="BI6" s="8">
        <f>YEAR(BI4)</f>
        <v/>
      </c>
      <c r="BJ6" s="8">
        <f>YEAR(BJ4)</f>
        <v/>
      </c>
      <c r="BK6" s="8">
        <f>YEAR(BK4)</f>
        <v/>
      </c>
      <c r="BL6" s="8">
        <f>YEAR(BL4)</f>
        <v/>
      </c>
      <c r="BM6" s="8">
        <f>YEAR(BM4)</f>
        <v/>
      </c>
      <c r="BN6" s="8">
        <f>YEAR(BN4)</f>
        <v/>
      </c>
      <c r="BO6" s="8">
        <f>YEAR(BO4)</f>
        <v/>
      </c>
      <c r="BP6" s="8">
        <f>YEAR(BP4)</f>
        <v/>
      </c>
      <c r="BQ6" s="8">
        <f>YEAR(BQ4)</f>
        <v/>
      </c>
      <c r="BR6" s="8">
        <f>YEAR(BR4)</f>
        <v/>
      </c>
      <c r="BS6" s="8">
        <f>YEAR(BS4)</f>
        <v/>
      </c>
      <c r="BT6" s="8">
        <f>YEAR(BT4)</f>
        <v/>
      </c>
      <c r="BU6" s="8">
        <f>YEAR(BU4)</f>
        <v/>
      </c>
      <c r="BV6" s="8">
        <f>YEAR(BV4)</f>
        <v/>
      </c>
      <c r="BW6" s="8">
        <f>YEAR(BW4)</f>
        <v/>
      </c>
      <c r="BX6" s="8">
        <f>YEAR(BX4)</f>
        <v/>
      </c>
      <c r="BY6" s="8">
        <f>YEAR(BY4)</f>
        <v/>
      </c>
      <c r="BZ6" s="8">
        <f>YEAR(BZ4)</f>
        <v/>
      </c>
      <c r="CA6" s="8">
        <f>YEAR(CA4)</f>
        <v/>
      </c>
      <c r="CB6" s="8">
        <f>YEAR(CB4)</f>
        <v/>
      </c>
      <c r="CC6" s="8">
        <f>YEAR(CC4)</f>
        <v/>
      </c>
      <c r="CD6" s="8">
        <f>YEAR(CD4)</f>
        <v/>
      </c>
      <c r="CE6" s="8">
        <f>YEAR(CE4)</f>
        <v/>
      </c>
      <c r="CF6" s="8">
        <f>YEAR(CF4)</f>
        <v/>
      </c>
      <c r="CG6" s="8">
        <f>YEAR(CG4)</f>
        <v/>
      </c>
      <c r="CH6" s="8">
        <f>YEAR(CH4)</f>
        <v/>
      </c>
      <c r="CI6" s="8">
        <f>YEAR(CI4)</f>
        <v/>
      </c>
      <c r="CJ6" s="8">
        <f>YEAR(CJ4)</f>
        <v/>
      </c>
      <c r="CK6" s="8">
        <f>YEAR(CK4)</f>
        <v/>
      </c>
      <c r="CL6" s="8">
        <f>YEAR(CL4)</f>
        <v/>
      </c>
      <c r="CM6" s="8">
        <f>YEAR(CM4)</f>
        <v/>
      </c>
      <c r="CN6" s="8">
        <f>YEAR(CN4)</f>
        <v/>
      </c>
      <c r="CO6" s="8">
        <f>YEAR(CO4)</f>
        <v/>
      </c>
      <c r="CP6" s="8">
        <f>YEAR(CP4)</f>
        <v/>
      </c>
      <c r="CQ6" s="8">
        <f>YEAR(CQ4)</f>
        <v/>
      </c>
      <c r="CR6" s="8">
        <f>YEAR(CR4)</f>
        <v/>
      </c>
      <c r="CS6" s="8">
        <f>YEAR(CS4)</f>
        <v/>
      </c>
      <c r="CT6" s="8">
        <f>YEAR(CT4)</f>
        <v/>
      </c>
      <c r="CU6" s="8">
        <f>YEAR(CU4)</f>
        <v/>
      </c>
      <c r="CV6" s="8">
        <f>YEAR(CV4)</f>
        <v/>
      </c>
      <c r="CW6" s="8">
        <f>YEAR(CW4)</f>
        <v/>
      </c>
      <c r="CX6" s="8">
        <f>YEAR(CX4)</f>
        <v/>
      </c>
      <c r="CY6" s="8">
        <f>YEAR(CY4)</f>
        <v/>
      </c>
      <c r="CZ6" s="8">
        <f>YEAR(CZ4)</f>
        <v/>
      </c>
      <c r="DA6" s="8">
        <f>YEAR(DA4)</f>
        <v/>
      </c>
      <c r="DB6" s="8">
        <f>YEAR(DB4)</f>
        <v/>
      </c>
      <c r="DC6" s="8">
        <f>YEAR(DC4)</f>
        <v/>
      </c>
      <c r="DD6" s="8">
        <f>YEAR(DD4)</f>
        <v/>
      </c>
      <c r="DE6" s="8">
        <f>YEAR(DE4)</f>
        <v/>
      </c>
      <c r="DF6" s="8">
        <f>YEAR(DF4)</f>
        <v/>
      </c>
      <c r="DG6" s="8">
        <f>YEAR(DG4)</f>
        <v/>
      </c>
      <c r="DH6" s="8">
        <f>YEAR(DH4)</f>
        <v/>
      </c>
      <c r="DI6" s="8">
        <f>YEAR(DI4)</f>
        <v/>
      </c>
      <c r="DJ6" s="8">
        <f>YEAR(DJ4)</f>
        <v/>
      </c>
      <c r="DK6" s="8">
        <f>YEAR(DK4)</f>
        <v/>
      </c>
      <c r="DL6" s="8">
        <f>YEAR(DL4)</f>
        <v/>
      </c>
      <c r="DM6" s="8">
        <f>YEAR(DM4)</f>
        <v/>
      </c>
      <c r="DN6" s="8">
        <f>YEAR(DN4)</f>
        <v/>
      </c>
      <c r="DO6" s="8">
        <f>YEAR(DO4)</f>
        <v/>
      </c>
      <c r="DP6" s="8">
        <f>YEAR(DP4)</f>
        <v/>
      </c>
      <c r="DQ6" s="8">
        <f>YEAR(DQ4)</f>
        <v/>
      </c>
      <c r="DR6" s="8">
        <f>YEAR(DR4)</f>
        <v/>
      </c>
      <c r="DS6" s="8">
        <f>YEAR(DS4)</f>
        <v/>
      </c>
      <c r="DT6" s="8">
        <f>YEAR(DT4)</f>
        <v/>
      </c>
      <c r="DU6" s="8">
        <f>YEAR(DU4)</f>
        <v/>
      </c>
    </row>
    <row r="7">
      <c r="A7" t="inlineStr">
        <is>
          <t>Quarter</t>
        </is>
      </c>
      <c r="F7" s="8">
        <f>"Q"&amp;ROUNDUP(MONTH(F4)/3,0)</f>
        <v/>
      </c>
      <c r="G7" s="8">
        <f>"Q"&amp;ROUNDUP(MONTH(G4)/3,0)</f>
        <v/>
      </c>
      <c r="H7" s="8">
        <f>"Q"&amp;ROUNDUP(MONTH(H4)/3,0)</f>
        <v/>
      </c>
      <c r="I7" s="8">
        <f>"Q"&amp;ROUNDUP(MONTH(I4)/3,0)</f>
        <v/>
      </c>
      <c r="J7" s="8">
        <f>"Q"&amp;ROUNDUP(MONTH(J4)/3,0)</f>
        <v/>
      </c>
      <c r="K7" s="8">
        <f>"Q"&amp;ROUNDUP(MONTH(K4)/3,0)</f>
        <v/>
      </c>
      <c r="L7" s="8">
        <f>"Q"&amp;ROUNDUP(MONTH(L4)/3,0)</f>
        <v/>
      </c>
      <c r="M7" s="8">
        <f>"Q"&amp;ROUNDUP(MONTH(M4)/3,0)</f>
        <v/>
      </c>
      <c r="N7" s="8">
        <f>"Q"&amp;ROUNDUP(MONTH(N4)/3,0)</f>
        <v/>
      </c>
      <c r="O7" s="8">
        <f>"Q"&amp;ROUNDUP(MONTH(O4)/3,0)</f>
        <v/>
      </c>
      <c r="P7" s="8">
        <f>"Q"&amp;ROUNDUP(MONTH(P4)/3,0)</f>
        <v/>
      </c>
      <c r="Q7" s="8">
        <f>"Q"&amp;ROUNDUP(MONTH(Q4)/3,0)</f>
        <v/>
      </c>
      <c r="R7" s="8">
        <f>"Q"&amp;ROUNDUP(MONTH(R4)/3,0)</f>
        <v/>
      </c>
      <c r="S7" s="8">
        <f>"Q"&amp;ROUNDUP(MONTH(S4)/3,0)</f>
        <v/>
      </c>
      <c r="T7" s="8">
        <f>"Q"&amp;ROUNDUP(MONTH(T4)/3,0)</f>
        <v/>
      </c>
      <c r="U7" s="8">
        <f>"Q"&amp;ROUNDUP(MONTH(U4)/3,0)</f>
        <v/>
      </c>
      <c r="V7" s="8">
        <f>"Q"&amp;ROUNDUP(MONTH(V4)/3,0)</f>
        <v/>
      </c>
      <c r="W7" s="8">
        <f>"Q"&amp;ROUNDUP(MONTH(W4)/3,0)</f>
        <v/>
      </c>
      <c r="X7" s="8">
        <f>"Q"&amp;ROUNDUP(MONTH(X4)/3,0)</f>
        <v/>
      </c>
      <c r="Y7" s="8">
        <f>"Q"&amp;ROUNDUP(MONTH(Y4)/3,0)</f>
        <v/>
      </c>
      <c r="Z7" s="8">
        <f>"Q"&amp;ROUNDUP(MONTH(Z4)/3,0)</f>
        <v/>
      </c>
      <c r="AA7" s="8">
        <f>"Q"&amp;ROUNDUP(MONTH(AA4)/3,0)</f>
        <v/>
      </c>
      <c r="AB7" s="8">
        <f>"Q"&amp;ROUNDUP(MONTH(AB4)/3,0)</f>
        <v/>
      </c>
      <c r="AC7" s="8">
        <f>"Q"&amp;ROUNDUP(MONTH(AC4)/3,0)</f>
        <v/>
      </c>
      <c r="AD7" s="8">
        <f>"Q"&amp;ROUNDUP(MONTH(AD4)/3,0)</f>
        <v/>
      </c>
      <c r="AE7" s="8">
        <f>"Q"&amp;ROUNDUP(MONTH(AE4)/3,0)</f>
        <v/>
      </c>
      <c r="AF7" s="8">
        <f>"Q"&amp;ROUNDUP(MONTH(AF4)/3,0)</f>
        <v/>
      </c>
      <c r="AG7" s="8">
        <f>"Q"&amp;ROUNDUP(MONTH(AG4)/3,0)</f>
        <v/>
      </c>
      <c r="AH7" s="8">
        <f>"Q"&amp;ROUNDUP(MONTH(AH4)/3,0)</f>
        <v/>
      </c>
      <c r="AI7" s="8">
        <f>"Q"&amp;ROUNDUP(MONTH(AI4)/3,0)</f>
        <v/>
      </c>
      <c r="AJ7" s="8">
        <f>"Q"&amp;ROUNDUP(MONTH(AJ4)/3,0)</f>
        <v/>
      </c>
      <c r="AK7" s="8">
        <f>"Q"&amp;ROUNDUP(MONTH(AK4)/3,0)</f>
        <v/>
      </c>
      <c r="AL7" s="8">
        <f>"Q"&amp;ROUNDUP(MONTH(AL4)/3,0)</f>
        <v/>
      </c>
      <c r="AM7" s="8">
        <f>"Q"&amp;ROUNDUP(MONTH(AM4)/3,0)</f>
        <v/>
      </c>
      <c r="AN7" s="8">
        <f>"Q"&amp;ROUNDUP(MONTH(AN4)/3,0)</f>
        <v/>
      </c>
      <c r="AO7" s="8">
        <f>"Q"&amp;ROUNDUP(MONTH(AO4)/3,0)</f>
        <v/>
      </c>
      <c r="AP7" s="8">
        <f>"Q"&amp;ROUNDUP(MONTH(AP4)/3,0)</f>
        <v/>
      </c>
      <c r="AQ7" s="8">
        <f>"Q"&amp;ROUNDUP(MONTH(AQ4)/3,0)</f>
        <v/>
      </c>
      <c r="AR7" s="8">
        <f>"Q"&amp;ROUNDUP(MONTH(AR4)/3,0)</f>
        <v/>
      </c>
      <c r="AS7" s="8">
        <f>"Q"&amp;ROUNDUP(MONTH(AS4)/3,0)</f>
        <v/>
      </c>
      <c r="AT7" s="8">
        <f>"Q"&amp;ROUNDUP(MONTH(AT4)/3,0)</f>
        <v/>
      </c>
      <c r="AU7" s="8">
        <f>"Q"&amp;ROUNDUP(MONTH(AU4)/3,0)</f>
        <v/>
      </c>
      <c r="AV7" s="8">
        <f>"Q"&amp;ROUNDUP(MONTH(AV4)/3,0)</f>
        <v/>
      </c>
      <c r="AW7" s="8">
        <f>"Q"&amp;ROUNDUP(MONTH(AW4)/3,0)</f>
        <v/>
      </c>
      <c r="AX7" s="8">
        <f>"Q"&amp;ROUNDUP(MONTH(AX4)/3,0)</f>
        <v/>
      </c>
      <c r="AY7" s="8">
        <f>"Q"&amp;ROUNDUP(MONTH(AY4)/3,0)</f>
        <v/>
      </c>
      <c r="AZ7" s="8">
        <f>"Q"&amp;ROUNDUP(MONTH(AZ4)/3,0)</f>
        <v/>
      </c>
      <c r="BA7" s="8">
        <f>"Q"&amp;ROUNDUP(MONTH(BA4)/3,0)</f>
        <v/>
      </c>
      <c r="BB7" s="8">
        <f>"Q"&amp;ROUNDUP(MONTH(BB4)/3,0)</f>
        <v/>
      </c>
      <c r="BC7" s="8">
        <f>"Q"&amp;ROUNDUP(MONTH(BC4)/3,0)</f>
        <v/>
      </c>
      <c r="BD7" s="8">
        <f>"Q"&amp;ROUNDUP(MONTH(BD4)/3,0)</f>
        <v/>
      </c>
      <c r="BE7" s="8">
        <f>"Q"&amp;ROUNDUP(MONTH(BE4)/3,0)</f>
        <v/>
      </c>
      <c r="BF7" s="8">
        <f>"Q"&amp;ROUNDUP(MONTH(BF4)/3,0)</f>
        <v/>
      </c>
      <c r="BG7" s="8">
        <f>"Q"&amp;ROUNDUP(MONTH(BG4)/3,0)</f>
        <v/>
      </c>
      <c r="BH7" s="8">
        <f>"Q"&amp;ROUNDUP(MONTH(BH4)/3,0)</f>
        <v/>
      </c>
      <c r="BI7" s="8">
        <f>"Q"&amp;ROUNDUP(MONTH(BI4)/3,0)</f>
        <v/>
      </c>
      <c r="BJ7" s="8">
        <f>"Q"&amp;ROUNDUP(MONTH(BJ4)/3,0)</f>
        <v/>
      </c>
      <c r="BK7" s="8">
        <f>"Q"&amp;ROUNDUP(MONTH(BK4)/3,0)</f>
        <v/>
      </c>
      <c r="BL7" s="8">
        <f>"Q"&amp;ROUNDUP(MONTH(BL4)/3,0)</f>
        <v/>
      </c>
      <c r="BM7" s="8">
        <f>"Q"&amp;ROUNDUP(MONTH(BM4)/3,0)</f>
        <v/>
      </c>
      <c r="BN7" s="8">
        <f>"Q"&amp;ROUNDUP(MONTH(BN4)/3,0)</f>
        <v/>
      </c>
      <c r="BO7" s="8">
        <f>"Q"&amp;ROUNDUP(MONTH(BO4)/3,0)</f>
        <v/>
      </c>
      <c r="BP7" s="8">
        <f>"Q"&amp;ROUNDUP(MONTH(BP4)/3,0)</f>
        <v/>
      </c>
      <c r="BQ7" s="8">
        <f>"Q"&amp;ROUNDUP(MONTH(BQ4)/3,0)</f>
        <v/>
      </c>
      <c r="BR7" s="8">
        <f>"Q"&amp;ROUNDUP(MONTH(BR4)/3,0)</f>
        <v/>
      </c>
      <c r="BS7" s="8">
        <f>"Q"&amp;ROUNDUP(MONTH(BS4)/3,0)</f>
        <v/>
      </c>
      <c r="BT7" s="8">
        <f>"Q"&amp;ROUNDUP(MONTH(BT4)/3,0)</f>
        <v/>
      </c>
      <c r="BU7" s="8">
        <f>"Q"&amp;ROUNDUP(MONTH(BU4)/3,0)</f>
        <v/>
      </c>
      <c r="BV7" s="8">
        <f>"Q"&amp;ROUNDUP(MONTH(BV4)/3,0)</f>
        <v/>
      </c>
      <c r="BW7" s="8">
        <f>"Q"&amp;ROUNDUP(MONTH(BW4)/3,0)</f>
        <v/>
      </c>
      <c r="BX7" s="8">
        <f>"Q"&amp;ROUNDUP(MONTH(BX4)/3,0)</f>
        <v/>
      </c>
      <c r="BY7" s="8">
        <f>"Q"&amp;ROUNDUP(MONTH(BY4)/3,0)</f>
        <v/>
      </c>
      <c r="BZ7" s="8">
        <f>"Q"&amp;ROUNDUP(MONTH(BZ4)/3,0)</f>
        <v/>
      </c>
      <c r="CA7" s="8">
        <f>"Q"&amp;ROUNDUP(MONTH(CA4)/3,0)</f>
        <v/>
      </c>
      <c r="CB7" s="8">
        <f>"Q"&amp;ROUNDUP(MONTH(CB4)/3,0)</f>
        <v/>
      </c>
      <c r="CC7" s="8">
        <f>"Q"&amp;ROUNDUP(MONTH(CC4)/3,0)</f>
        <v/>
      </c>
      <c r="CD7" s="8">
        <f>"Q"&amp;ROUNDUP(MONTH(CD4)/3,0)</f>
        <v/>
      </c>
      <c r="CE7" s="8">
        <f>"Q"&amp;ROUNDUP(MONTH(CE4)/3,0)</f>
        <v/>
      </c>
      <c r="CF7" s="8">
        <f>"Q"&amp;ROUNDUP(MONTH(CF4)/3,0)</f>
        <v/>
      </c>
      <c r="CG7" s="8">
        <f>"Q"&amp;ROUNDUP(MONTH(CG4)/3,0)</f>
        <v/>
      </c>
      <c r="CH7" s="8">
        <f>"Q"&amp;ROUNDUP(MONTH(CH4)/3,0)</f>
        <v/>
      </c>
      <c r="CI7" s="8">
        <f>"Q"&amp;ROUNDUP(MONTH(CI4)/3,0)</f>
        <v/>
      </c>
      <c r="CJ7" s="8">
        <f>"Q"&amp;ROUNDUP(MONTH(CJ4)/3,0)</f>
        <v/>
      </c>
      <c r="CK7" s="8">
        <f>"Q"&amp;ROUNDUP(MONTH(CK4)/3,0)</f>
        <v/>
      </c>
      <c r="CL7" s="8">
        <f>"Q"&amp;ROUNDUP(MONTH(CL4)/3,0)</f>
        <v/>
      </c>
      <c r="CM7" s="8">
        <f>"Q"&amp;ROUNDUP(MONTH(CM4)/3,0)</f>
        <v/>
      </c>
      <c r="CN7" s="8">
        <f>"Q"&amp;ROUNDUP(MONTH(CN4)/3,0)</f>
        <v/>
      </c>
      <c r="CO7" s="8">
        <f>"Q"&amp;ROUNDUP(MONTH(CO4)/3,0)</f>
        <v/>
      </c>
      <c r="CP7" s="8">
        <f>"Q"&amp;ROUNDUP(MONTH(CP4)/3,0)</f>
        <v/>
      </c>
      <c r="CQ7" s="8">
        <f>"Q"&amp;ROUNDUP(MONTH(CQ4)/3,0)</f>
        <v/>
      </c>
      <c r="CR7" s="8">
        <f>"Q"&amp;ROUNDUP(MONTH(CR4)/3,0)</f>
        <v/>
      </c>
      <c r="CS7" s="8">
        <f>"Q"&amp;ROUNDUP(MONTH(CS4)/3,0)</f>
        <v/>
      </c>
      <c r="CT7" s="8">
        <f>"Q"&amp;ROUNDUP(MONTH(CT4)/3,0)</f>
        <v/>
      </c>
      <c r="CU7" s="8">
        <f>"Q"&amp;ROUNDUP(MONTH(CU4)/3,0)</f>
        <v/>
      </c>
      <c r="CV7" s="8">
        <f>"Q"&amp;ROUNDUP(MONTH(CV4)/3,0)</f>
        <v/>
      </c>
      <c r="CW7" s="8">
        <f>"Q"&amp;ROUNDUP(MONTH(CW4)/3,0)</f>
        <v/>
      </c>
      <c r="CX7" s="8">
        <f>"Q"&amp;ROUNDUP(MONTH(CX4)/3,0)</f>
        <v/>
      </c>
      <c r="CY7" s="8">
        <f>"Q"&amp;ROUNDUP(MONTH(CY4)/3,0)</f>
        <v/>
      </c>
      <c r="CZ7" s="8">
        <f>"Q"&amp;ROUNDUP(MONTH(CZ4)/3,0)</f>
        <v/>
      </c>
      <c r="DA7" s="8">
        <f>"Q"&amp;ROUNDUP(MONTH(DA4)/3,0)</f>
        <v/>
      </c>
      <c r="DB7" s="8">
        <f>"Q"&amp;ROUNDUP(MONTH(DB4)/3,0)</f>
        <v/>
      </c>
      <c r="DC7" s="8">
        <f>"Q"&amp;ROUNDUP(MONTH(DC4)/3,0)</f>
        <v/>
      </c>
      <c r="DD7" s="8">
        <f>"Q"&amp;ROUNDUP(MONTH(DD4)/3,0)</f>
        <v/>
      </c>
      <c r="DE7" s="8">
        <f>"Q"&amp;ROUNDUP(MONTH(DE4)/3,0)</f>
        <v/>
      </c>
      <c r="DF7" s="8">
        <f>"Q"&amp;ROUNDUP(MONTH(DF4)/3,0)</f>
        <v/>
      </c>
      <c r="DG7" s="8">
        <f>"Q"&amp;ROUNDUP(MONTH(DG4)/3,0)</f>
        <v/>
      </c>
      <c r="DH7" s="8">
        <f>"Q"&amp;ROUNDUP(MONTH(DH4)/3,0)</f>
        <v/>
      </c>
      <c r="DI7" s="8">
        <f>"Q"&amp;ROUNDUP(MONTH(DI4)/3,0)</f>
        <v/>
      </c>
      <c r="DJ7" s="8">
        <f>"Q"&amp;ROUNDUP(MONTH(DJ4)/3,0)</f>
        <v/>
      </c>
      <c r="DK7" s="8">
        <f>"Q"&amp;ROUNDUP(MONTH(DK4)/3,0)</f>
        <v/>
      </c>
      <c r="DL7" s="8">
        <f>"Q"&amp;ROUNDUP(MONTH(DL4)/3,0)</f>
        <v/>
      </c>
      <c r="DM7" s="8">
        <f>"Q"&amp;ROUNDUP(MONTH(DM4)/3,0)</f>
        <v/>
      </c>
      <c r="DN7" s="8">
        <f>"Q"&amp;ROUNDUP(MONTH(DN4)/3,0)</f>
        <v/>
      </c>
      <c r="DO7" s="8">
        <f>"Q"&amp;ROUNDUP(MONTH(DO4)/3,0)</f>
        <v/>
      </c>
      <c r="DP7" s="8">
        <f>"Q"&amp;ROUNDUP(MONTH(DP4)/3,0)</f>
        <v/>
      </c>
      <c r="DQ7" s="8">
        <f>"Q"&amp;ROUNDUP(MONTH(DQ4)/3,0)</f>
        <v/>
      </c>
      <c r="DR7" s="8">
        <f>"Q"&amp;ROUNDUP(MONTH(DR4)/3,0)</f>
        <v/>
      </c>
      <c r="DS7" s="8">
        <f>"Q"&amp;ROUNDUP(MONTH(DS4)/3,0)</f>
        <v/>
      </c>
      <c r="DT7" s="8">
        <f>"Q"&amp;ROUNDUP(MONTH(DT4)/3,0)</f>
        <v/>
      </c>
      <c r="DU7" s="8">
        <f>"Q"&amp;ROUNDUP(MONTH(DU4)/3,0)</f>
        <v/>
      </c>
    </row>
    <row r="10">
      <c r="A10" s="11" t="inlineStr">
        <is>
          <t>Gross Price ($/HL)</t>
        </is>
      </c>
    </row>
    <row r="11">
      <c r="A11" s="12" t="inlineStr">
        <is>
          <t>Brand-Pack-Channel</t>
        </is>
      </c>
      <c r="B11" s="12" t="inlineStr">
        <is>
          <t>Year 1 $/HL</t>
        </is>
      </c>
      <c r="C11" s="12" t="inlineStr">
        <is>
          <t>Esc % Base</t>
        </is>
      </c>
      <c r="D11" s="12" t="inlineStr">
        <is>
          <t>Upside</t>
        </is>
      </c>
      <c r="E11" s="12" t="inlineStr">
        <is>
          <t>Downside</t>
        </is>
      </c>
    </row>
    <row r="12">
      <c r="A12" t="inlineStr">
        <is>
          <t>SkyBrew-Bottles-OnTrade</t>
        </is>
      </c>
      <c r="B12" s="37" t="n">
        <v>180</v>
      </c>
      <c r="C12" s="22" t="n">
        <v>0.025</v>
      </c>
      <c r="D12" s="22" t="n">
        <v>0.035</v>
      </c>
      <c r="E12" s="22" t="n">
        <v>0.015</v>
      </c>
    </row>
    <row r="13">
      <c r="A13" t="inlineStr">
        <is>
          <t>SkyBrew-Bottles-OffTrade</t>
        </is>
      </c>
      <c r="B13" s="37" t="n">
        <v>160</v>
      </c>
      <c r="C13" s="22" t="n">
        <v>0.025</v>
      </c>
      <c r="D13" s="22" t="n">
        <v>0.035</v>
      </c>
      <c r="E13" s="22" t="n">
        <v>0.015</v>
      </c>
    </row>
    <row r="14">
      <c r="A14" t="inlineStr">
        <is>
          <t>SkyBrew-Cans-OnTrade</t>
        </is>
      </c>
      <c r="B14" s="37" t="n">
        <v>175</v>
      </c>
      <c r="C14" s="22" t="n">
        <v>0.025</v>
      </c>
      <c r="D14" s="22" t="n">
        <v>0.035</v>
      </c>
      <c r="E14" s="22" t="n">
        <v>0.015</v>
      </c>
    </row>
    <row r="15">
      <c r="A15" t="inlineStr">
        <is>
          <t>SkyBrew-Cans-OffTrade</t>
        </is>
      </c>
      <c r="B15" s="37" t="n">
        <v>155</v>
      </c>
      <c r="C15" s="22" t="n">
        <v>0.025</v>
      </c>
      <c r="D15" s="22" t="n">
        <v>0.035</v>
      </c>
      <c r="E15" s="22" t="n">
        <v>0.015</v>
      </c>
    </row>
    <row r="16">
      <c r="A16" t="inlineStr">
        <is>
          <t>SkyBrew-Kegs-OnTrade</t>
        </is>
      </c>
      <c r="B16" s="37" t="n">
        <v>170</v>
      </c>
      <c r="C16" s="22" t="n">
        <v>0.025</v>
      </c>
      <c r="D16" s="22" t="n">
        <v>0.035</v>
      </c>
      <c r="E16" s="22" t="n">
        <v>0.015</v>
      </c>
    </row>
    <row r="17">
      <c r="A17" t="inlineStr">
        <is>
          <t>AllDark-Bottles-OnTrade</t>
        </is>
      </c>
      <c r="B17" s="37" t="n">
        <v>200</v>
      </c>
      <c r="C17" s="22" t="n">
        <v>0.025</v>
      </c>
      <c r="D17" s="22" t="n">
        <v>0.035</v>
      </c>
      <c r="E17" s="22" t="n">
        <v>0.015</v>
      </c>
    </row>
    <row r="18">
      <c r="A18" t="inlineStr">
        <is>
          <t>AllDark-Bottles-OffTrade</t>
        </is>
      </c>
      <c r="B18" s="37" t="n">
        <v>180</v>
      </c>
      <c r="C18" s="22" t="n">
        <v>0.025</v>
      </c>
      <c r="D18" s="22" t="n">
        <v>0.035</v>
      </c>
      <c r="E18" s="22" t="n">
        <v>0.015</v>
      </c>
    </row>
    <row r="19">
      <c r="A19" t="inlineStr">
        <is>
          <t>AllDark-Cans-OnTrade</t>
        </is>
      </c>
      <c r="B19" s="37" t="n">
        <v>195</v>
      </c>
      <c r="C19" s="22" t="n">
        <v>0.025</v>
      </c>
      <c r="D19" s="22" t="n">
        <v>0.035</v>
      </c>
      <c r="E19" s="22" t="n">
        <v>0.015</v>
      </c>
    </row>
    <row r="20">
      <c r="A20" t="inlineStr">
        <is>
          <t>AllDark-Cans-OffTrade</t>
        </is>
      </c>
      <c r="B20" s="37" t="n">
        <v>175</v>
      </c>
      <c r="C20" s="22" t="n">
        <v>0.025</v>
      </c>
      <c r="D20" s="22" t="n">
        <v>0.035</v>
      </c>
      <c r="E20" s="22" t="n">
        <v>0.015</v>
      </c>
    </row>
    <row r="21">
      <c r="A21" t="inlineStr">
        <is>
          <t>AllDark-Kegs-OnTrade</t>
        </is>
      </c>
      <c r="B21" s="37" t="n">
        <v>190</v>
      </c>
      <c r="C21" s="22" t="n">
        <v>0.025</v>
      </c>
      <c r="D21" s="22" t="n">
        <v>0.035</v>
      </c>
      <c r="E21" s="22" t="n">
        <v>0.015</v>
      </c>
    </row>
    <row r="22">
      <c r="A22" t="inlineStr">
        <is>
          <t>GoldCoast-Bottles-OnTrade</t>
        </is>
      </c>
      <c r="B22" s="37" t="n">
        <v>210</v>
      </c>
      <c r="C22" s="22" t="n">
        <v>0.025</v>
      </c>
      <c r="D22" s="22" t="n">
        <v>0.035</v>
      </c>
      <c r="E22" s="22" t="n">
        <v>0.015</v>
      </c>
    </row>
    <row r="23">
      <c r="A23" t="inlineStr">
        <is>
          <t>GoldCoast-Bottles-OffTrade</t>
        </is>
      </c>
      <c r="B23" s="37" t="n">
        <v>190</v>
      </c>
      <c r="C23" s="22" t="n">
        <v>0.025</v>
      </c>
      <c r="D23" s="22" t="n">
        <v>0.035</v>
      </c>
      <c r="E23" s="22" t="n">
        <v>0.015</v>
      </c>
    </row>
    <row r="24">
      <c r="A24" t="inlineStr">
        <is>
          <t>GoldCoast-Cans-OnTrade</t>
        </is>
      </c>
      <c r="B24" s="37" t="n">
        <v>205</v>
      </c>
      <c r="C24" s="22" t="n">
        <v>0.025</v>
      </c>
      <c r="D24" s="22" t="n">
        <v>0.035</v>
      </c>
      <c r="E24" s="22" t="n">
        <v>0.015</v>
      </c>
    </row>
    <row r="25">
      <c r="A25" t="inlineStr">
        <is>
          <t>GoldCoast-Cans-OffTrade</t>
        </is>
      </c>
      <c r="B25" s="37" t="n">
        <v>185</v>
      </c>
      <c r="C25" s="22" t="n">
        <v>0.025</v>
      </c>
      <c r="D25" s="22" t="n">
        <v>0.035</v>
      </c>
      <c r="E25" s="22" t="n">
        <v>0.015</v>
      </c>
    </row>
    <row r="26">
      <c r="A26" t="inlineStr">
        <is>
          <t>GoldCoast-Kegs-OnTrade</t>
        </is>
      </c>
      <c r="B26" s="37" t="n">
        <v>200</v>
      </c>
      <c r="C26" s="22" t="n">
        <v>0.025</v>
      </c>
      <c r="D26" s="22" t="n">
        <v>0.035</v>
      </c>
      <c r="E26" s="22" t="n">
        <v>0.015</v>
      </c>
    </row>
    <row r="27">
      <c r="A27" t="inlineStr">
        <is>
          <t>CityLight-Bottles-OnTrade</t>
        </is>
      </c>
      <c r="B27" s="37" t="n">
        <v>160</v>
      </c>
      <c r="C27" s="22" t="n">
        <v>0.025</v>
      </c>
      <c r="D27" s="22" t="n">
        <v>0.035</v>
      </c>
      <c r="E27" s="22" t="n">
        <v>0.015</v>
      </c>
    </row>
    <row r="28">
      <c r="A28" t="inlineStr">
        <is>
          <t>CityLight-Bottles-OffTrade</t>
        </is>
      </c>
      <c r="B28" s="37" t="n">
        <v>140</v>
      </c>
      <c r="C28" s="22" t="n">
        <v>0.025</v>
      </c>
      <c r="D28" s="22" t="n">
        <v>0.035</v>
      </c>
      <c r="E28" s="22" t="n">
        <v>0.015</v>
      </c>
    </row>
    <row r="29">
      <c r="A29" t="inlineStr">
        <is>
          <t>CityLight-Cans-OnTrade</t>
        </is>
      </c>
      <c r="B29" s="37" t="n">
        <v>155</v>
      </c>
      <c r="C29" s="22" t="n">
        <v>0.025</v>
      </c>
      <c r="D29" s="22" t="n">
        <v>0.035</v>
      </c>
      <c r="E29" s="22" t="n">
        <v>0.015</v>
      </c>
    </row>
    <row r="30">
      <c r="A30" t="inlineStr">
        <is>
          <t>CityLight-Cans-OffTrade</t>
        </is>
      </c>
      <c r="B30" s="37" t="n">
        <v>135</v>
      </c>
      <c r="C30" s="22" t="n">
        <v>0.025</v>
      </c>
      <c r="D30" s="22" t="n">
        <v>0.035</v>
      </c>
      <c r="E30" s="22" t="n">
        <v>0.015</v>
      </c>
    </row>
    <row r="31">
      <c r="A31" t="inlineStr">
        <is>
          <t>CityLight-Kegs-OnTrade</t>
        </is>
      </c>
      <c r="B31" s="37" t="n">
        <v>150</v>
      </c>
      <c r="C31" s="22" t="n">
        <v>0.025</v>
      </c>
      <c r="D31" s="22" t="n">
        <v>0.035</v>
      </c>
      <c r="E31" s="22" t="n">
        <v>0.015</v>
      </c>
    </row>
    <row r="32">
      <c r="A32" t="inlineStr">
        <is>
          <t>HarborIPA-Bottles-OnTrade</t>
        </is>
      </c>
      <c r="B32" s="37" t="n">
        <v>240</v>
      </c>
      <c r="C32" s="22" t="n">
        <v>0.025</v>
      </c>
      <c r="D32" s="22" t="n">
        <v>0.035</v>
      </c>
      <c r="E32" s="22" t="n">
        <v>0.015</v>
      </c>
    </row>
    <row r="33">
      <c r="A33" t="inlineStr">
        <is>
          <t>HarborIPA-Bottles-OffTrade</t>
        </is>
      </c>
      <c r="B33" s="37" t="n">
        <v>220</v>
      </c>
      <c r="C33" s="22" t="n">
        <v>0.025</v>
      </c>
      <c r="D33" s="22" t="n">
        <v>0.035</v>
      </c>
      <c r="E33" s="22" t="n">
        <v>0.015</v>
      </c>
    </row>
    <row r="34">
      <c r="A34" t="inlineStr">
        <is>
          <t>HarborIPA-Cans-OnTrade</t>
        </is>
      </c>
      <c r="B34" s="37" t="n">
        <v>235</v>
      </c>
      <c r="C34" s="22" t="n">
        <v>0.025</v>
      </c>
      <c r="D34" s="22" t="n">
        <v>0.035</v>
      </c>
      <c r="E34" s="22" t="n">
        <v>0.015</v>
      </c>
    </row>
    <row r="35">
      <c r="A35" t="inlineStr">
        <is>
          <t>HarborIPA-Cans-OffTrade</t>
        </is>
      </c>
      <c r="B35" s="37" t="n">
        <v>215</v>
      </c>
      <c r="C35" s="22" t="n">
        <v>0.025</v>
      </c>
      <c r="D35" s="22" t="n">
        <v>0.035</v>
      </c>
      <c r="E35" s="22" t="n">
        <v>0.015</v>
      </c>
    </row>
    <row r="36">
      <c r="A36" t="inlineStr">
        <is>
          <t>HarborIPA-Kegs-OnTrade</t>
        </is>
      </c>
      <c r="B36" s="37" t="n">
        <v>230</v>
      </c>
      <c r="C36" s="22" t="n">
        <v>0.025</v>
      </c>
      <c r="D36" s="22" t="n">
        <v>0.035</v>
      </c>
      <c r="E36" s="22" t="n">
        <v>0.015</v>
      </c>
    </row>
    <row r="39">
      <c r="A39" s="11" t="inlineStr">
        <is>
          <t>Trade Discounts &amp; Promos</t>
        </is>
      </c>
    </row>
    <row r="40">
      <c r="A40" s="12" t="inlineStr">
        <is>
          <t>Channel</t>
        </is>
      </c>
      <c r="B40" s="12" t="inlineStr">
        <is>
          <t>Trade Discount %</t>
        </is>
      </c>
      <c r="C40" s="12" t="inlineStr">
        <is>
          <t>Promo %</t>
        </is>
      </c>
      <c r="D40" s="12" t="inlineStr">
        <is>
          <t>Total Deduction %</t>
        </is>
      </c>
    </row>
    <row r="41">
      <c r="A41" t="inlineStr">
        <is>
          <t>OnTrade</t>
        </is>
      </c>
      <c r="B41" s="38" t="n">
        <v>0.15</v>
      </c>
      <c r="C41" s="38" t="n">
        <v>0.05</v>
      </c>
      <c r="D41" s="39">
        <f>B41+C41</f>
        <v/>
      </c>
    </row>
    <row r="42">
      <c r="A42" t="inlineStr">
        <is>
          <t>OffTrade</t>
        </is>
      </c>
      <c r="B42" s="38" t="n">
        <v>0.2</v>
      </c>
      <c r="C42" s="38" t="n">
        <v>0.06</v>
      </c>
      <c r="D42" s="39">
        <f>B42+C42</f>
        <v/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2025-11-15T12:57:05Z</dcterms:created>
  <dcterms:modified xsi:type="dcterms:W3CDTF">2025-11-15T12:57:22Z</dcterms:modified>
</cp:coreProperties>
</file>