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Workings" sheetId="2" state="visible" r:id="rId2"/>
    <sheet name="Income Statement" sheetId="3" state="visible" r:id="rId3"/>
    <sheet name="Balance Sheet" sheetId="4" state="visible" r:id="rId4"/>
    <sheet name="Cash Flow Stat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  <font>
      <b val="1"/>
      <color rgb="00FFFFFF"/>
      <sz val="11"/>
    </font>
    <font>
      <i val="1"/>
    </font>
    <font>
      <b val="1"/>
      <sz val="12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DE9D9"/>
        <bgColor rgb="00FDE9D9"/>
      </patternFill>
    </fill>
    <fill>
      <patternFill patternType="solid">
        <fgColor rgb="00B8CCE4"/>
        <bgColor rgb="00B8CCE4"/>
      </patternFill>
    </fill>
    <fill>
      <patternFill patternType="solid">
        <fgColor rgb="00DCE6F1"/>
        <bgColor rgb="00DCE6F1"/>
      </patternFill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0" fillId="5" borderId="0" pivotButton="0" quotePrefix="0" xfId="0"/>
    <xf numFmtId="0" fontId="6" fillId="4" borderId="0" pivotButton="0" quotePrefix="0" xfId="0"/>
    <xf numFmtId="0" fontId="7" fillId="2" borderId="0" pivotButton="0" quotePrefix="0" xfId="0"/>
    <xf numFmtId="0" fontId="3" fillId="4" borderId="0" pivotButton="0" quotePrefix="0" xfId="0"/>
    <xf numFmtId="0" fontId="2" fillId="6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FINANCIAL MODEL INPUTS</t>
        </is>
      </c>
    </row>
    <row r="3">
      <c r="A3" s="2" t="inlineStr">
        <is>
          <t>Timeline</t>
        </is>
      </c>
      <c r="B3" s="2" t="inlineStr">
        <is>
          <t>Unit</t>
        </is>
      </c>
      <c r="C3" s="2" t="inlineStr">
        <is>
          <t>Jan-25</t>
        </is>
      </c>
      <c r="D3" s="2" t="inlineStr">
        <is>
          <t>Feb-25</t>
        </is>
      </c>
      <c r="E3" s="2" t="inlineStr">
        <is>
          <t>Mar-25</t>
        </is>
      </c>
      <c r="F3" s="2" t="inlineStr">
        <is>
          <t>Apr-25</t>
        </is>
      </c>
      <c r="G3" s="2" t="inlineStr">
        <is>
          <t>May-25</t>
        </is>
      </c>
      <c r="H3" s="2" t="inlineStr">
        <is>
          <t>Jun-25</t>
        </is>
      </c>
      <c r="I3" s="2" t="inlineStr">
        <is>
          <t>Jul-25</t>
        </is>
      </c>
      <c r="J3" s="2" t="inlineStr">
        <is>
          <t>Aug-25</t>
        </is>
      </c>
      <c r="K3" s="2" t="inlineStr">
        <is>
          <t>Sep-25</t>
        </is>
      </c>
      <c r="L3" s="2" t="inlineStr">
        <is>
          <t>Oct-25</t>
        </is>
      </c>
      <c r="M3" s="2" t="inlineStr">
        <is>
          <t>Nov-25</t>
        </is>
      </c>
      <c r="N3" s="2" t="inlineStr">
        <is>
          <t>Dec-25</t>
        </is>
      </c>
    </row>
    <row r="5">
      <c r="A5" s="3" t="inlineStr">
        <is>
          <t>REVENUE ASSUMPTIONS</t>
        </is>
      </c>
    </row>
    <row r="6">
      <c r="A6" t="inlineStr">
        <is>
          <t>Monthly Revenue Growth</t>
        </is>
      </c>
      <c r="B6" t="inlineStr">
        <is>
          <t>%</t>
        </is>
      </c>
      <c r="C6" s="4" t="n">
        <v>0.05</v>
      </c>
    </row>
    <row r="7">
      <c r="A7" t="inlineStr">
        <is>
          <t>Base Revenue (Month 1)</t>
        </is>
      </c>
      <c r="B7" t="inlineStr">
        <is>
          <t>$</t>
        </is>
      </c>
      <c r="C7" s="4" t="n">
        <v>100000</v>
      </c>
    </row>
    <row r="8">
      <c r="A8" t="inlineStr">
        <is>
          <t>Revenue</t>
        </is>
      </c>
      <c r="B8" t="inlineStr">
        <is>
          <t>$</t>
        </is>
      </c>
      <c r="C8">
        <f>C7</f>
        <v/>
      </c>
      <c r="D8">
        <f>C8*(1+$C$6)</f>
        <v/>
      </c>
      <c r="E8">
        <f>D8*(1+$C$6)</f>
        <v/>
      </c>
      <c r="F8">
        <f>E8*(1+$C$6)</f>
        <v/>
      </c>
      <c r="G8">
        <f>F8*(1+$C$6)</f>
        <v/>
      </c>
      <c r="H8">
        <f>G8*(1+$C$6)</f>
        <v/>
      </c>
      <c r="I8">
        <f>H8*(1+$C$6)</f>
        <v/>
      </c>
      <c r="J8">
        <f>I8*(1+$C$6)</f>
        <v/>
      </c>
      <c r="K8">
        <f>J8*(1+$C$6)</f>
        <v/>
      </c>
      <c r="L8">
        <f>K8*(1+$C$6)</f>
        <v/>
      </c>
      <c r="M8">
        <f>L8*(1+$C$6)</f>
        <v/>
      </c>
      <c r="N8">
        <f>M8*(1+$C$6)</f>
        <v/>
      </c>
    </row>
    <row r="10">
      <c r="A10" s="3" t="inlineStr">
        <is>
          <t>COST OF GOODS SOLD</t>
        </is>
      </c>
    </row>
    <row r="11">
      <c r="A11" t="inlineStr">
        <is>
          <t>COGS % of Revenue</t>
        </is>
      </c>
      <c r="B11" t="inlineStr">
        <is>
          <t>%</t>
        </is>
      </c>
      <c r="C11" s="4" t="n">
        <v>0.4</v>
      </c>
    </row>
    <row r="13">
      <c r="A13" s="3" t="inlineStr">
        <is>
          <t>OPERATING EXPENSES</t>
        </is>
      </c>
    </row>
    <row r="14">
      <c r="A14" t="inlineStr">
        <is>
          <t>Salaries &amp; Wages</t>
        </is>
      </c>
      <c r="B14" t="inlineStr">
        <is>
          <t>$</t>
        </is>
      </c>
      <c r="C14" s="4" t="n">
        <v>25000</v>
      </c>
    </row>
    <row r="15">
      <c r="A15" t="inlineStr">
        <is>
          <t>Rent</t>
        </is>
      </c>
      <c r="B15" t="inlineStr">
        <is>
          <t>$</t>
        </is>
      </c>
      <c r="C15" s="4" t="n">
        <v>5000</v>
      </c>
    </row>
    <row r="16">
      <c r="A16" t="inlineStr">
        <is>
          <t>Marketing</t>
        </is>
      </c>
      <c r="B16" t="inlineStr">
        <is>
          <t>$</t>
        </is>
      </c>
      <c r="C16" s="4" t="n">
        <v>8000</v>
      </c>
    </row>
    <row r="17">
      <c r="A17" t="inlineStr">
        <is>
          <t>Other Operating Expenses</t>
        </is>
      </c>
      <c r="B17" t="inlineStr">
        <is>
          <t>$</t>
        </is>
      </c>
      <c r="C17" s="4" t="n">
        <v>3000</v>
      </c>
    </row>
    <row r="19">
      <c r="A19" s="3" t="inlineStr">
        <is>
          <t>WORKING CAPITAL</t>
        </is>
      </c>
    </row>
    <row r="20">
      <c r="A20" t="inlineStr">
        <is>
          <t>AR Days</t>
        </is>
      </c>
      <c r="B20" t="inlineStr">
        <is>
          <t>days</t>
        </is>
      </c>
      <c r="C20" s="4" t="n">
        <v>45</v>
      </c>
    </row>
    <row r="21">
      <c r="A21" t="inlineStr">
        <is>
          <t>Inventory Days</t>
        </is>
      </c>
      <c r="B21" t="inlineStr">
        <is>
          <t>days</t>
        </is>
      </c>
      <c r="C21" s="4" t="n">
        <v>30</v>
      </c>
    </row>
    <row r="22">
      <c r="A22" t="inlineStr">
        <is>
          <t>AP Days</t>
        </is>
      </c>
      <c r="B22" t="inlineStr">
        <is>
          <t>days</t>
        </is>
      </c>
      <c r="C22" s="4" t="n">
        <v>30</v>
      </c>
    </row>
    <row r="23">
      <c r="A23" t="inlineStr">
        <is>
          <t>Prepayments (months)</t>
        </is>
      </c>
      <c r="B23" t="inlineStr">
        <is>
          <t>months</t>
        </is>
      </c>
      <c r="C23" s="4" t="n">
        <v>1</v>
      </c>
    </row>
    <row r="24">
      <c r="A24" t="inlineStr">
        <is>
          <t>Accrued Expenses % of OpEx</t>
        </is>
      </c>
      <c r="B24" t="inlineStr">
        <is>
          <t>%</t>
        </is>
      </c>
      <c r="C24" s="4" t="n">
        <v>0.15</v>
      </c>
    </row>
    <row r="25">
      <c r="A25" t="inlineStr">
        <is>
          <t>Deferred Revenue (months)</t>
        </is>
      </c>
      <c r="B25" t="inlineStr">
        <is>
          <t>months</t>
        </is>
      </c>
      <c r="C25" s="4" t="n">
        <v>1</v>
      </c>
    </row>
    <row r="27">
      <c r="A27" s="3" t="inlineStr">
        <is>
          <t>CAPITAL EXPENDITURE</t>
        </is>
      </c>
    </row>
    <row r="28">
      <c r="A28" t="inlineStr">
        <is>
          <t>Monthly CapEx</t>
        </is>
      </c>
      <c r="B28" t="inlineStr">
        <is>
          <t>$</t>
        </is>
      </c>
      <c r="C28" s="4" t="n">
        <v>50000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</row>
    <row r="29">
      <c r="A29" t="inlineStr">
        <is>
          <t>Depreciation Rate (annual)</t>
        </is>
      </c>
      <c r="B29" t="inlineStr">
        <is>
          <t>%</t>
        </is>
      </c>
      <c r="C29" s="4" t="n">
        <v>0.2</v>
      </c>
    </row>
    <row r="30">
      <c r="A30" t="inlineStr">
        <is>
          <t>Monthly Depreciation Rate</t>
        </is>
      </c>
      <c r="B30" t="inlineStr">
        <is>
          <t>%</t>
        </is>
      </c>
      <c r="C30">
        <f>C29/12</f>
        <v/>
      </c>
    </row>
    <row r="32">
      <c r="A32" s="3" t="inlineStr">
        <is>
          <t>DEBT</t>
        </is>
      </c>
    </row>
    <row r="33">
      <c r="A33" t="inlineStr">
        <is>
          <t>Interest Rate (annual)</t>
        </is>
      </c>
      <c r="B33" t="inlineStr">
        <is>
          <t>%</t>
        </is>
      </c>
      <c r="C33" s="4" t="n">
        <v>0.06</v>
      </c>
    </row>
    <row r="34">
      <c r="A34" t="inlineStr">
        <is>
          <t>Monthly Interest Rate</t>
        </is>
      </c>
      <c r="B34" t="inlineStr">
        <is>
          <t>%</t>
        </is>
      </c>
      <c r="C34">
        <f>C33/12</f>
        <v/>
      </c>
    </row>
    <row r="35">
      <c r="A35" t="inlineStr">
        <is>
          <t>New Borrowing</t>
        </is>
      </c>
      <c r="B35" t="inlineStr">
        <is>
          <t>$</t>
        </is>
      </c>
      <c r="C35" s="4" t="n">
        <v>200000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</row>
    <row r="36">
      <c r="A36" t="inlineStr">
        <is>
          <t>Debt Repayment</t>
        </is>
      </c>
      <c r="B36" t="inlineStr">
        <is>
          <t>$</t>
        </is>
      </c>
      <c r="C36" s="4" t="n">
        <v>5000</v>
      </c>
      <c r="D36" s="4" t="n">
        <v>5000</v>
      </c>
      <c r="E36" s="4" t="n">
        <v>5000</v>
      </c>
      <c r="F36" s="4" t="n">
        <v>5000</v>
      </c>
      <c r="G36" s="4" t="n">
        <v>5000</v>
      </c>
      <c r="H36" s="4" t="n">
        <v>5000</v>
      </c>
      <c r="I36" s="4" t="n">
        <v>5000</v>
      </c>
      <c r="J36" s="4" t="n">
        <v>5000</v>
      </c>
      <c r="K36" s="4" t="n">
        <v>5000</v>
      </c>
      <c r="L36" s="4" t="n">
        <v>5000</v>
      </c>
      <c r="M36" s="4" t="n">
        <v>5000</v>
      </c>
      <c r="N36" s="4" t="n">
        <v>5000</v>
      </c>
    </row>
    <row r="38">
      <c r="A38" s="3" t="inlineStr">
        <is>
          <t>EQUITY</t>
        </is>
      </c>
    </row>
    <row r="39">
      <c r="A39" t="inlineStr">
        <is>
          <t>Share Capital Injection</t>
        </is>
      </c>
      <c r="B39" t="inlineStr">
        <is>
          <t>$</t>
        </is>
      </c>
      <c r="C39" s="4" t="n">
        <v>100000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</row>
    <row r="40">
      <c r="A40" t="inlineStr">
        <is>
          <t>Dividends Paid</t>
        </is>
      </c>
      <c r="B40" t="inlineStr">
        <is>
          <t>$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</row>
    <row r="42">
      <c r="A42" s="3" t="inlineStr">
        <is>
          <t>OPENING BALANCES</t>
        </is>
      </c>
    </row>
    <row r="43">
      <c r="A43" t="inlineStr">
        <is>
          <t>Opening Cash</t>
        </is>
      </c>
      <c r="B43" t="inlineStr">
        <is>
          <t>$</t>
        </is>
      </c>
      <c r="C43" s="4" t="n">
        <v>50000</v>
      </c>
    </row>
    <row r="44">
      <c r="A44" t="inlineStr">
        <is>
          <t>Opening AR</t>
        </is>
      </c>
      <c r="B44" t="inlineStr">
        <is>
          <t>$</t>
        </is>
      </c>
      <c r="C44" s="4" t="n">
        <v>0</v>
      </c>
    </row>
    <row r="45">
      <c r="A45" t="inlineStr">
        <is>
          <t>Opening Inventory</t>
        </is>
      </c>
      <c r="B45" t="inlineStr">
        <is>
          <t>$</t>
        </is>
      </c>
      <c r="C45" s="4" t="n">
        <v>0</v>
      </c>
    </row>
    <row r="46">
      <c r="A46" t="inlineStr">
        <is>
          <t>Opening Prepayments</t>
        </is>
      </c>
      <c r="B46" t="inlineStr">
        <is>
          <t>$</t>
        </is>
      </c>
      <c r="C46" s="4" t="n">
        <v>0</v>
      </c>
    </row>
    <row r="47">
      <c r="A47" t="inlineStr">
        <is>
          <t>Opening Fixed Assets (Gross)</t>
        </is>
      </c>
      <c r="B47" t="inlineStr">
        <is>
          <t>$</t>
        </is>
      </c>
      <c r="C47" s="4" t="n">
        <v>0</v>
      </c>
    </row>
    <row r="48">
      <c r="A48" t="inlineStr">
        <is>
          <t>Opening Accumulated Depreciation</t>
        </is>
      </c>
      <c r="B48" t="inlineStr">
        <is>
          <t>$</t>
        </is>
      </c>
      <c r="C48" s="4" t="n">
        <v>0</v>
      </c>
    </row>
    <row r="49">
      <c r="A49" t="inlineStr">
        <is>
          <t>Opening AP</t>
        </is>
      </c>
      <c r="B49" t="inlineStr">
        <is>
          <t>$</t>
        </is>
      </c>
      <c r="C49" s="4" t="n">
        <v>0</v>
      </c>
    </row>
    <row r="50">
      <c r="A50" t="inlineStr">
        <is>
          <t>Opening Accrued Expenses</t>
        </is>
      </c>
      <c r="B50" t="inlineStr">
        <is>
          <t>$</t>
        </is>
      </c>
      <c r="C50" s="4" t="n">
        <v>0</v>
      </c>
    </row>
    <row r="51">
      <c r="A51" t="inlineStr">
        <is>
          <t>Opening Deferred Revenue</t>
        </is>
      </c>
      <c r="B51" t="inlineStr">
        <is>
          <t>$</t>
        </is>
      </c>
      <c r="C51" s="4" t="n">
        <v>0</v>
      </c>
    </row>
    <row r="52">
      <c r="A52" t="inlineStr">
        <is>
          <t>Opening Debt</t>
        </is>
      </c>
      <c r="B52" t="inlineStr">
        <is>
          <t>$</t>
        </is>
      </c>
      <c r="C52" s="4" t="n">
        <v>0</v>
      </c>
    </row>
    <row r="53">
      <c r="A53" t="inlineStr">
        <is>
          <t>Opening Share Capital</t>
        </is>
      </c>
      <c r="B53" t="inlineStr">
        <is>
          <t>$</t>
        </is>
      </c>
      <c r="C53" s="4" t="n">
        <v>0</v>
      </c>
    </row>
    <row r="54">
      <c r="A54" t="inlineStr">
        <is>
          <t>Opening Retained Earnings</t>
        </is>
      </c>
      <c r="B54" t="inlineStr">
        <is>
          <t>$</t>
        </is>
      </c>
      <c r="C54" s="4" t="n">
        <v>0</v>
      </c>
    </row>
  </sheetData>
  <mergeCells count="14">
    <mergeCell ref="C6:N6"/>
    <mergeCell ref="C24:N24"/>
    <mergeCell ref="C16:N16"/>
    <mergeCell ref="C15:N15"/>
    <mergeCell ref="C33:N33"/>
    <mergeCell ref="C11:N11"/>
    <mergeCell ref="C25:N25"/>
    <mergeCell ref="C14:N14"/>
    <mergeCell ref="C23:N23"/>
    <mergeCell ref="C22:N22"/>
    <mergeCell ref="C17:N17"/>
    <mergeCell ref="C29:N29"/>
    <mergeCell ref="C21:N21"/>
    <mergeCell ref="C20:N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CONTROL ACCOUNTS - WORKINGS</t>
        </is>
      </c>
    </row>
    <row r="3">
      <c r="A3" s="2" t="inlineStr">
        <is>
          <t>Timeline</t>
        </is>
      </c>
      <c r="C3" s="2">
        <f>Inputs!C3</f>
        <v/>
      </c>
      <c r="D3" s="2">
        <f>Inputs!D3</f>
        <v/>
      </c>
      <c r="E3" s="2">
        <f>Inputs!E3</f>
        <v/>
      </c>
      <c r="F3" s="2">
        <f>Inputs!F3</f>
        <v/>
      </c>
      <c r="G3" s="2">
        <f>Inputs!G3</f>
        <v/>
      </c>
      <c r="H3" s="2">
        <f>Inputs!H3</f>
        <v/>
      </c>
      <c r="I3" s="2">
        <f>Inputs!I3</f>
        <v/>
      </c>
      <c r="J3" s="2">
        <f>Inputs!J3</f>
        <v/>
      </c>
      <c r="K3" s="2">
        <f>Inputs!K3</f>
        <v/>
      </c>
      <c r="L3" s="2">
        <f>Inputs!L3</f>
        <v/>
      </c>
      <c r="M3" s="2">
        <f>Inputs!M3</f>
        <v/>
      </c>
      <c r="N3" s="2">
        <f>Inputs!N3</f>
        <v/>
      </c>
    </row>
    <row r="5">
      <c r="A5" s="5" t="inlineStr">
        <is>
          <t>CASH CONTROL ACCOUNT</t>
        </is>
      </c>
    </row>
    <row r="6">
      <c r="A6" t="inlineStr">
        <is>
          <t>Opening Balance</t>
        </is>
      </c>
      <c r="C6">
        <f>Inputs!$C$59</f>
        <v/>
      </c>
      <c r="D6">
        <f>C17</f>
        <v/>
      </c>
      <c r="E6">
        <f>D17</f>
        <v/>
      </c>
      <c r="F6">
        <f>E17</f>
        <v/>
      </c>
      <c r="G6">
        <f>F17</f>
        <v/>
      </c>
      <c r="H6">
        <f>G17</f>
        <v/>
      </c>
      <c r="I6">
        <f>H17</f>
        <v/>
      </c>
      <c r="J6">
        <f>I17</f>
        <v/>
      </c>
      <c r="K6">
        <f>J17</f>
        <v/>
      </c>
      <c r="L6">
        <f>K17</f>
        <v/>
      </c>
      <c r="M6">
        <f>L17</f>
        <v/>
      </c>
      <c r="N6">
        <f>M17</f>
        <v/>
      </c>
    </row>
    <row r="7">
      <c r="A7" s="6" t="inlineStr">
        <is>
          <t>Cash Inflows:</t>
        </is>
      </c>
    </row>
    <row r="8">
      <c r="A8" t="inlineStr">
        <is>
          <t xml:space="preserve">  Cash from Customers</t>
        </is>
      </c>
      <c r="C8">
        <f>C32</f>
        <v/>
      </c>
      <c r="D8">
        <f>D32</f>
        <v/>
      </c>
      <c r="E8">
        <f>E32</f>
        <v/>
      </c>
      <c r="F8">
        <f>F32</f>
        <v/>
      </c>
      <c r="G8">
        <f>G32</f>
        <v/>
      </c>
      <c r="H8">
        <f>H32</f>
        <v/>
      </c>
      <c r="I8">
        <f>I32</f>
        <v/>
      </c>
      <c r="J8">
        <f>J32</f>
        <v/>
      </c>
      <c r="K8">
        <f>K32</f>
        <v/>
      </c>
      <c r="L8">
        <f>L32</f>
        <v/>
      </c>
      <c r="M8">
        <f>M32</f>
        <v/>
      </c>
      <c r="N8">
        <f>N32</f>
        <v/>
      </c>
    </row>
    <row r="9">
      <c r="A9" t="inlineStr">
        <is>
          <t xml:space="preserve">  New Borrowing</t>
        </is>
      </c>
      <c r="C9">
        <f>Inputs!C$52</f>
        <v/>
      </c>
      <c r="D9">
        <f>Inputs!D$52</f>
        <v/>
      </c>
      <c r="E9">
        <f>Inputs!E$52</f>
        <v/>
      </c>
      <c r="F9">
        <f>Inputs!F$52</f>
        <v/>
      </c>
      <c r="G9">
        <f>Inputs!G$52</f>
        <v/>
      </c>
      <c r="H9">
        <f>Inputs!H$52</f>
        <v/>
      </c>
      <c r="I9">
        <f>Inputs!I$52</f>
        <v/>
      </c>
      <c r="J9">
        <f>Inputs!J$52</f>
        <v/>
      </c>
      <c r="K9">
        <f>Inputs!K$52</f>
        <v/>
      </c>
      <c r="L9">
        <f>Inputs!L$52</f>
        <v/>
      </c>
      <c r="M9">
        <f>Inputs!M$52</f>
        <v/>
      </c>
      <c r="N9">
        <f>Inputs!N$52</f>
        <v/>
      </c>
    </row>
    <row r="10">
      <c r="A10" t="inlineStr">
        <is>
          <t xml:space="preserve">  Share Capital Injection</t>
        </is>
      </c>
      <c r="C10">
        <f>Inputs!C$57</f>
        <v/>
      </c>
      <c r="D10">
        <f>Inputs!D$57</f>
        <v/>
      </c>
      <c r="E10">
        <f>Inputs!E$57</f>
        <v/>
      </c>
      <c r="F10">
        <f>Inputs!F$57</f>
        <v/>
      </c>
      <c r="G10">
        <f>Inputs!G$57</f>
        <v/>
      </c>
      <c r="H10">
        <f>Inputs!H$57</f>
        <v/>
      </c>
      <c r="I10">
        <f>Inputs!I$57</f>
        <v/>
      </c>
      <c r="J10">
        <f>Inputs!J$57</f>
        <v/>
      </c>
      <c r="K10">
        <f>Inputs!K$57</f>
        <v/>
      </c>
      <c r="L10">
        <f>Inputs!L$57</f>
        <v/>
      </c>
      <c r="M10">
        <f>Inputs!M$57</f>
        <v/>
      </c>
      <c r="N10">
        <f>Inputs!N$57</f>
        <v/>
      </c>
    </row>
    <row r="11">
      <c r="A11" s="7" t="inlineStr">
        <is>
          <t>Total Inflows</t>
        </is>
      </c>
      <c r="C11">
        <f>SUM(C8:C10)</f>
        <v/>
      </c>
      <c r="D11">
        <f>SUM(D8:D10)</f>
        <v/>
      </c>
      <c r="E11">
        <f>SUM(E8:E10)</f>
        <v/>
      </c>
      <c r="F11">
        <f>SUM(F8:F10)</f>
        <v/>
      </c>
      <c r="G11">
        <f>SUM(G8:G10)</f>
        <v/>
      </c>
      <c r="H11">
        <f>SUM(H8:H10)</f>
        <v/>
      </c>
      <c r="I11">
        <f>SUM(I8:I10)</f>
        <v/>
      </c>
      <c r="J11">
        <f>SUM(J8:J10)</f>
        <v/>
      </c>
      <c r="K11">
        <f>SUM(K8:K10)</f>
        <v/>
      </c>
      <c r="L11">
        <f>SUM(L8:L10)</f>
        <v/>
      </c>
      <c r="M11">
        <f>SUM(M8:M10)</f>
        <v/>
      </c>
      <c r="N11">
        <f>SUM(N8:N10)</f>
        <v/>
      </c>
    </row>
    <row r="12">
      <c r="A12" s="6" t="inlineStr">
        <is>
          <t>Cash Outflows:</t>
        </is>
      </c>
    </row>
    <row r="13">
      <c r="A13" t="inlineStr">
        <is>
          <t xml:space="preserve">  Payments to Suppliers</t>
        </is>
      </c>
      <c r="C13">
        <f>C69</f>
        <v/>
      </c>
      <c r="D13">
        <f>D69</f>
        <v/>
      </c>
      <c r="E13">
        <f>E69</f>
        <v/>
      </c>
      <c r="F13">
        <f>F69</f>
        <v/>
      </c>
      <c r="G13">
        <f>G69</f>
        <v/>
      </c>
      <c r="H13">
        <f>H69</f>
        <v/>
      </c>
      <c r="I13">
        <f>I69</f>
        <v/>
      </c>
      <c r="J13">
        <f>J69</f>
        <v/>
      </c>
      <c r="K13">
        <f>K69</f>
        <v/>
      </c>
      <c r="L13">
        <f>L69</f>
        <v/>
      </c>
      <c r="M13">
        <f>M69</f>
        <v/>
      </c>
      <c r="N13">
        <f>N69</f>
        <v/>
      </c>
    </row>
    <row r="14">
      <c r="A14" t="inlineStr">
        <is>
          <t xml:space="preserve">  Operating Expenses Paid</t>
        </is>
      </c>
      <c r="C14">
        <f>C90</f>
        <v/>
      </c>
      <c r="D14">
        <f>D90</f>
        <v/>
      </c>
      <c r="E14">
        <f>E90</f>
        <v/>
      </c>
      <c r="F14">
        <f>F90</f>
        <v/>
      </c>
      <c r="G14">
        <f>G90</f>
        <v/>
      </c>
      <c r="H14">
        <f>H90</f>
        <v/>
      </c>
      <c r="I14">
        <f>I90</f>
        <v/>
      </c>
      <c r="J14">
        <f>J90</f>
        <v/>
      </c>
      <c r="K14">
        <f>K90</f>
        <v/>
      </c>
      <c r="L14">
        <f>L90</f>
        <v/>
      </c>
      <c r="M14">
        <f>M90</f>
        <v/>
      </c>
      <c r="N14">
        <f>N90</f>
        <v/>
      </c>
    </row>
    <row r="15">
      <c r="A15" t="inlineStr">
        <is>
          <t xml:space="preserve">  Capital Expenditure</t>
        </is>
      </c>
      <c r="C15">
        <f>Inputs!C$44</f>
        <v/>
      </c>
      <c r="D15">
        <f>Inputs!D$44</f>
        <v/>
      </c>
      <c r="E15">
        <f>Inputs!E$44</f>
        <v/>
      </c>
      <c r="F15">
        <f>Inputs!F$44</f>
        <v/>
      </c>
      <c r="G15">
        <f>Inputs!G$44</f>
        <v/>
      </c>
      <c r="H15">
        <f>Inputs!H$44</f>
        <v/>
      </c>
      <c r="I15">
        <f>Inputs!I$44</f>
        <v/>
      </c>
      <c r="J15">
        <f>Inputs!J$44</f>
        <v/>
      </c>
      <c r="K15">
        <f>Inputs!K$44</f>
        <v/>
      </c>
      <c r="L15">
        <f>Inputs!L$44</f>
        <v/>
      </c>
      <c r="M15">
        <f>Inputs!M$44</f>
        <v/>
      </c>
      <c r="N15">
        <f>Inputs!N$44</f>
        <v/>
      </c>
    </row>
    <row r="16">
      <c r="A16" t="inlineStr">
        <is>
          <t xml:space="preserve">  Interest Paid</t>
        </is>
      </c>
      <c r="C16">
        <f>C118</f>
        <v/>
      </c>
      <c r="D16">
        <f>D118</f>
        <v/>
      </c>
      <c r="E16">
        <f>E118</f>
        <v/>
      </c>
      <c r="F16">
        <f>F118</f>
        <v/>
      </c>
      <c r="G16">
        <f>G118</f>
        <v/>
      </c>
      <c r="H16">
        <f>H118</f>
        <v/>
      </c>
      <c r="I16">
        <f>I118</f>
        <v/>
      </c>
      <c r="J16">
        <f>J118</f>
        <v/>
      </c>
      <c r="K16">
        <f>K118</f>
        <v/>
      </c>
      <c r="L16">
        <f>L118</f>
        <v/>
      </c>
      <c r="M16">
        <f>M118</f>
        <v/>
      </c>
      <c r="N16">
        <f>N118</f>
        <v/>
      </c>
    </row>
    <row r="17">
      <c r="A17" t="inlineStr">
        <is>
          <t xml:space="preserve">  Debt Repayment</t>
        </is>
      </c>
      <c r="C17">
        <f>Inputs!C$53</f>
        <v/>
      </c>
      <c r="D17">
        <f>Inputs!D$53</f>
        <v/>
      </c>
      <c r="E17">
        <f>Inputs!E$53</f>
        <v/>
      </c>
      <c r="F17">
        <f>Inputs!F$53</f>
        <v/>
      </c>
      <c r="G17">
        <f>Inputs!G$53</f>
        <v/>
      </c>
      <c r="H17">
        <f>Inputs!H$53</f>
        <v/>
      </c>
      <c r="I17">
        <f>Inputs!I$53</f>
        <v/>
      </c>
      <c r="J17">
        <f>Inputs!J$53</f>
        <v/>
      </c>
      <c r="K17">
        <f>Inputs!K$53</f>
        <v/>
      </c>
      <c r="L17">
        <f>Inputs!L$53</f>
        <v/>
      </c>
      <c r="M17">
        <f>Inputs!M$53</f>
        <v/>
      </c>
      <c r="N17">
        <f>Inputs!N$53</f>
        <v/>
      </c>
    </row>
    <row r="18">
      <c r="A18" t="inlineStr">
        <is>
          <t xml:space="preserve">  Dividends Paid</t>
        </is>
      </c>
      <c r="C18">
        <f>Inputs!C$58</f>
        <v/>
      </c>
      <c r="D18">
        <f>Inputs!D$58</f>
        <v/>
      </c>
      <c r="E18">
        <f>Inputs!E$58</f>
        <v/>
      </c>
      <c r="F18">
        <f>Inputs!F$58</f>
        <v/>
      </c>
      <c r="G18">
        <f>Inputs!G$58</f>
        <v/>
      </c>
      <c r="H18">
        <f>Inputs!H$58</f>
        <v/>
      </c>
      <c r="I18">
        <f>Inputs!I$58</f>
        <v/>
      </c>
      <c r="J18">
        <f>Inputs!J$58</f>
        <v/>
      </c>
      <c r="K18">
        <f>Inputs!K$58</f>
        <v/>
      </c>
      <c r="L18">
        <f>Inputs!L$58</f>
        <v/>
      </c>
      <c r="M18">
        <f>Inputs!M$58</f>
        <v/>
      </c>
      <c r="N18">
        <f>Inputs!N$58</f>
        <v/>
      </c>
    </row>
    <row r="19">
      <c r="A19" s="7" t="inlineStr">
        <is>
          <t>Total Outflows</t>
        </is>
      </c>
      <c r="C19">
        <f>SUM(C13:C18)</f>
        <v/>
      </c>
      <c r="D19">
        <f>SUM(D13:D18)</f>
        <v/>
      </c>
      <c r="E19">
        <f>SUM(E13:E18)</f>
        <v/>
      </c>
      <c r="F19">
        <f>SUM(F13:F18)</f>
        <v/>
      </c>
      <c r="G19">
        <f>SUM(G13:G18)</f>
        <v/>
      </c>
      <c r="H19">
        <f>SUM(H13:H18)</f>
        <v/>
      </c>
      <c r="I19">
        <f>SUM(I13:I18)</f>
        <v/>
      </c>
      <c r="J19">
        <f>SUM(J13:J18)</f>
        <v/>
      </c>
      <c r="K19">
        <f>SUM(K13:K18)</f>
        <v/>
      </c>
      <c r="L19">
        <f>SUM(L13:L18)</f>
        <v/>
      </c>
      <c r="M19">
        <f>SUM(M13:M18)</f>
        <v/>
      </c>
      <c r="N19">
        <f>SUM(N13:N18)</f>
        <v/>
      </c>
    </row>
    <row r="20">
      <c r="A20" s="8" t="inlineStr">
        <is>
          <t>Closing Balance</t>
        </is>
      </c>
      <c r="C20" s="9">
        <f>C7+C13-C19</f>
        <v/>
      </c>
      <c r="D20" s="9">
        <f>D7+D13-D19</f>
        <v/>
      </c>
      <c r="E20" s="9">
        <f>E7+E13-E19</f>
        <v/>
      </c>
      <c r="F20" s="9">
        <f>F7+F13-F19</f>
        <v/>
      </c>
      <c r="G20" s="9">
        <f>G7+G13-G19</f>
        <v/>
      </c>
      <c r="H20" s="9">
        <f>H7+H13-H19</f>
        <v/>
      </c>
      <c r="I20" s="9">
        <f>I7+I13-I19</f>
        <v/>
      </c>
      <c r="J20" s="9">
        <f>J7+J13-J19</f>
        <v/>
      </c>
      <c r="K20" s="9">
        <f>K7+K13-K19</f>
        <v/>
      </c>
      <c r="L20" s="9">
        <f>L7+L13-L19</f>
        <v/>
      </c>
      <c r="M20" s="9">
        <f>M7+M13-M19</f>
        <v/>
      </c>
      <c r="N20" s="9">
        <f>N7+N13-N19</f>
        <v/>
      </c>
    </row>
    <row r="22">
      <c r="A22" s="5" t="inlineStr">
        <is>
          <t>ACCOUNTS RECEIVABLE CONTROL</t>
        </is>
      </c>
    </row>
    <row r="23">
      <c r="A23" t="inlineStr">
        <is>
          <t>Opening Balance</t>
        </is>
      </c>
      <c r="C23">
        <f>Inputs!$C$60</f>
        <v/>
      </c>
      <c r="D23">
        <f>C26</f>
        <v/>
      </c>
      <c r="E23">
        <f>D26</f>
        <v/>
      </c>
      <c r="F23">
        <f>E26</f>
        <v/>
      </c>
      <c r="G23">
        <f>F26</f>
        <v/>
      </c>
      <c r="H23">
        <f>G26</f>
        <v/>
      </c>
      <c r="I23">
        <f>H26</f>
        <v/>
      </c>
      <c r="J23">
        <f>I26</f>
        <v/>
      </c>
      <c r="K23">
        <f>J26</f>
        <v/>
      </c>
      <c r="L23">
        <f>K26</f>
        <v/>
      </c>
      <c r="M23">
        <f>L26</f>
        <v/>
      </c>
      <c r="N23">
        <f>M26</f>
        <v/>
      </c>
    </row>
    <row r="24">
      <c r="A24" t="inlineStr">
        <is>
          <t>Credit Sales (Revenue)</t>
        </is>
      </c>
      <c r="C24">
        <f>Inputs!C$9</f>
        <v/>
      </c>
      <c r="D24">
        <f>Inputs!D$9</f>
        <v/>
      </c>
      <c r="E24">
        <f>Inputs!E$9</f>
        <v/>
      </c>
      <c r="F24">
        <f>Inputs!F$9</f>
        <v/>
      </c>
      <c r="G24">
        <f>Inputs!G$9</f>
        <v/>
      </c>
      <c r="H24">
        <f>Inputs!H$9</f>
        <v/>
      </c>
      <c r="I24">
        <f>Inputs!I$9</f>
        <v/>
      </c>
      <c r="J24">
        <f>Inputs!J$9</f>
        <v/>
      </c>
      <c r="K24">
        <f>Inputs!K$9</f>
        <v/>
      </c>
      <c r="L24">
        <f>Inputs!L$9</f>
        <v/>
      </c>
      <c r="M24">
        <f>Inputs!M$9</f>
        <v/>
      </c>
      <c r="N24">
        <f>Inputs!N$9</f>
        <v/>
      </c>
    </row>
    <row r="25">
      <c r="A25" t="inlineStr">
        <is>
          <t>Cash Received from Customers</t>
        </is>
      </c>
      <c r="C25">
        <f>(C23*30)/(Inputs!$C$23+30)</f>
        <v/>
      </c>
      <c r="D25">
        <f>(D23*30)/(Inputs!$C$23+30)</f>
        <v/>
      </c>
      <c r="E25">
        <f>(E23*30)/(Inputs!$C$23+30)</f>
        <v/>
      </c>
      <c r="F25">
        <f>(F23*30)/(Inputs!$C$23+30)</f>
        <v/>
      </c>
      <c r="G25">
        <f>(G23*30)/(Inputs!$C$23+30)</f>
        <v/>
      </c>
      <c r="H25">
        <f>(H23*30)/(Inputs!$C$23+30)</f>
        <v/>
      </c>
      <c r="I25">
        <f>(I23*30)/(Inputs!$C$23+30)</f>
        <v/>
      </c>
      <c r="J25">
        <f>(J23*30)/(Inputs!$C$23+30)</f>
        <v/>
      </c>
      <c r="K25">
        <f>(K23*30)/(Inputs!$C$23+30)</f>
        <v/>
      </c>
      <c r="L25">
        <f>(L23*30)/(Inputs!$C$23+30)</f>
        <v/>
      </c>
      <c r="M25">
        <f>(M23*30)/(Inputs!$C$23+30)</f>
        <v/>
      </c>
      <c r="N25">
        <f>(N23*30)/(Inputs!$C$23+30)</f>
        <v/>
      </c>
    </row>
    <row r="26">
      <c r="A26" s="8" t="inlineStr">
        <is>
          <t>Closing Balance</t>
        </is>
      </c>
      <c r="C26" s="9">
        <f>C23+C24-C25</f>
        <v/>
      </c>
      <c r="D26" s="9">
        <f>D23+D24-D25</f>
        <v/>
      </c>
      <c r="E26" s="9">
        <f>E23+E24-E25</f>
        <v/>
      </c>
      <c r="F26" s="9">
        <f>F23+F24-F25</f>
        <v/>
      </c>
      <c r="G26" s="9">
        <f>G23+G24-G25</f>
        <v/>
      </c>
      <c r="H26" s="9">
        <f>H23+H24-H25</f>
        <v/>
      </c>
      <c r="I26" s="9">
        <f>I23+I24-I25</f>
        <v/>
      </c>
      <c r="J26" s="9">
        <f>J23+J24-J25</f>
        <v/>
      </c>
      <c r="K26" s="9">
        <f>K23+K24-K25</f>
        <v/>
      </c>
      <c r="L26" s="9">
        <f>L23+L24-L25</f>
        <v/>
      </c>
      <c r="M26" s="9">
        <f>M23+M24-M25</f>
        <v/>
      </c>
      <c r="N26" s="9">
        <f>N23+N24-N25</f>
        <v/>
      </c>
    </row>
    <row r="28">
      <c r="A28" s="5" t="inlineStr">
        <is>
          <t>INVENTORY CONTROL</t>
        </is>
      </c>
    </row>
    <row r="29">
      <c r="A29" t="inlineStr">
        <is>
          <t>Opening Balance</t>
        </is>
      </c>
      <c r="C29">
        <f>Inputs!$C$61</f>
        <v/>
      </c>
      <c r="D29">
        <f>C33</f>
        <v/>
      </c>
      <c r="E29">
        <f>D33</f>
        <v/>
      </c>
      <c r="F29">
        <f>E33</f>
        <v/>
      </c>
      <c r="G29">
        <f>F33</f>
        <v/>
      </c>
      <c r="H29">
        <f>G33</f>
        <v/>
      </c>
      <c r="I29">
        <f>H33</f>
        <v/>
      </c>
      <c r="J29">
        <f>I33</f>
        <v/>
      </c>
      <c r="K29">
        <f>J33</f>
        <v/>
      </c>
      <c r="L29">
        <f>K33</f>
        <v/>
      </c>
      <c r="M29">
        <f>L33</f>
        <v/>
      </c>
      <c r="N29">
        <f>M33</f>
        <v/>
      </c>
    </row>
    <row r="30">
      <c r="A30" t="inlineStr">
        <is>
          <t>Purchases</t>
        </is>
      </c>
      <c r="C30">
        <f>(Inputs!C$9*Inputs!$C$12+Inputs!$C$24*30)/30</f>
        <v/>
      </c>
      <c r="D30">
        <f>(Inputs!D$9*Inputs!$C$12+Inputs!$C$24*30)/30</f>
        <v/>
      </c>
      <c r="E30">
        <f>(Inputs!E$9*Inputs!$C$12+Inputs!$C$24*30)/30</f>
        <v/>
      </c>
      <c r="F30">
        <f>(Inputs!F$9*Inputs!$C$12+Inputs!$C$24*30)/30</f>
        <v/>
      </c>
      <c r="G30">
        <f>(Inputs!G$9*Inputs!$C$12+Inputs!$C$24*30)/30</f>
        <v/>
      </c>
      <c r="H30">
        <f>(Inputs!H$9*Inputs!$C$12+Inputs!$C$24*30)/30</f>
        <v/>
      </c>
      <c r="I30">
        <f>(Inputs!I$9*Inputs!$C$12+Inputs!$C$24*30)/30</f>
        <v/>
      </c>
      <c r="J30">
        <f>(Inputs!J$9*Inputs!$C$12+Inputs!$C$24*30)/30</f>
        <v/>
      </c>
      <c r="K30">
        <f>(Inputs!K$9*Inputs!$C$12+Inputs!$C$24*30)/30</f>
        <v/>
      </c>
      <c r="L30">
        <f>(Inputs!L$9*Inputs!$C$12+Inputs!$C$24*30)/30</f>
        <v/>
      </c>
      <c r="M30">
        <f>(Inputs!M$9*Inputs!$C$12+Inputs!$C$24*30)/30</f>
        <v/>
      </c>
      <c r="N30">
        <f>(Inputs!N$9*Inputs!$C$12+Inputs!$C$24*30)/30</f>
        <v/>
      </c>
    </row>
    <row r="31">
      <c r="A31" t="inlineStr">
        <is>
          <t>COGS Withdrawal</t>
        </is>
      </c>
      <c r="C31">
        <f>Inputs!C$9*Inputs!$C$12</f>
        <v/>
      </c>
      <c r="D31">
        <f>Inputs!D$9*Inputs!$C$12</f>
        <v/>
      </c>
      <c r="E31">
        <f>Inputs!E$9*Inputs!$C$12</f>
        <v/>
      </c>
      <c r="F31">
        <f>Inputs!F$9*Inputs!$C$12</f>
        <v/>
      </c>
      <c r="G31">
        <f>Inputs!G$9*Inputs!$C$12</f>
        <v/>
      </c>
      <c r="H31">
        <f>Inputs!H$9*Inputs!$C$12</f>
        <v/>
      </c>
      <c r="I31">
        <f>Inputs!I$9*Inputs!$C$12</f>
        <v/>
      </c>
      <c r="J31">
        <f>Inputs!J$9*Inputs!$C$12</f>
        <v/>
      </c>
      <c r="K31">
        <f>Inputs!K$9*Inputs!$C$12</f>
        <v/>
      </c>
      <c r="L31">
        <f>Inputs!L$9*Inputs!$C$12</f>
        <v/>
      </c>
      <c r="M31">
        <f>Inputs!M$9*Inputs!$C$12</f>
        <v/>
      </c>
      <c r="N31">
        <f>Inputs!N$9*Inputs!$C$12</f>
        <v/>
      </c>
    </row>
    <row r="32">
      <c r="A32" t="inlineStr">
        <is>
          <t>Adjustments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8" t="inlineStr">
        <is>
          <t>Closing Balance</t>
        </is>
      </c>
      <c r="C33" s="9">
        <f>C29+C30-C31+C32</f>
        <v/>
      </c>
      <c r="D33" s="9">
        <f>D29+D30-D31+D32</f>
        <v/>
      </c>
      <c r="E33" s="9">
        <f>E29+E30-E31+E32</f>
        <v/>
      </c>
      <c r="F33" s="9">
        <f>F29+F30-F31+F32</f>
        <v/>
      </c>
      <c r="G33" s="9">
        <f>G29+G30-G31+G32</f>
        <v/>
      </c>
      <c r="H33" s="9">
        <f>H29+H30-H31+H32</f>
        <v/>
      </c>
      <c r="I33" s="9">
        <f>I29+I30-I31+I32</f>
        <v/>
      </c>
      <c r="J33" s="9">
        <f>J29+J30-J31+J32</f>
        <v/>
      </c>
      <c r="K33" s="9">
        <f>K29+K30-K31+K32</f>
        <v/>
      </c>
      <c r="L33" s="9">
        <f>L29+L30-L31+L32</f>
        <v/>
      </c>
      <c r="M33" s="9">
        <f>M29+M30-M31+M32</f>
        <v/>
      </c>
      <c r="N33" s="9">
        <f>N29+N30-N31+N32</f>
        <v/>
      </c>
    </row>
    <row r="35">
      <c r="A35" s="5" t="inlineStr">
        <is>
          <t>PREPAYMENTS CONTROL</t>
        </is>
      </c>
    </row>
    <row r="36">
      <c r="A36" t="inlineStr">
        <is>
          <t>Opening Balance</t>
        </is>
      </c>
      <c r="C36">
        <f>Inputs!$C$62</f>
        <v/>
      </c>
      <c r="D36">
        <f>C39</f>
        <v/>
      </c>
      <c r="E36">
        <f>D39</f>
        <v/>
      </c>
      <c r="F36">
        <f>E39</f>
        <v/>
      </c>
      <c r="G36">
        <f>F39</f>
        <v/>
      </c>
      <c r="H36">
        <f>G39</f>
        <v/>
      </c>
      <c r="I36">
        <f>H39</f>
        <v/>
      </c>
      <c r="J36">
        <f>I39</f>
        <v/>
      </c>
      <c r="K36">
        <f>J39</f>
        <v/>
      </c>
      <c r="L36">
        <f>K39</f>
        <v/>
      </c>
      <c r="M36">
        <f>L39</f>
        <v/>
      </c>
      <c r="N36">
        <f>M39</f>
        <v/>
      </c>
    </row>
    <row r="37">
      <c r="A37" t="inlineStr">
        <is>
          <t>New Prepayments (cash paid)</t>
        </is>
      </c>
      <c r="C37">
        <f>(Inputs!$C$17+Inputs!$C$18+Inputs!$C$19)*Inputs!$C$26</f>
        <v/>
      </c>
      <c r="D37">
        <f>(Inputs!$C$17+Inputs!$C$18+Inputs!$C$19)*Inputs!$C$26</f>
        <v/>
      </c>
      <c r="E37">
        <f>(Inputs!$C$17+Inputs!$C$18+Inputs!$C$19)*Inputs!$C$26</f>
        <v/>
      </c>
      <c r="F37">
        <f>(Inputs!$C$17+Inputs!$C$18+Inputs!$C$19)*Inputs!$C$26</f>
        <v/>
      </c>
      <c r="G37">
        <f>(Inputs!$C$17+Inputs!$C$18+Inputs!$C$19)*Inputs!$C$26</f>
        <v/>
      </c>
      <c r="H37">
        <f>(Inputs!$C$17+Inputs!$C$18+Inputs!$C$19)*Inputs!$C$26</f>
        <v/>
      </c>
      <c r="I37">
        <f>(Inputs!$C$17+Inputs!$C$18+Inputs!$C$19)*Inputs!$C$26</f>
        <v/>
      </c>
      <c r="J37">
        <f>(Inputs!$C$17+Inputs!$C$18+Inputs!$C$19)*Inputs!$C$26</f>
        <v/>
      </c>
      <c r="K37">
        <f>(Inputs!$C$17+Inputs!$C$18+Inputs!$C$19)*Inputs!$C$26</f>
        <v/>
      </c>
      <c r="L37">
        <f>(Inputs!$C$17+Inputs!$C$18+Inputs!$C$19)*Inputs!$C$26</f>
        <v/>
      </c>
      <c r="M37">
        <f>(Inputs!$C$17+Inputs!$C$18+Inputs!$C$19)*Inputs!$C$26</f>
        <v/>
      </c>
      <c r="N37">
        <f>(Inputs!$C$17+Inputs!$C$18+Inputs!$C$19)*Inputs!$C$26</f>
        <v/>
      </c>
    </row>
    <row r="38">
      <c r="A38" t="inlineStr">
        <is>
          <t>Amortization (expense)</t>
        </is>
      </c>
      <c r="C38">
        <f>C36+C37</f>
        <v/>
      </c>
      <c r="D38">
        <f>D36+D37</f>
        <v/>
      </c>
      <c r="E38">
        <f>E36+E37</f>
        <v/>
      </c>
      <c r="F38">
        <f>F36+F37</f>
        <v/>
      </c>
      <c r="G38">
        <f>G36+G37</f>
        <v/>
      </c>
      <c r="H38">
        <f>H36+H37</f>
        <v/>
      </c>
      <c r="I38">
        <f>I36+I37</f>
        <v/>
      </c>
      <c r="J38">
        <f>J36+J37</f>
        <v/>
      </c>
      <c r="K38">
        <f>K36+K37</f>
        <v/>
      </c>
      <c r="L38">
        <f>L36+L37</f>
        <v/>
      </c>
      <c r="M38">
        <f>M36+M37</f>
        <v/>
      </c>
      <c r="N38">
        <f>N36+N37</f>
        <v/>
      </c>
    </row>
    <row r="39">
      <c r="A39" s="8" t="inlineStr">
        <is>
          <t>Closing Balance</t>
        </is>
      </c>
      <c r="C39" s="9">
        <f>C36+C37-C38</f>
        <v/>
      </c>
      <c r="D39" s="9">
        <f>D36+D37-D38</f>
        <v/>
      </c>
      <c r="E39" s="9">
        <f>E36+E37-E38</f>
        <v/>
      </c>
      <c r="F39" s="9">
        <f>F36+F37-F38</f>
        <v/>
      </c>
      <c r="G39" s="9">
        <f>G36+G37-G38</f>
        <v/>
      </c>
      <c r="H39" s="9">
        <f>H36+H37-H38</f>
        <v/>
      </c>
      <c r="I39" s="9">
        <f>I36+I37-I38</f>
        <v/>
      </c>
      <c r="J39" s="9">
        <f>J36+J37-J38</f>
        <v/>
      </c>
      <c r="K39" s="9">
        <f>K36+K37-K38</f>
        <v/>
      </c>
      <c r="L39" s="9">
        <f>L36+L37-L38</f>
        <v/>
      </c>
      <c r="M39" s="9">
        <f>M36+M37-M38</f>
        <v/>
      </c>
      <c r="N39" s="9">
        <f>N36+N37-N38</f>
        <v/>
      </c>
    </row>
    <row r="41">
      <c r="A41" s="5" t="inlineStr">
        <is>
          <t>ACCOUNTS PAYABLE CONTROL</t>
        </is>
      </c>
    </row>
    <row r="42">
      <c r="A42" t="inlineStr">
        <is>
          <t>Opening Balance</t>
        </is>
      </c>
      <c r="C42">
        <f>Inputs!$C$65</f>
        <v/>
      </c>
      <c r="D42">
        <f>C45</f>
        <v/>
      </c>
      <c r="E42">
        <f>D45</f>
        <v/>
      </c>
      <c r="F42">
        <f>E45</f>
        <v/>
      </c>
      <c r="G42">
        <f>F45</f>
        <v/>
      </c>
      <c r="H42">
        <f>G45</f>
        <v/>
      </c>
      <c r="I42">
        <f>H45</f>
        <v/>
      </c>
      <c r="J42">
        <f>I45</f>
        <v/>
      </c>
      <c r="K42">
        <f>J45</f>
        <v/>
      </c>
      <c r="L42">
        <f>K45</f>
        <v/>
      </c>
      <c r="M42">
        <f>L45</f>
        <v/>
      </c>
      <c r="N42">
        <f>M45</f>
        <v/>
      </c>
    </row>
    <row r="43">
      <c r="A43" t="inlineStr">
        <is>
          <t>Purchases on Credit</t>
        </is>
      </c>
      <c r="C43">
        <f>C41</f>
        <v/>
      </c>
      <c r="D43">
        <f>D41</f>
        <v/>
      </c>
      <c r="E43">
        <f>E41</f>
        <v/>
      </c>
      <c r="F43">
        <f>F41</f>
        <v/>
      </c>
      <c r="G43">
        <f>G41</f>
        <v/>
      </c>
      <c r="H43">
        <f>H41</f>
        <v/>
      </c>
      <c r="I43">
        <f>I41</f>
        <v/>
      </c>
      <c r="J43">
        <f>J41</f>
        <v/>
      </c>
      <c r="K43">
        <f>K41</f>
        <v/>
      </c>
      <c r="L43">
        <f>L41</f>
        <v/>
      </c>
      <c r="M43">
        <f>M41</f>
        <v/>
      </c>
      <c r="N43">
        <f>N41</f>
        <v/>
      </c>
    </row>
    <row r="44">
      <c r="A44" t="inlineStr">
        <is>
          <t>Cash Payments to Suppliers</t>
        </is>
      </c>
      <c r="C44">
        <f>(C42*30)/(Inputs!$C$25+30)</f>
        <v/>
      </c>
      <c r="D44">
        <f>(D42*30)/(Inputs!$C$25+30)</f>
        <v/>
      </c>
      <c r="E44">
        <f>(E42*30)/(Inputs!$C$25+30)</f>
        <v/>
      </c>
      <c r="F44">
        <f>(F42*30)/(Inputs!$C$25+30)</f>
        <v/>
      </c>
      <c r="G44">
        <f>(G42*30)/(Inputs!$C$25+30)</f>
        <v/>
      </c>
      <c r="H44">
        <f>(H42*30)/(Inputs!$C$25+30)</f>
        <v/>
      </c>
      <c r="I44">
        <f>(I42*30)/(Inputs!$C$25+30)</f>
        <v/>
      </c>
      <c r="J44">
        <f>(J42*30)/(Inputs!$C$25+30)</f>
        <v/>
      </c>
      <c r="K44">
        <f>(K42*30)/(Inputs!$C$25+30)</f>
        <v/>
      </c>
      <c r="L44">
        <f>(L42*30)/(Inputs!$C$25+30)</f>
        <v/>
      </c>
      <c r="M44">
        <f>(M42*30)/(Inputs!$C$25+30)</f>
        <v/>
      </c>
      <c r="N44">
        <f>(N42*30)/(Inputs!$C$25+30)</f>
        <v/>
      </c>
    </row>
    <row r="45">
      <c r="A45" s="8" t="inlineStr">
        <is>
          <t>Closing Balance</t>
        </is>
      </c>
      <c r="C45" s="9">
        <f>C42+C43-C44</f>
        <v/>
      </c>
      <c r="D45" s="9">
        <f>D42+D43-D44</f>
        <v/>
      </c>
      <c r="E45" s="9">
        <f>E42+E43-E44</f>
        <v/>
      </c>
      <c r="F45" s="9">
        <f>F42+F43-F44</f>
        <v/>
      </c>
      <c r="G45" s="9">
        <f>G42+G43-G44</f>
        <v/>
      </c>
      <c r="H45" s="9">
        <f>H42+H43-H44</f>
        <v/>
      </c>
      <c r="I45" s="9">
        <f>I42+I43-I44</f>
        <v/>
      </c>
      <c r="J45" s="9">
        <f>J42+J43-J44</f>
        <v/>
      </c>
      <c r="K45" s="9">
        <f>K42+K43-K44</f>
        <v/>
      </c>
      <c r="L45" s="9">
        <f>L42+L43-L44</f>
        <v/>
      </c>
      <c r="M45" s="9">
        <f>M42+M43-M44</f>
        <v/>
      </c>
      <c r="N45" s="9">
        <f>N42+N43-N44</f>
        <v/>
      </c>
    </row>
    <row r="47">
      <c r="A47" s="5" t="inlineStr">
        <is>
          <t>ACCRUED EXPENSES CONTROL</t>
        </is>
      </c>
    </row>
    <row r="48">
      <c r="A48" t="inlineStr">
        <is>
          <t>Opening Balance</t>
        </is>
      </c>
      <c r="C48">
        <f>Inputs!$C$66</f>
        <v/>
      </c>
      <c r="D48">
        <f>C51</f>
        <v/>
      </c>
      <c r="E48">
        <f>D51</f>
        <v/>
      </c>
      <c r="F48">
        <f>E51</f>
        <v/>
      </c>
      <c r="G48">
        <f>F51</f>
        <v/>
      </c>
      <c r="H48">
        <f>G51</f>
        <v/>
      </c>
      <c r="I48">
        <f>H51</f>
        <v/>
      </c>
      <c r="J48">
        <f>I51</f>
        <v/>
      </c>
      <c r="K48">
        <f>J51</f>
        <v/>
      </c>
      <c r="L48">
        <f>K51</f>
        <v/>
      </c>
      <c r="M48">
        <f>L51</f>
        <v/>
      </c>
      <c r="N48">
        <f>M51</f>
        <v/>
      </c>
    </row>
    <row r="49">
      <c r="A49" t="inlineStr">
        <is>
          <t>Operating Expenses Incurred</t>
        </is>
      </c>
      <c r="C49">
        <f>(Inputs!$C$15+Inputs!$C$17+Inputs!$C$18+Inputs!$C$19)*Inputs!$C$27</f>
        <v/>
      </c>
      <c r="D49">
        <f>(Inputs!$C$15+Inputs!$C$17+Inputs!$C$18+Inputs!$C$19)*Inputs!$C$27</f>
        <v/>
      </c>
      <c r="E49">
        <f>(Inputs!$C$15+Inputs!$C$17+Inputs!$C$18+Inputs!$C$19)*Inputs!$C$27</f>
        <v/>
      </c>
      <c r="F49">
        <f>(Inputs!$C$15+Inputs!$C$17+Inputs!$C$18+Inputs!$C$19)*Inputs!$C$27</f>
        <v/>
      </c>
      <c r="G49">
        <f>(Inputs!$C$15+Inputs!$C$17+Inputs!$C$18+Inputs!$C$19)*Inputs!$C$27</f>
        <v/>
      </c>
      <c r="H49">
        <f>(Inputs!$C$15+Inputs!$C$17+Inputs!$C$18+Inputs!$C$19)*Inputs!$C$27</f>
        <v/>
      </c>
      <c r="I49">
        <f>(Inputs!$C$15+Inputs!$C$17+Inputs!$C$18+Inputs!$C$19)*Inputs!$C$27</f>
        <v/>
      </c>
      <c r="J49">
        <f>(Inputs!$C$15+Inputs!$C$17+Inputs!$C$18+Inputs!$C$19)*Inputs!$C$27</f>
        <v/>
      </c>
      <c r="K49">
        <f>(Inputs!$C$15+Inputs!$C$17+Inputs!$C$18+Inputs!$C$19)*Inputs!$C$27</f>
        <v/>
      </c>
      <c r="L49">
        <f>(Inputs!$C$15+Inputs!$C$17+Inputs!$C$18+Inputs!$C$19)*Inputs!$C$27</f>
        <v/>
      </c>
      <c r="M49">
        <f>(Inputs!$C$15+Inputs!$C$17+Inputs!$C$18+Inputs!$C$19)*Inputs!$C$27</f>
        <v/>
      </c>
      <c r="N49">
        <f>(Inputs!$C$15+Inputs!$C$17+Inputs!$C$18+Inputs!$C$19)*Inputs!$C$27</f>
        <v/>
      </c>
    </row>
    <row r="50">
      <c r="A50" t="inlineStr">
        <is>
          <t>Cash Paid for OpEx</t>
        </is>
      </c>
      <c r="C50">
        <f>C48+C49</f>
        <v/>
      </c>
      <c r="D50">
        <f>D48+D49</f>
        <v/>
      </c>
      <c r="E50">
        <f>E48+E49</f>
        <v/>
      </c>
      <c r="F50">
        <f>F48+F49</f>
        <v/>
      </c>
      <c r="G50">
        <f>G48+G49</f>
        <v/>
      </c>
      <c r="H50">
        <f>H48+H49</f>
        <v/>
      </c>
      <c r="I50">
        <f>I48+I49</f>
        <v/>
      </c>
      <c r="J50">
        <f>J48+J49</f>
        <v/>
      </c>
      <c r="K50">
        <f>K48+K49</f>
        <v/>
      </c>
      <c r="L50">
        <f>L48+L49</f>
        <v/>
      </c>
      <c r="M50">
        <f>M48+M49</f>
        <v/>
      </c>
      <c r="N50">
        <f>N48+N49</f>
        <v/>
      </c>
    </row>
    <row r="51">
      <c r="A51" s="8" t="inlineStr">
        <is>
          <t>Closing Balance</t>
        </is>
      </c>
      <c r="C51" s="9">
        <f>C48+C49-C50</f>
        <v/>
      </c>
      <c r="D51" s="9">
        <f>D48+D49-D50</f>
        <v/>
      </c>
      <c r="E51" s="9">
        <f>E48+E49-E50</f>
        <v/>
      </c>
      <c r="F51" s="9">
        <f>F48+F49-F50</f>
        <v/>
      </c>
      <c r="G51" s="9">
        <f>G48+G49-G50</f>
        <v/>
      </c>
      <c r="H51" s="9">
        <f>H48+H49-H50</f>
        <v/>
      </c>
      <c r="I51" s="9">
        <f>I48+I49-I50</f>
        <v/>
      </c>
      <c r="J51" s="9">
        <f>J48+J49-J50</f>
        <v/>
      </c>
      <c r="K51" s="9">
        <f>K48+K49-K50</f>
        <v/>
      </c>
      <c r="L51" s="9">
        <f>L48+L49-L50</f>
        <v/>
      </c>
      <c r="M51" s="9">
        <f>M48+M49-M50</f>
        <v/>
      </c>
      <c r="N51" s="9">
        <f>N48+N49-N50</f>
        <v/>
      </c>
    </row>
    <row r="53">
      <c r="A53" s="5" t="inlineStr">
        <is>
          <t>DEFERRED REVENUE CONTROL</t>
        </is>
      </c>
    </row>
    <row r="54">
      <c r="A54" t="inlineStr">
        <is>
          <t>Opening Balance</t>
        </is>
      </c>
      <c r="C54">
        <f>Inputs!$C$67</f>
        <v/>
      </c>
      <c r="D54">
        <f>C57</f>
        <v/>
      </c>
      <c r="E54">
        <f>D57</f>
        <v/>
      </c>
      <c r="F54">
        <f>E57</f>
        <v/>
      </c>
      <c r="G54">
        <f>F57</f>
        <v/>
      </c>
      <c r="H54">
        <f>G57</f>
        <v/>
      </c>
      <c r="I54">
        <f>H57</f>
        <v/>
      </c>
      <c r="J54">
        <f>I57</f>
        <v/>
      </c>
      <c r="K54">
        <f>J57</f>
        <v/>
      </c>
      <c r="L54">
        <f>K57</f>
        <v/>
      </c>
      <c r="M54">
        <f>L57</f>
        <v/>
      </c>
      <c r="N54">
        <f>M57</f>
        <v/>
      </c>
    </row>
    <row r="55">
      <c r="A55" t="inlineStr">
        <is>
          <t>Cash Received in Advance</t>
        </is>
      </c>
      <c r="C55">
        <f>Inputs!C$9*Inputs!$C$28</f>
        <v/>
      </c>
      <c r="D55">
        <f>Inputs!D$9*Inputs!$C$28</f>
        <v/>
      </c>
      <c r="E55">
        <f>Inputs!E$9*Inputs!$C$28</f>
        <v/>
      </c>
      <c r="F55">
        <f>Inputs!F$9*Inputs!$C$28</f>
        <v/>
      </c>
      <c r="G55">
        <f>Inputs!G$9*Inputs!$C$28</f>
        <v/>
      </c>
      <c r="H55">
        <f>Inputs!H$9*Inputs!$C$28</f>
        <v/>
      </c>
      <c r="I55">
        <f>Inputs!I$9*Inputs!$C$28</f>
        <v/>
      </c>
      <c r="J55">
        <f>Inputs!J$9*Inputs!$C$28</f>
        <v/>
      </c>
      <c r="K55">
        <f>Inputs!K$9*Inputs!$C$28</f>
        <v/>
      </c>
      <c r="L55">
        <f>Inputs!L$9*Inputs!$C$28</f>
        <v/>
      </c>
      <c r="M55">
        <f>Inputs!M$9*Inputs!$C$28</f>
        <v/>
      </c>
      <c r="N55">
        <f>Inputs!N$9*Inputs!$C$28</f>
        <v/>
      </c>
    </row>
    <row r="56">
      <c r="A56" t="inlineStr">
        <is>
          <t>Revenue Recognized</t>
        </is>
      </c>
      <c r="C56">
        <f>C54+C55</f>
        <v/>
      </c>
      <c r="D56">
        <f>D54+D55</f>
        <v/>
      </c>
      <c r="E56">
        <f>E54+E55</f>
        <v/>
      </c>
      <c r="F56">
        <f>F54+F55</f>
        <v/>
      </c>
      <c r="G56">
        <f>G54+G55</f>
        <v/>
      </c>
      <c r="H56">
        <f>H54+H55</f>
        <v/>
      </c>
      <c r="I56">
        <f>I54+I55</f>
        <v/>
      </c>
      <c r="J56">
        <f>J54+J55</f>
        <v/>
      </c>
      <c r="K56">
        <f>K54+K55</f>
        <v/>
      </c>
      <c r="L56">
        <f>L54+L55</f>
        <v/>
      </c>
      <c r="M56">
        <f>M54+M55</f>
        <v/>
      </c>
      <c r="N56">
        <f>N54+N55</f>
        <v/>
      </c>
    </row>
    <row r="57">
      <c r="A57" s="8" t="inlineStr">
        <is>
          <t>Closing Balance</t>
        </is>
      </c>
      <c r="C57" s="9">
        <f>C54+C55-C56</f>
        <v/>
      </c>
      <c r="D57" s="9">
        <f>D54+D55-D56</f>
        <v/>
      </c>
      <c r="E57" s="9">
        <f>E54+E55-E56</f>
        <v/>
      </c>
      <c r="F57" s="9">
        <f>F54+F55-F56</f>
        <v/>
      </c>
      <c r="G57" s="9">
        <f>G54+G55-G56</f>
        <v/>
      </c>
      <c r="H57" s="9">
        <f>H54+H55-H56</f>
        <v/>
      </c>
      <c r="I57" s="9">
        <f>I54+I55-I56</f>
        <v/>
      </c>
      <c r="J57" s="9">
        <f>J54+J55-J56</f>
        <v/>
      </c>
      <c r="K57" s="9">
        <f>K54+K55-K56</f>
        <v/>
      </c>
      <c r="L57" s="9">
        <f>L54+L55-L56</f>
        <v/>
      </c>
      <c r="M57" s="9">
        <f>M54+M55-M56</f>
        <v/>
      </c>
      <c r="N57" s="9">
        <f>N54+N55-N56</f>
        <v/>
      </c>
    </row>
    <row r="59">
      <c r="A59" s="5" t="inlineStr">
        <is>
          <t>FIXED ASSETS - GROSS CONTROL</t>
        </is>
      </c>
    </row>
    <row r="60">
      <c r="A60" t="inlineStr">
        <is>
          <t>Opening Balance</t>
        </is>
      </c>
      <c r="C60">
        <f>Inputs!$C$63</f>
        <v/>
      </c>
      <c r="D60">
        <f>C63</f>
        <v/>
      </c>
      <c r="E60">
        <f>D63</f>
        <v/>
      </c>
      <c r="F60">
        <f>E63</f>
        <v/>
      </c>
      <c r="G60">
        <f>F63</f>
        <v/>
      </c>
      <c r="H60">
        <f>G63</f>
        <v/>
      </c>
      <c r="I60">
        <f>H63</f>
        <v/>
      </c>
      <c r="J60">
        <f>I63</f>
        <v/>
      </c>
      <c r="K60">
        <f>J63</f>
        <v/>
      </c>
      <c r="L60">
        <f>K63</f>
        <v/>
      </c>
      <c r="M60">
        <f>L63</f>
        <v/>
      </c>
      <c r="N60">
        <f>M63</f>
        <v/>
      </c>
    </row>
    <row r="61">
      <c r="A61" t="inlineStr">
        <is>
          <t>Capital Expenditure</t>
        </is>
      </c>
      <c r="C61">
        <f>Inputs!C$44</f>
        <v/>
      </c>
      <c r="D61">
        <f>Inputs!D$44</f>
        <v/>
      </c>
      <c r="E61">
        <f>Inputs!E$44</f>
        <v/>
      </c>
      <c r="F61">
        <f>Inputs!F$44</f>
        <v/>
      </c>
      <c r="G61">
        <f>Inputs!G$44</f>
        <v/>
      </c>
      <c r="H61">
        <f>Inputs!H$44</f>
        <v/>
      </c>
      <c r="I61">
        <f>Inputs!I$44</f>
        <v/>
      </c>
      <c r="J61">
        <f>Inputs!J$44</f>
        <v/>
      </c>
      <c r="K61">
        <f>Inputs!K$44</f>
        <v/>
      </c>
      <c r="L61">
        <f>Inputs!L$44</f>
        <v/>
      </c>
      <c r="M61">
        <f>Inputs!M$44</f>
        <v/>
      </c>
      <c r="N61">
        <f>Inputs!N$44</f>
        <v/>
      </c>
    </row>
    <row r="62">
      <c r="A62" t="inlineStr">
        <is>
          <t>Disposals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s="8" t="inlineStr">
        <is>
          <t>Closing Balance</t>
        </is>
      </c>
      <c r="C63" s="9">
        <f>C60+C61-C62</f>
        <v/>
      </c>
      <c r="D63" s="9">
        <f>D60+D61-D62</f>
        <v/>
      </c>
      <c r="E63" s="9">
        <f>E60+E61-E62</f>
        <v/>
      </c>
      <c r="F63" s="9">
        <f>F60+F61-F62</f>
        <v/>
      </c>
      <c r="G63" s="9">
        <f>G60+G61-G62</f>
        <v/>
      </c>
      <c r="H63" s="9">
        <f>H60+H61-H62</f>
        <v/>
      </c>
      <c r="I63" s="9">
        <f>I60+I61-I62</f>
        <v/>
      </c>
      <c r="J63" s="9">
        <f>J60+J61-J62</f>
        <v/>
      </c>
      <c r="K63" s="9">
        <f>K60+K61-K62</f>
        <v/>
      </c>
      <c r="L63" s="9">
        <f>L60+L61-L62</f>
        <v/>
      </c>
      <c r="M63" s="9">
        <f>M60+M61-M62</f>
        <v/>
      </c>
      <c r="N63" s="9">
        <f>N60+N61-N62</f>
        <v/>
      </c>
    </row>
    <row r="65">
      <c r="A65" s="5" t="inlineStr">
        <is>
          <t>ACCUMULATED DEPRECIATION CONTROL</t>
        </is>
      </c>
    </row>
    <row r="66">
      <c r="A66" t="inlineStr">
        <is>
          <t>Opening Balance</t>
        </is>
      </c>
      <c r="C66">
        <f>Inputs!$C$64</f>
        <v/>
      </c>
      <c r="D66">
        <f>C68</f>
        <v/>
      </c>
      <c r="E66">
        <f>D68</f>
        <v/>
      </c>
      <c r="F66">
        <f>E68</f>
        <v/>
      </c>
      <c r="G66">
        <f>F68</f>
        <v/>
      </c>
      <c r="H66">
        <f>G68</f>
        <v/>
      </c>
      <c r="I66">
        <f>H68</f>
        <v/>
      </c>
      <c r="J66">
        <f>I68</f>
        <v/>
      </c>
      <c r="K66">
        <f>J68</f>
        <v/>
      </c>
      <c r="L66">
        <f>K68</f>
        <v/>
      </c>
      <c r="M66">
        <f>L68</f>
        <v/>
      </c>
      <c r="N66">
        <f>M68</f>
        <v/>
      </c>
    </row>
    <row r="67">
      <c r="A67" t="inlineStr">
        <is>
          <t>Depreciation Expense</t>
        </is>
      </c>
      <c r="C67">
        <f>C61*Inputs!$C$47</f>
        <v/>
      </c>
      <c r="D67">
        <f>D61*Inputs!$C$47</f>
        <v/>
      </c>
      <c r="E67">
        <f>E61*Inputs!$C$47</f>
        <v/>
      </c>
      <c r="F67">
        <f>F61*Inputs!$C$47</f>
        <v/>
      </c>
      <c r="G67">
        <f>G61*Inputs!$C$47</f>
        <v/>
      </c>
      <c r="H67">
        <f>H61*Inputs!$C$47</f>
        <v/>
      </c>
      <c r="I67">
        <f>I61*Inputs!$C$47</f>
        <v/>
      </c>
      <c r="J67">
        <f>J61*Inputs!$C$47</f>
        <v/>
      </c>
      <c r="K67">
        <f>K61*Inputs!$C$47</f>
        <v/>
      </c>
      <c r="L67">
        <f>L61*Inputs!$C$47</f>
        <v/>
      </c>
      <c r="M67">
        <f>M61*Inputs!$C$47</f>
        <v/>
      </c>
      <c r="N67">
        <f>N61*Inputs!$C$47</f>
        <v/>
      </c>
    </row>
    <row r="68">
      <c r="A68" s="8" t="inlineStr">
        <is>
          <t>Closing Balance</t>
        </is>
      </c>
      <c r="C68" s="9">
        <f>C66+C67</f>
        <v/>
      </c>
      <c r="D68" s="9">
        <f>D66+D67</f>
        <v/>
      </c>
      <c r="E68" s="9">
        <f>E66+E67</f>
        <v/>
      </c>
      <c r="F68" s="9">
        <f>F66+F67</f>
        <v/>
      </c>
      <c r="G68" s="9">
        <f>G66+G67</f>
        <v/>
      </c>
      <c r="H68" s="9">
        <f>H66+H67</f>
        <v/>
      </c>
      <c r="I68" s="9">
        <f>I66+I67</f>
        <v/>
      </c>
      <c r="J68" s="9">
        <f>J66+J67</f>
        <v/>
      </c>
      <c r="K68" s="9">
        <f>K66+K67</f>
        <v/>
      </c>
      <c r="L68" s="9">
        <f>L66+L67</f>
        <v/>
      </c>
      <c r="M68" s="9">
        <f>M66+M67</f>
        <v/>
      </c>
      <c r="N68" s="9">
        <f>N66+N67</f>
        <v/>
      </c>
    </row>
    <row r="70">
      <c r="A70" s="5" t="inlineStr">
        <is>
          <t>DEBT CONTROL</t>
        </is>
      </c>
    </row>
    <row r="71">
      <c r="A71" t="inlineStr">
        <is>
          <t>Opening Balance</t>
        </is>
      </c>
      <c r="C71">
        <f>Inputs!$C$68</f>
        <v/>
      </c>
      <c r="D71">
        <f>C75</f>
        <v/>
      </c>
      <c r="E71">
        <f>D75</f>
        <v/>
      </c>
      <c r="F71">
        <f>E75</f>
        <v/>
      </c>
      <c r="G71">
        <f>F75</f>
        <v/>
      </c>
      <c r="H71">
        <f>G75</f>
        <v/>
      </c>
      <c r="I71">
        <f>H75</f>
        <v/>
      </c>
      <c r="J71">
        <f>I75</f>
        <v/>
      </c>
      <c r="K71">
        <f>J75</f>
        <v/>
      </c>
      <c r="L71">
        <f>K75</f>
        <v/>
      </c>
      <c r="M71">
        <f>L75</f>
        <v/>
      </c>
      <c r="N71">
        <f>M75</f>
        <v/>
      </c>
    </row>
    <row r="72">
      <c r="A72" t="inlineStr">
        <is>
          <t>New Borrowing</t>
        </is>
      </c>
      <c r="C72">
        <f>Inputs!C$52</f>
        <v/>
      </c>
      <c r="D72">
        <f>Inputs!D$52</f>
        <v/>
      </c>
      <c r="E72">
        <f>Inputs!E$52</f>
        <v/>
      </c>
      <c r="F72">
        <f>Inputs!F$52</f>
        <v/>
      </c>
      <c r="G72">
        <f>Inputs!G$52</f>
        <v/>
      </c>
      <c r="H72">
        <f>Inputs!H$52</f>
        <v/>
      </c>
      <c r="I72">
        <f>Inputs!I$52</f>
        <v/>
      </c>
      <c r="J72">
        <f>Inputs!J$52</f>
        <v/>
      </c>
      <c r="K72">
        <f>Inputs!K$52</f>
        <v/>
      </c>
      <c r="L72">
        <f>Inputs!L$52</f>
        <v/>
      </c>
      <c r="M72">
        <f>Inputs!M$52</f>
        <v/>
      </c>
      <c r="N72">
        <f>Inputs!N$52</f>
        <v/>
      </c>
    </row>
    <row r="73">
      <c r="A73" t="inlineStr">
        <is>
          <t>Interest Accrued</t>
        </is>
      </c>
      <c r="C73">
        <f>C71*Inputs!$C$51</f>
        <v/>
      </c>
      <c r="D73">
        <f>D71*Inputs!$C$51</f>
        <v/>
      </c>
      <c r="E73">
        <f>E71*Inputs!$C$51</f>
        <v/>
      </c>
      <c r="F73">
        <f>F71*Inputs!$C$51</f>
        <v/>
      </c>
      <c r="G73">
        <f>G71*Inputs!$C$51</f>
        <v/>
      </c>
      <c r="H73">
        <f>H71*Inputs!$C$51</f>
        <v/>
      </c>
      <c r="I73">
        <f>I71*Inputs!$C$51</f>
        <v/>
      </c>
      <c r="J73">
        <f>J71*Inputs!$C$51</f>
        <v/>
      </c>
      <c r="K73">
        <f>K71*Inputs!$C$51</f>
        <v/>
      </c>
      <c r="L73">
        <f>L71*Inputs!$C$51</f>
        <v/>
      </c>
      <c r="M73">
        <f>M71*Inputs!$C$51</f>
        <v/>
      </c>
      <c r="N73">
        <f>N71*Inputs!$C$51</f>
        <v/>
      </c>
    </row>
    <row r="74">
      <c r="A74" t="inlineStr">
        <is>
          <t>Interest Paid</t>
        </is>
      </c>
      <c r="C74">
        <f>C73</f>
        <v/>
      </c>
      <c r="D74">
        <f>D73</f>
        <v/>
      </c>
      <c r="E74">
        <f>E73</f>
        <v/>
      </c>
      <c r="F74">
        <f>F73</f>
        <v/>
      </c>
      <c r="G74">
        <f>G73</f>
        <v/>
      </c>
      <c r="H74">
        <f>H73</f>
        <v/>
      </c>
      <c r="I74">
        <f>I73</f>
        <v/>
      </c>
      <c r="J74">
        <f>J73</f>
        <v/>
      </c>
      <c r="K74">
        <f>K73</f>
        <v/>
      </c>
      <c r="L74">
        <f>L73</f>
        <v/>
      </c>
      <c r="M74">
        <f>M73</f>
        <v/>
      </c>
      <c r="N74">
        <f>N73</f>
        <v/>
      </c>
    </row>
    <row r="75">
      <c r="A75" t="inlineStr">
        <is>
          <t>Principal Repayment</t>
        </is>
      </c>
      <c r="C75">
        <f>Inputs!C$53</f>
        <v/>
      </c>
      <c r="D75">
        <f>Inputs!D$53</f>
        <v/>
      </c>
      <c r="E75">
        <f>Inputs!E$53</f>
        <v/>
      </c>
      <c r="F75">
        <f>Inputs!F$53</f>
        <v/>
      </c>
      <c r="G75">
        <f>Inputs!G$53</f>
        <v/>
      </c>
      <c r="H75">
        <f>Inputs!H$53</f>
        <v/>
      </c>
      <c r="I75">
        <f>Inputs!I$53</f>
        <v/>
      </c>
      <c r="J75">
        <f>Inputs!J$53</f>
        <v/>
      </c>
      <c r="K75">
        <f>Inputs!K$53</f>
        <v/>
      </c>
      <c r="L75">
        <f>Inputs!L$53</f>
        <v/>
      </c>
      <c r="M75">
        <f>Inputs!M$53</f>
        <v/>
      </c>
      <c r="N75">
        <f>Inputs!N$53</f>
        <v/>
      </c>
    </row>
    <row r="76">
      <c r="A76" s="8" t="inlineStr">
        <is>
          <t>Closing Balance</t>
        </is>
      </c>
      <c r="C76" s="9">
        <f>C71+C72+C73-C74-C75</f>
        <v/>
      </c>
      <c r="D76" s="9">
        <f>D71+D72+D73-D74-D75</f>
        <v/>
      </c>
      <c r="E76" s="9">
        <f>E71+E72+E73-E74-E75</f>
        <v/>
      </c>
      <c r="F76" s="9">
        <f>F71+F72+F73-F74-F75</f>
        <v/>
      </c>
      <c r="G76" s="9">
        <f>G71+G72+G73-G74-G75</f>
        <v/>
      </c>
      <c r="H76" s="9">
        <f>H71+H72+H73-H74-H75</f>
        <v/>
      </c>
      <c r="I76" s="9">
        <f>I71+I72+I73-I74-I75</f>
        <v/>
      </c>
      <c r="J76" s="9">
        <f>J71+J72+J73-J74-J75</f>
        <v/>
      </c>
      <c r="K76" s="9">
        <f>K71+K72+K73-K74-K75</f>
        <v/>
      </c>
      <c r="L76" s="9">
        <f>L71+L72+L73-L74-L75</f>
        <v/>
      </c>
      <c r="M76" s="9">
        <f>M71+M72+M73-M74-M75</f>
        <v/>
      </c>
      <c r="N76" s="9">
        <f>N71+N72+N73-N74-N75</f>
        <v/>
      </c>
    </row>
    <row r="78">
      <c r="A78" s="5" t="inlineStr">
        <is>
          <t>SHARE CAPITAL CONTROL</t>
        </is>
      </c>
    </row>
    <row r="79">
      <c r="A79" t="inlineStr">
        <is>
          <t>Opening Balance</t>
        </is>
      </c>
      <c r="C79">
        <f>Inputs!$C$69</f>
        <v/>
      </c>
      <c r="D79">
        <f>C81</f>
        <v/>
      </c>
      <c r="E79">
        <f>D81</f>
        <v/>
      </c>
      <c r="F79">
        <f>E81</f>
        <v/>
      </c>
      <c r="G79">
        <f>F81</f>
        <v/>
      </c>
      <c r="H79">
        <f>G81</f>
        <v/>
      </c>
      <c r="I79">
        <f>H81</f>
        <v/>
      </c>
      <c r="J79">
        <f>I81</f>
        <v/>
      </c>
      <c r="K79">
        <f>J81</f>
        <v/>
      </c>
      <c r="L79">
        <f>K81</f>
        <v/>
      </c>
      <c r="M79">
        <f>L81</f>
        <v/>
      </c>
      <c r="N79">
        <f>M81</f>
        <v/>
      </c>
    </row>
    <row r="80">
      <c r="A80" t="inlineStr">
        <is>
          <t>New Share Capital</t>
        </is>
      </c>
      <c r="C80">
        <f>Inputs!C$57</f>
        <v/>
      </c>
      <c r="D80">
        <f>Inputs!D$57</f>
        <v/>
      </c>
      <c r="E80">
        <f>Inputs!E$57</f>
        <v/>
      </c>
      <c r="F80">
        <f>Inputs!F$57</f>
        <v/>
      </c>
      <c r="G80">
        <f>Inputs!G$57</f>
        <v/>
      </c>
      <c r="H80">
        <f>Inputs!H$57</f>
        <v/>
      </c>
      <c r="I80">
        <f>Inputs!I$57</f>
        <v/>
      </c>
      <c r="J80">
        <f>Inputs!J$57</f>
        <v/>
      </c>
      <c r="K80">
        <f>Inputs!K$57</f>
        <v/>
      </c>
      <c r="L80">
        <f>Inputs!L$57</f>
        <v/>
      </c>
      <c r="M80">
        <f>Inputs!M$57</f>
        <v/>
      </c>
      <c r="N80">
        <f>Inputs!N$57</f>
        <v/>
      </c>
    </row>
    <row r="81">
      <c r="A81" s="8" t="inlineStr">
        <is>
          <t>Closing Balance</t>
        </is>
      </c>
      <c r="C81" s="9">
        <f>C79+C80</f>
        <v/>
      </c>
      <c r="D81" s="9">
        <f>D79+D80</f>
        <v/>
      </c>
      <c r="E81" s="9">
        <f>E79+E80</f>
        <v/>
      </c>
      <c r="F81" s="9">
        <f>F79+F80</f>
        <v/>
      </c>
      <c r="G81" s="9">
        <f>G79+G80</f>
        <v/>
      </c>
      <c r="H81" s="9">
        <f>H79+H80</f>
        <v/>
      </c>
      <c r="I81" s="9">
        <f>I79+I80</f>
        <v/>
      </c>
      <c r="J81" s="9">
        <f>J79+J80</f>
        <v/>
      </c>
      <c r="K81" s="9">
        <f>K79+K80</f>
        <v/>
      </c>
      <c r="L81" s="9">
        <f>L79+L80</f>
        <v/>
      </c>
      <c r="M81" s="9">
        <f>M79+M80</f>
        <v/>
      </c>
      <c r="N81" s="9">
        <f>N79+N80</f>
        <v/>
      </c>
    </row>
    <row r="83">
      <c r="A83" s="5" t="inlineStr">
        <is>
          <t>RETAINED EARNINGS CONTROL</t>
        </is>
      </c>
    </row>
    <row r="84">
      <c r="A84" t="inlineStr">
        <is>
          <t>Opening Balance</t>
        </is>
      </c>
      <c r="C84">
        <f>Inputs!$C$70</f>
        <v/>
      </c>
      <c r="D84">
        <f>C87</f>
        <v/>
      </c>
      <c r="E84">
        <f>D87</f>
        <v/>
      </c>
      <c r="F84">
        <f>E87</f>
        <v/>
      </c>
      <c r="G84">
        <f>F87</f>
        <v/>
      </c>
      <c r="H84">
        <f>G87</f>
        <v/>
      </c>
      <c r="I84">
        <f>H87</f>
        <v/>
      </c>
      <c r="J84">
        <f>I87</f>
        <v/>
      </c>
      <c r="K84">
        <f>J87</f>
        <v/>
      </c>
      <c r="L84">
        <f>K87</f>
        <v/>
      </c>
      <c r="M84">
        <f>L87</f>
        <v/>
      </c>
      <c r="N84">
        <f>M87</f>
        <v/>
      </c>
    </row>
    <row r="85">
      <c r="A85" t="inlineStr">
        <is>
          <t>Net Income</t>
        </is>
      </c>
      <c r="C85">
        <f>'Income Statement'!C20</f>
        <v/>
      </c>
      <c r="D85">
        <f>'Income Statement'!D20</f>
        <v/>
      </c>
      <c r="E85">
        <f>'Income Statement'!E20</f>
        <v/>
      </c>
      <c r="F85">
        <f>'Income Statement'!F20</f>
        <v/>
      </c>
      <c r="G85">
        <f>'Income Statement'!G20</f>
        <v/>
      </c>
      <c r="H85">
        <f>'Income Statement'!H20</f>
        <v/>
      </c>
      <c r="I85">
        <f>'Income Statement'!I20</f>
        <v/>
      </c>
      <c r="J85">
        <f>'Income Statement'!J20</f>
        <v/>
      </c>
      <c r="K85">
        <f>'Income Statement'!K20</f>
        <v/>
      </c>
      <c r="L85">
        <f>'Income Statement'!L20</f>
        <v/>
      </c>
      <c r="M85">
        <f>'Income Statement'!M20</f>
        <v/>
      </c>
      <c r="N85">
        <f>'Income Statement'!N20</f>
        <v/>
      </c>
    </row>
    <row r="86">
      <c r="A86" t="inlineStr">
        <is>
          <t>Dividends</t>
        </is>
      </c>
      <c r="C86">
        <f>Inputs!C$58</f>
        <v/>
      </c>
      <c r="D86">
        <f>Inputs!D$58</f>
        <v/>
      </c>
      <c r="E86">
        <f>Inputs!E$58</f>
        <v/>
      </c>
      <c r="F86">
        <f>Inputs!F$58</f>
        <v/>
      </c>
      <c r="G86">
        <f>Inputs!G$58</f>
        <v/>
      </c>
      <c r="H86">
        <f>Inputs!H$58</f>
        <v/>
      </c>
      <c r="I86">
        <f>Inputs!I$58</f>
        <v/>
      </c>
      <c r="J86">
        <f>Inputs!J$58</f>
        <v/>
      </c>
      <c r="K86">
        <f>Inputs!K$58</f>
        <v/>
      </c>
      <c r="L86">
        <f>Inputs!L$58</f>
        <v/>
      </c>
      <c r="M86">
        <f>Inputs!M$58</f>
        <v/>
      </c>
      <c r="N86">
        <f>Inputs!N$58</f>
        <v/>
      </c>
    </row>
    <row r="87">
      <c r="A87" s="8" t="inlineStr">
        <is>
          <t>Closing Balance</t>
        </is>
      </c>
      <c r="C87" s="9">
        <f>C84+C85-C86</f>
        <v/>
      </c>
      <c r="D87" s="9">
        <f>D84+D85-D86</f>
        <v/>
      </c>
      <c r="E87" s="9">
        <f>E84+E85-E86</f>
        <v/>
      </c>
      <c r="F87" s="9">
        <f>F84+F85-F86</f>
        <v/>
      </c>
      <c r="G87" s="9">
        <f>G84+G85-G86</f>
        <v/>
      </c>
      <c r="H87" s="9">
        <f>H84+H85-H86</f>
        <v/>
      </c>
      <c r="I87" s="9">
        <f>I84+I85-I86</f>
        <v/>
      </c>
      <c r="J87" s="9">
        <f>J84+J85-J86</f>
        <v/>
      </c>
      <c r="K87" s="9">
        <f>K84+K85-K86</f>
        <v/>
      </c>
      <c r="L87" s="9">
        <f>L84+L85-L86</f>
        <v/>
      </c>
      <c r="M87" s="9">
        <f>M84+M85-M86</f>
        <v/>
      </c>
      <c r="N87" s="9">
        <f>N84+N85-N86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INCOME STATEMENT</t>
        </is>
      </c>
    </row>
    <row r="3">
      <c r="A3" s="2" t="inlineStr">
        <is>
          <t>Period</t>
        </is>
      </c>
      <c r="C3" s="2">
        <f>Inputs!C3</f>
        <v/>
      </c>
      <c r="D3" s="2">
        <f>Inputs!D3</f>
        <v/>
      </c>
      <c r="E3" s="2">
        <f>Inputs!E3</f>
        <v/>
      </c>
      <c r="F3" s="2">
        <f>Inputs!F3</f>
        <v/>
      </c>
      <c r="G3" s="2">
        <f>Inputs!G3</f>
        <v/>
      </c>
      <c r="H3" s="2">
        <f>Inputs!H3</f>
        <v/>
      </c>
      <c r="I3" s="2">
        <f>Inputs!I3</f>
        <v/>
      </c>
      <c r="J3" s="2">
        <f>Inputs!J3</f>
        <v/>
      </c>
      <c r="K3" s="2">
        <f>Inputs!K3</f>
        <v/>
      </c>
      <c r="L3" s="2">
        <f>Inputs!L3</f>
        <v/>
      </c>
      <c r="M3" s="2">
        <f>Inputs!M3</f>
        <v/>
      </c>
      <c r="N3" s="2">
        <f>Inputs!N3</f>
        <v/>
      </c>
    </row>
    <row r="5">
      <c r="A5" s="7" t="inlineStr">
        <is>
          <t>Revenue</t>
        </is>
      </c>
      <c r="C5">
        <f>Inputs!C$9</f>
        <v/>
      </c>
      <c r="D5">
        <f>Inputs!D$9</f>
        <v/>
      </c>
      <c r="E5">
        <f>Inputs!E$9</f>
        <v/>
      </c>
      <c r="F5">
        <f>Inputs!F$9</f>
        <v/>
      </c>
      <c r="G5">
        <f>Inputs!G$9</f>
        <v/>
      </c>
      <c r="H5">
        <f>Inputs!H$9</f>
        <v/>
      </c>
      <c r="I5">
        <f>Inputs!I$9</f>
        <v/>
      </c>
      <c r="J5">
        <f>Inputs!J$9</f>
        <v/>
      </c>
      <c r="K5">
        <f>Inputs!K$9</f>
        <v/>
      </c>
      <c r="L5">
        <f>Inputs!L$9</f>
        <v/>
      </c>
      <c r="M5">
        <f>Inputs!M$9</f>
        <v/>
      </c>
      <c r="N5">
        <f>Inputs!N$9</f>
        <v/>
      </c>
    </row>
    <row r="6">
      <c r="A6" t="inlineStr">
        <is>
          <t>Cost of Goods Sold</t>
        </is>
      </c>
      <c r="C6">
        <f>Workings!C42</f>
        <v/>
      </c>
      <c r="D6">
        <f>Workings!D42</f>
        <v/>
      </c>
      <c r="E6">
        <f>Workings!E42</f>
        <v/>
      </c>
      <c r="F6">
        <f>Workings!F42</f>
        <v/>
      </c>
      <c r="G6">
        <f>Workings!G42</f>
        <v/>
      </c>
      <c r="H6">
        <f>Workings!H42</f>
        <v/>
      </c>
      <c r="I6">
        <f>Workings!I42</f>
        <v/>
      </c>
      <c r="J6">
        <f>Workings!J42</f>
        <v/>
      </c>
      <c r="K6">
        <f>Workings!K42</f>
        <v/>
      </c>
      <c r="L6">
        <f>Workings!L42</f>
        <v/>
      </c>
      <c r="M6">
        <f>Workings!M42</f>
        <v/>
      </c>
      <c r="N6">
        <f>Workings!N42</f>
        <v/>
      </c>
    </row>
    <row r="7">
      <c r="A7" s="10" t="inlineStr">
        <is>
          <t>Gross Profit</t>
        </is>
      </c>
      <c r="C7" s="11">
        <f>C5-C6</f>
        <v/>
      </c>
      <c r="D7" s="11">
        <f>D5-D6</f>
        <v/>
      </c>
      <c r="E7" s="11">
        <f>E5-E6</f>
        <v/>
      </c>
      <c r="F7" s="11">
        <f>F5-F6</f>
        <v/>
      </c>
      <c r="G7" s="11">
        <f>G5-G6</f>
        <v/>
      </c>
      <c r="H7" s="11">
        <f>H5-H6</f>
        <v/>
      </c>
      <c r="I7" s="11">
        <f>I5-I6</f>
        <v/>
      </c>
      <c r="J7" s="11">
        <f>J5-J6</f>
        <v/>
      </c>
      <c r="K7" s="11">
        <f>K5-K6</f>
        <v/>
      </c>
      <c r="L7" s="11">
        <f>L5-L6</f>
        <v/>
      </c>
      <c r="M7" s="11">
        <f>M5-M6</f>
        <v/>
      </c>
      <c r="N7" s="11">
        <f>N5-N6</f>
        <v/>
      </c>
    </row>
    <row r="9">
      <c r="A9" s="7" t="inlineStr">
        <is>
          <t>Operating Expenses:</t>
        </is>
      </c>
    </row>
    <row r="10">
      <c r="A10" t="inlineStr">
        <is>
          <t>Salaries &amp; Wages</t>
        </is>
      </c>
      <c r="C10">
        <f>Inputs!$C$15</f>
        <v/>
      </c>
      <c r="D10">
        <f>Inputs!$C$15</f>
        <v/>
      </c>
      <c r="E10">
        <f>Inputs!$C$15</f>
        <v/>
      </c>
      <c r="F10">
        <f>Inputs!$C$15</f>
        <v/>
      </c>
      <c r="G10">
        <f>Inputs!$C$15</f>
        <v/>
      </c>
      <c r="H10">
        <f>Inputs!$C$15</f>
        <v/>
      </c>
      <c r="I10">
        <f>Inputs!$C$15</f>
        <v/>
      </c>
      <c r="J10">
        <f>Inputs!$C$15</f>
        <v/>
      </c>
      <c r="K10">
        <f>Inputs!$C$15</f>
        <v/>
      </c>
      <c r="L10">
        <f>Inputs!$C$15</f>
        <v/>
      </c>
      <c r="M10">
        <f>Inputs!$C$15</f>
        <v/>
      </c>
      <c r="N10">
        <f>Inputs!$C$15</f>
        <v/>
      </c>
    </row>
    <row r="11">
      <c r="A11" t="inlineStr">
        <is>
          <t>Rent</t>
        </is>
      </c>
      <c r="C11">
        <f>Inputs!$C$17</f>
        <v/>
      </c>
      <c r="D11">
        <f>Inputs!$C$17</f>
        <v/>
      </c>
      <c r="E11">
        <f>Inputs!$C$17</f>
        <v/>
      </c>
      <c r="F11">
        <f>Inputs!$C$17</f>
        <v/>
      </c>
      <c r="G11">
        <f>Inputs!$C$17</f>
        <v/>
      </c>
      <c r="H11">
        <f>Inputs!$C$17</f>
        <v/>
      </c>
      <c r="I11">
        <f>Inputs!$C$17</f>
        <v/>
      </c>
      <c r="J11">
        <f>Inputs!$C$17</f>
        <v/>
      </c>
      <c r="K11">
        <f>Inputs!$C$17</f>
        <v/>
      </c>
      <c r="L11">
        <f>Inputs!$C$17</f>
        <v/>
      </c>
      <c r="M11">
        <f>Inputs!$C$17</f>
        <v/>
      </c>
      <c r="N11">
        <f>Inputs!$C$17</f>
        <v/>
      </c>
    </row>
    <row r="12">
      <c r="A12" t="inlineStr">
        <is>
          <t>Marketing</t>
        </is>
      </c>
      <c r="C12">
        <f>Inputs!$C$18</f>
        <v/>
      </c>
      <c r="D12">
        <f>Inputs!$C$18</f>
        <v/>
      </c>
      <c r="E12">
        <f>Inputs!$C$18</f>
        <v/>
      </c>
      <c r="F12">
        <f>Inputs!$C$18</f>
        <v/>
      </c>
      <c r="G12">
        <f>Inputs!$C$18</f>
        <v/>
      </c>
      <c r="H12">
        <f>Inputs!$C$18</f>
        <v/>
      </c>
      <c r="I12">
        <f>Inputs!$C$18</f>
        <v/>
      </c>
      <c r="J12">
        <f>Inputs!$C$18</f>
        <v/>
      </c>
      <c r="K12">
        <f>Inputs!$C$18</f>
        <v/>
      </c>
      <c r="L12">
        <f>Inputs!$C$18</f>
        <v/>
      </c>
      <c r="M12">
        <f>Inputs!$C$18</f>
        <v/>
      </c>
      <c r="N12">
        <f>Inputs!$C$18</f>
        <v/>
      </c>
    </row>
    <row r="13">
      <c r="A13" t="inlineStr">
        <is>
          <t>Other Operating Expenses</t>
        </is>
      </c>
      <c r="C13">
        <f>Inputs!$C$19</f>
        <v/>
      </c>
      <c r="D13">
        <f>Inputs!$C$19</f>
        <v/>
      </c>
      <c r="E13">
        <f>Inputs!$C$19</f>
        <v/>
      </c>
      <c r="F13">
        <f>Inputs!$C$19</f>
        <v/>
      </c>
      <c r="G13">
        <f>Inputs!$C$19</f>
        <v/>
      </c>
      <c r="H13">
        <f>Inputs!$C$19</f>
        <v/>
      </c>
      <c r="I13">
        <f>Inputs!$C$19</f>
        <v/>
      </c>
      <c r="J13">
        <f>Inputs!$C$19</f>
        <v/>
      </c>
      <c r="K13">
        <f>Inputs!$C$19</f>
        <v/>
      </c>
      <c r="L13">
        <f>Inputs!$C$19</f>
        <v/>
      </c>
      <c r="M13">
        <f>Inputs!$C$19</f>
        <v/>
      </c>
      <c r="N13">
        <f>Inputs!$C$19</f>
        <v/>
      </c>
    </row>
    <row r="14">
      <c r="A14" t="inlineStr">
        <is>
          <t>Depreciation</t>
        </is>
      </c>
      <c r="C14">
        <f>Workings!C112</f>
        <v/>
      </c>
      <c r="D14">
        <f>Workings!D112</f>
        <v/>
      </c>
      <c r="E14">
        <f>Workings!E112</f>
        <v/>
      </c>
      <c r="F14">
        <f>Workings!F112</f>
        <v/>
      </c>
      <c r="G14">
        <f>Workings!G112</f>
        <v/>
      </c>
      <c r="H14">
        <f>Workings!H112</f>
        <v/>
      </c>
      <c r="I14">
        <f>Workings!I112</f>
        <v/>
      </c>
      <c r="J14">
        <f>Workings!J112</f>
        <v/>
      </c>
      <c r="K14">
        <f>Workings!K112</f>
        <v/>
      </c>
      <c r="L14">
        <f>Workings!L112</f>
        <v/>
      </c>
      <c r="M14">
        <f>Workings!M112</f>
        <v/>
      </c>
      <c r="N14">
        <f>Workings!N112</f>
        <v/>
      </c>
    </row>
    <row r="15">
      <c r="A15" s="7" t="inlineStr">
        <is>
          <t>Total Operating Expenses</t>
        </is>
      </c>
      <c r="C15">
        <f>SUM(C10:C14)</f>
        <v/>
      </c>
      <c r="D15">
        <f>SUM(D10:D14)</f>
        <v/>
      </c>
      <c r="E15">
        <f>SUM(E10:E14)</f>
        <v/>
      </c>
      <c r="F15">
        <f>SUM(F10:F14)</f>
        <v/>
      </c>
      <c r="G15">
        <f>SUM(G10:G14)</f>
        <v/>
      </c>
      <c r="H15">
        <f>SUM(H10:H14)</f>
        <v/>
      </c>
      <c r="I15">
        <f>SUM(I10:I14)</f>
        <v/>
      </c>
      <c r="J15">
        <f>SUM(J10:J14)</f>
        <v/>
      </c>
      <c r="K15">
        <f>SUM(K10:K14)</f>
        <v/>
      </c>
      <c r="L15">
        <f>SUM(L10:L14)</f>
        <v/>
      </c>
      <c r="M15">
        <f>SUM(M10:M14)</f>
        <v/>
      </c>
      <c r="N15">
        <f>SUM(N10:N14)</f>
        <v/>
      </c>
    </row>
    <row r="17">
      <c r="A17" s="10" t="inlineStr">
        <is>
          <t>EBIT</t>
        </is>
      </c>
      <c r="C17" s="11">
        <f>C8-C15</f>
        <v/>
      </c>
      <c r="D17" s="11">
        <f>D8-D15</f>
        <v/>
      </c>
      <c r="E17" s="11">
        <f>E8-E15</f>
        <v/>
      </c>
      <c r="F17" s="11">
        <f>F8-F15</f>
        <v/>
      </c>
      <c r="G17" s="11">
        <f>G8-G15</f>
        <v/>
      </c>
      <c r="H17" s="11">
        <f>H8-H15</f>
        <v/>
      </c>
      <c r="I17" s="11">
        <f>I8-I15</f>
        <v/>
      </c>
      <c r="J17" s="11">
        <f>J8-J15</f>
        <v/>
      </c>
      <c r="K17" s="11">
        <f>K8-K15</f>
        <v/>
      </c>
      <c r="L17" s="11">
        <f>L8-L15</f>
        <v/>
      </c>
      <c r="M17" s="11">
        <f>M8-M15</f>
        <v/>
      </c>
      <c r="N17" s="11">
        <f>N8-N15</f>
        <v/>
      </c>
    </row>
    <row r="19">
      <c r="A19" t="inlineStr">
        <is>
          <t>Interest Expense</t>
        </is>
      </c>
      <c r="C19">
        <f>Workings!C117</f>
        <v/>
      </c>
      <c r="D19">
        <f>Workings!D117</f>
        <v/>
      </c>
      <c r="E19">
        <f>Workings!E117</f>
        <v/>
      </c>
      <c r="F19">
        <f>Workings!F117</f>
        <v/>
      </c>
      <c r="G19">
        <f>Workings!G117</f>
        <v/>
      </c>
      <c r="H19">
        <f>Workings!H117</f>
        <v/>
      </c>
      <c r="I19">
        <f>Workings!I117</f>
        <v/>
      </c>
      <c r="J19">
        <f>Workings!J117</f>
        <v/>
      </c>
      <c r="K19">
        <f>Workings!K117</f>
        <v/>
      </c>
      <c r="L19">
        <f>Workings!L117</f>
        <v/>
      </c>
      <c r="M19">
        <f>Workings!M117</f>
        <v/>
      </c>
      <c r="N19">
        <f>Workings!N117</f>
        <v/>
      </c>
    </row>
    <row r="20">
      <c r="A20" s="10" t="inlineStr">
        <is>
          <t>Earnings Before Tax</t>
        </is>
      </c>
      <c r="C20" s="11">
        <f>C17-C19</f>
        <v/>
      </c>
      <c r="D20" s="11">
        <f>D17-D19</f>
        <v/>
      </c>
      <c r="E20" s="11">
        <f>E17-E19</f>
        <v/>
      </c>
      <c r="F20" s="11">
        <f>F17-F19</f>
        <v/>
      </c>
      <c r="G20" s="11">
        <f>G17-G19</f>
        <v/>
      </c>
      <c r="H20" s="11">
        <f>H17-H19</f>
        <v/>
      </c>
      <c r="I20" s="11">
        <f>I17-I19</f>
        <v/>
      </c>
      <c r="J20" s="11">
        <f>J17-J19</f>
        <v/>
      </c>
      <c r="K20" s="11">
        <f>K17-K19</f>
        <v/>
      </c>
      <c r="L20" s="11">
        <f>L17-L19</f>
        <v/>
      </c>
      <c r="M20" s="11">
        <f>M17-M19</f>
        <v/>
      </c>
      <c r="N20" s="11">
        <f>N17-N19</f>
        <v/>
      </c>
    </row>
    <row r="22">
      <c r="A22" t="inlineStr">
        <is>
          <t>Income Tax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4">
      <c r="A24" s="12" t="inlineStr">
        <is>
          <t>NET INCOME</t>
        </is>
      </c>
      <c r="C24" s="9">
        <f>C20-C22</f>
        <v/>
      </c>
      <c r="D24" s="9">
        <f>D20-D22</f>
        <v/>
      </c>
      <c r="E24" s="9">
        <f>E20-E22</f>
        <v/>
      </c>
      <c r="F24" s="9">
        <f>F20-F22</f>
        <v/>
      </c>
      <c r="G24" s="9">
        <f>G20-G22</f>
        <v/>
      </c>
      <c r="H24" s="9">
        <f>H20-H22</f>
        <v/>
      </c>
      <c r="I24" s="9">
        <f>I20-I22</f>
        <v/>
      </c>
      <c r="J24" s="9">
        <f>J20-J22</f>
        <v/>
      </c>
      <c r="K24" s="9">
        <f>K20-K22</f>
        <v/>
      </c>
      <c r="L24" s="9">
        <f>L20-L22</f>
        <v/>
      </c>
      <c r="M24" s="9">
        <f>M20-M22</f>
        <v/>
      </c>
      <c r="N24" s="9">
        <f>N20-N22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BALANCE SHEET</t>
        </is>
      </c>
    </row>
    <row r="3">
      <c r="A3" s="2" t="inlineStr">
        <is>
          <t>Period Ending</t>
        </is>
      </c>
      <c r="C3" s="2">
        <f>Inputs!C3</f>
        <v/>
      </c>
      <c r="D3" s="2">
        <f>Inputs!D3</f>
        <v/>
      </c>
      <c r="E3" s="2">
        <f>Inputs!E3</f>
        <v/>
      </c>
      <c r="F3" s="2">
        <f>Inputs!F3</f>
        <v/>
      </c>
      <c r="G3" s="2">
        <f>Inputs!G3</f>
        <v/>
      </c>
      <c r="H3" s="2">
        <f>Inputs!H3</f>
        <v/>
      </c>
      <c r="I3" s="2">
        <f>Inputs!I3</f>
        <v/>
      </c>
      <c r="J3" s="2">
        <f>Inputs!J3</f>
        <v/>
      </c>
      <c r="K3" s="2">
        <f>Inputs!K3</f>
        <v/>
      </c>
      <c r="L3" s="2">
        <f>Inputs!L3</f>
        <v/>
      </c>
      <c r="M3" s="2">
        <f>Inputs!M3</f>
        <v/>
      </c>
      <c r="N3" s="2">
        <f>Inputs!N3</f>
        <v/>
      </c>
    </row>
    <row r="5">
      <c r="A5" s="13" t="inlineStr">
        <is>
          <t>ASSETS</t>
        </is>
      </c>
    </row>
    <row r="6">
      <c r="A6" s="7" t="inlineStr">
        <is>
          <t>Current Assets:</t>
        </is>
      </c>
    </row>
    <row r="7">
      <c r="A7" t="inlineStr">
        <is>
          <t>Cash</t>
        </is>
      </c>
      <c r="C7">
        <f>Workings!C18</f>
        <v/>
      </c>
      <c r="D7">
        <f>Workings!D18</f>
        <v/>
      </c>
      <c r="E7">
        <f>Workings!E18</f>
        <v/>
      </c>
      <c r="F7">
        <f>Workings!F18</f>
        <v/>
      </c>
      <c r="G7">
        <f>Workings!G18</f>
        <v/>
      </c>
      <c r="H7">
        <f>Workings!H18</f>
        <v/>
      </c>
      <c r="I7">
        <f>Workings!I18</f>
        <v/>
      </c>
      <c r="J7">
        <f>Workings!J18</f>
        <v/>
      </c>
      <c r="K7">
        <f>Workings!K18</f>
        <v/>
      </c>
      <c r="L7">
        <f>Workings!L18</f>
        <v/>
      </c>
      <c r="M7">
        <f>Workings!M18</f>
        <v/>
      </c>
      <c r="N7">
        <f>Workings!N18</f>
        <v/>
      </c>
    </row>
    <row r="8">
      <c r="A8" t="inlineStr">
        <is>
          <t>Accounts Receivable</t>
        </is>
      </c>
      <c r="C8">
        <f>Workings!C32</f>
        <v/>
      </c>
      <c r="D8">
        <f>Workings!D32</f>
        <v/>
      </c>
      <c r="E8">
        <f>Workings!E32</f>
        <v/>
      </c>
      <c r="F8">
        <f>Workings!F32</f>
        <v/>
      </c>
      <c r="G8">
        <f>Workings!G32</f>
        <v/>
      </c>
      <c r="H8">
        <f>Workings!H32</f>
        <v/>
      </c>
      <c r="I8">
        <f>Workings!I32</f>
        <v/>
      </c>
      <c r="J8">
        <f>Workings!J32</f>
        <v/>
      </c>
      <c r="K8">
        <f>Workings!K32</f>
        <v/>
      </c>
      <c r="L8">
        <f>Workings!L32</f>
        <v/>
      </c>
      <c r="M8">
        <f>Workings!M32</f>
        <v/>
      </c>
      <c r="N8">
        <f>Workings!N32</f>
        <v/>
      </c>
    </row>
    <row r="9">
      <c r="A9" t="inlineStr">
        <is>
          <t>Inventory</t>
        </is>
      </c>
      <c r="C9">
        <f>Workings!C45</f>
        <v/>
      </c>
      <c r="D9">
        <f>Workings!D45</f>
        <v/>
      </c>
      <c r="E9">
        <f>Workings!E45</f>
        <v/>
      </c>
      <c r="F9">
        <f>Workings!F45</f>
        <v/>
      </c>
      <c r="G9">
        <f>Workings!G45</f>
        <v/>
      </c>
      <c r="H9">
        <f>Workings!H45</f>
        <v/>
      </c>
      <c r="I9">
        <f>Workings!I45</f>
        <v/>
      </c>
      <c r="J9">
        <f>Workings!J45</f>
        <v/>
      </c>
      <c r="K9">
        <f>Workings!K45</f>
        <v/>
      </c>
      <c r="L9">
        <f>Workings!L45</f>
        <v/>
      </c>
      <c r="M9">
        <f>Workings!M45</f>
        <v/>
      </c>
      <c r="N9">
        <f>Workings!N45</f>
        <v/>
      </c>
    </row>
    <row r="10">
      <c r="A10" t="inlineStr">
        <is>
          <t>Prepayments</t>
        </is>
      </c>
      <c r="C10">
        <f>Workings!C54</f>
        <v/>
      </c>
      <c r="D10">
        <f>Workings!D54</f>
        <v/>
      </c>
      <c r="E10">
        <f>Workings!E54</f>
        <v/>
      </c>
      <c r="F10">
        <f>Workings!F54</f>
        <v/>
      </c>
      <c r="G10">
        <f>Workings!G54</f>
        <v/>
      </c>
      <c r="H10">
        <f>Workings!H54</f>
        <v/>
      </c>
      <c r="I10">
        <f>Workings!I54</f>
        <v/>
      </c>
      <c r="J10">
        <f>Workings!J54</f>
        <v/>
      </c>
      <c r="K10">
        <f>Workings!K54</f>
        <v/>
      </c>
      <c r="L10">
        <f>Workings!L54</f>
        <v/>
      </c>
      <c r="M10">
        <f>Workings!M54</f>
        <v/>
      </c>
      <c r="N10">
        <f>Workings!N54</f>
        <v/>
      </c>
    </row>
    <row r="11">
      <c r="A11" s="10" t="inlineStr">
        <is>
          <t>Total Current Assets</t>
        </is>
      </c>
      <c r="C11" s="11">
        <f>SUM(C7:C10)</f>
        <v/>
      </c>
      <c r="D11" s="11">
        <f>SUM(D7:D10)</f>
        <v/>
      </c>
      <c r="E11" s="11">
        <f>SUM(E7:E10)</f>
        <v/>
      </c>
      <c r="F11" s="11">
        <f>SUM(F7:F10)</f>
        <v/>
      </c>
      <c r="G11" s="11">
        <f>SUM(G7:G10)</f>
        <v/>
      </c>
      <c r="H11" s="11">
        <f>SUM(H7:H10)</f>
        <v/>
      </c>
      <c r="I11" s="11">
        <f>SUM(I7:I10)</f>
        <v/>
      </c>
      <c r="J11" s="11">
        <f>SUM(J7:J10)</f>
        <v/>
      </c>
      <c r="K11" s="11">
        <f>SUM(K7:K10)</f>
        <v/>
      </c>
      <c r="L11" s="11">
        <f>SUM(L7:L10)</f>
        <v/>
      </c>
      <c r="M11" s="11">
        <f>SUM(M7:M10)</f>
        <v/>
      </c>
      <c r="N11" s="11">
        <f>SUM(N7:N10)</f>
        <v/>
      </c>
    </row>
    <row r="13">
      <c r="A13" s="7" t="inlineStr">
        <is>
          <t>Non-Current Assets:</t>
        </is>
      </c>
    </row>
    <row r="14">
      <c r="A14" t="inlineStr">
        <is>
          <t>Fixed Assets (Gross)</t>
        </is>
      </c>
      <c r="C14">
        <f>Workings!C105</f>
        <v/>
      </c>
      <c r="D14">
        <f>Workings!D105</f>
        <v/>
      </c>
      <c r="E14">
        <f>Workings!E105</f>
        <v/>
      </c>
      <c r="F14">
        <f>Workings!F105</f>
        <v/>
      </c>
      <c r="G14">
        <f>Workings!G105</f>
        <v/>
      </c>
      <c r="H14">
        <f>Workings!H105</f>
        <v/>
      </c>
      <c r="I14">
        <f>Workings!I105</f>
        <v/>
      </c>
      <c r="J14">
        <f>Workings!J105</f>
        <v/>
      </c>
      <c r="K14">
        <f>Workings!K105</f>
        <v/>
      </c>
      <c r="L14">
        <f>Workings!L105</f>
        <v/>
      </c>
      <c r="M14">
        <f>Workings!M105</f>
        <v/>
      </c>
      <c r="N14">
        <f>Workings!N105</f>
        <v/>
      </c>
    </row>
    <row r="15">
      <c r="A15" t="inlineStr">
        <is>
          <t>Accumulated Depreciation</t>
        </is>
      </c>
      <c r="C15">
        <f>-Workings!C112</f>
        <v/>
      </c>
      <c r="D15">
        <f>-Workings!D112</f>
        <v/>
      </c>
      <c r="E15">
        <f>-Workings!E112</f>
        <v/>
      </c>
      <c r="F15">
        <f>-Workings!F112</f>
        <v/>
      </c>
      <c r="G15">
        <f>-Workings!G112</f>
        <v/>
      </c>
      <c r="H15">
        <f>-Workings!H112</f>
        <v/>
      </c>
      <c r="I15">
        <f>-Workings!I112</f>
        <v/>
      </c>
      <c r="J15">
        <f>-Workings!J112</f>
        <v/>
      </c>
      <c r="K15">
        <f>-Workings!K112</f>
        <v/>
      </c>
      <c r="L15">
        <f>-Workings!L112</f>
        <v/>
      </c>
      <c r="M15">
        <f>-Workings!M112</f>
        <v/>
      </c>
      <c r="N15">
        <f>-Workings!N112</f>
        <v/>
      </c>
    </row>
    <row r="16">
      <c r="A16" s="10" t="inlineStr">
        <is>
          <t>Fixed Assets (Net)</t>
        </is>
      </c>
      <c r="C16" s="11">
        <f>C14+C15</f>
        <v/>
      </c>
      <c r="D16" s="11">
        <f>D14+D15</f>
        <v/>
      </c>
      <c r="E16" s="11">
        <f>E14+E15</f>
        <v/>
      </c>
      <c r="F16" s="11">
        <f>F14+F15</f>
        <v/>
      </c>
      <c r="G16" s="11">
        <f>G14+G15</f>
        <v/>
      </c>
      <c r="H16" s="11">
        <f>H14+H15</f>
        <v/>
      </c>
      <c r="I16" s="11">
        <f>I14+I15</f>
        <v/>
      </c>
      <c r="J16" s="11">
        <f>J14+J15</f>
        <v/>
      </c>
      <c r="K16" s="11">
        <f>K14+K15</f>
        <v/>
      </c>
      <c r="L16" s="11">
        <f>L14+L15</f>
        <v/>
      </c>
      <c r="M16" s="11">
        <f>M14+M15</f>
        <v/>
      </c>
      <c r="N16" s="11">
        <f>N14+N15</f>
        <v/>
      </c>
    </row>
    <row r="18">
      <c r="A18" s="14" t="inlineStr">
        <is>
          <t>TOTAL ASSETS</t>
        </is>
      </c>
      <c r="C18" s="9">
        <f>C9+C16</f>
        <v/>
      </c>
      <c r="D18" s="9">
        <f>D9+D16</f>
        <v/>
      </c>
      <c r="E18" s="9">
        <f>E9+E16</f>
        <v/>
      </c>
      <c r="F18" s="9">
        <f>F9+F16</f>
        <v/>
      </c>
      <c r="G18" s="9">
        <f>G9+G16</f>
        <v/>
      </c>
      <c r="H18" s="9">
        <f>H9+H16</f>
        <v/>
      </c>
      <c r="I18" s="9">
        <f>I9+I16</f>
        <v/>
      </c>
      <c r="J18" s="9">
        <f>J9+J16</f>
        <v/>
      </c>
      <c r="K18" s="9">
        <f>K9+K16</f>
        <v/>
      </c>
      <c r="L18" s="9">
        <f>L9+L16</f>
        <v/>
      </c>
      <c r="M18" s="9">
        <f>M9+M16</f>
        <v/>
      </c>
      <c r="N18" s="9">
        <f>N9+N16</f>
        <v/>
      </c>
    </row>
    <row r="20">
      <c r="A20" s="13" t="inlineStr">
        <is>
          <t>LIABILITIES</t>
        </is>
      </c>
    </row>
    <row r="21">
      <c r="A21" s="7" t="inlineStr">
        <is>
          <t>Current Liabilities:</t>
        </is>
      </c>
    </row>
    <row r="22">
      <c r="A22" t="inlineStr">
        <is>
          <t>Accounts Payable</t>
        </is>
      </c>
      <c r="C22">
        <f>Workings!C69</f>
        <v/>
      </c>
      <c r="D22">
        <f>Workings!D69</f>
        <v/>
      </c>
      <c r="E22">
        <f>Workings!E69</f>
        <v/>
      </c>
      <c r="F22">
        <f>Workings!F69</f>
        <v/>
      </c>
      <c r="G22">
        <f>Workings!G69</f>
        <v/>
      </c>
      <c r="H22">
        <f>Workings!H69</f>
        <v/>
      </c>
      <c r="I22">
        <f>Workings!I69</f>
        <v/>
      </c>
      <c r="J22">
        <f>Workings!J69</f>
        <v/>
      </c>
      <c r="K22">
        <f>Workings!K69</f>
        <v/>
      </c>
      <c r="L22">
        <f>Workings!L69</f>
        <v/>
      </c>
      <c r="M22">
        <f>Workings!M69</f>
        <v/>
      </c>
      <c r="N22">
        <f>Workings!N69</f>
        <v/>
      </c>
    </row>
    <row r="23">
      <c r="A23" t="inlineStr">
        <is>
          <t>Accrued Expenses</t>
        </is>
      </c>
      <c r="C23">
        <f>Workings!C90</f>
        <v/>
      </c>
      <c r="D23">
        <f>Workings!D90</f>
        <v/>
      </c>
      <c r="E23">
        <f>Workings!E90</f>
        <v/>
      </c>
      <c r="F23">
        <f>Workings!F90</f>
        <v/>
      </c>
      <c r="G23">
        <f>Workings!G90</f>
        <v/>
      </c>
      <c r="H23">
        <f>Workings!H90</f>
        <v/>
      </c>
      <c r="I23">
        <f>Workings!I90</f>
        <v/>
      </c>
      <c r="J23">
        <f>Workings!J90</f>
        <v/>
      </c>
      <c r="K23">
        <f>Workings!K90</f>
        <v/>
      </c>
      <c r="L23">
        <f>Workings!L90</f>
        <v/>
      </c>
      <c r="M23">
        <f>Workings!M90</f>
        <v/>
      </c>
      <c r="N23">
        <f>Workings!N90</f>
        <v/>
      </c>
    </row>
    <row r="24">
      <c r="A24" t="inlineStr">
        <is>
          <t>Deferred Revenue</t>
        </is>
      </c>
      <c r="C24">
        <f>Workings!C97</f>
        <v/>
      </c>
      <c r="D24">
        <f>Workings!D97</f>
        <v/>
      </c>
      <c r="E24">
        <f>Workings!E97</f>
        <v/>
      </c>
      <c r="F24">
        <f>Workings!F97</f>
        <v/>
      </c>
      <c r="G24">
        <f>Workings!G97</f>
        <v/>
      </c>
      <c r="H24">
        <f>Workings!H97</f>
        <v/>
      </c>
      <c r="I24">
        <f>Workings!I97</f>
        <v/>
      </c>
      <c r="J24">
        <f>Workings!J97</f>
        <v/>
      </c>
      <c r="K24">
        <f>Workings!K97</f>
        <v/>
      </c>
      <c r="L24">
        <f>Workings!L97</f>
        <v/>
      </c>
      <c r="M24">
        <f>Workings!M97</f>
        <v/>
      </c>
      <c r="N24">
        <f>Workings!N97</f>
        <v/>
      </c>
    </row>
    <row r="25">
      <c r="A25" s="10" t="inlineStr">
        <is>
          <t>Total Current Liabilities</t>
        </is>
      </c>
      <c r="C25" s="11">
        <f>SUM(C22:C24)</f>
        <v/>
      </c>
      <c r="D25" s="11">
        <f>SUM(D22:D24)</f>
        <v/>
      </c>
      <c r="E25" s="11">
        <f>SUM(E22:E24)</f>
        <v/>
      </c>
      <c r="F25" s="11">
        <f>SUM(F22:F24)</f>
        <v/>
      </c>
      <c r="G25" s="11">
        <f>SUM(G22:G24)</f>
        <v/>
      </c>
      <c r="H25" s="11">
        <f>SUM(H22:H24)</f>
        <v/>
      </c>
      <c r="I25" s="11">
        <f>SUM(I22:I24)</f>
        <v/>
      </c>
      <c r="J25" s="11">
        <f>SUM(J22:J24)</f>
        <v/>
      </c>
      <c r="K25" s="11">
        <f>SUM(K22:K24)</f>
        <v/>
      </c>
      <c r="L25" s="11">
        <f>SUM(L22:L24)</f>
        <v/>
      </c>
      <c r="M25" s="11">
        <f>SUM(M22:M24)</f>
        <v/>
      </c>
      <c r="N25" s="11">
        <f>SUM(N22:N24)</f>
        <v/>
      </c>
    </row>
    <row r="27">
      <c r="A27" s="7" t="inlineStr">
        <is>
          <t>Non-Current Liabilities:</t>
        </is>
      </c>
    </row>
    <row r="28">
      <c r="A28" t="inlineStr">
        <is>
          <t>Long-term Debt</t>
        </is>
      </c>
      <c r="C28">
        <f>Workings!C123</f>
        <v/>
      </c>
      <c r="D28">
        <f>Workings!D123</f>
        <v/>
      </c>
      <c r="E28">
        <f>Workings!E123</f>
        <v/>
      </c>
      <c r="F28">
        <f>Workings!F123</f>
        <v/>
      </c>
      <c r="G28">
        <f>Workings!G123</f>
        <v/>
      </c>
      <c r="H28">
        <f>Workings!H123</f>
        <v/>
      </c>
      <c r="I28">
        <f>Workings!I123</f>
        <v/>
      </c>
      <c r="J28">
        <f>Workings!J123</f>
        <v/>
      </c>
      <c r="K28">
        <f>Workings!K123</f>
        <v/>
      </c>
      <c r="L28">
        <f>Workings!L123</f>
        <v/>
      </c>
      <c r="M28">
        <f>Workings!M123</f>
        <v/>
      </c>
      <c r="N28">
        <f>Workings!N123</f>
        <v/>
      </c>
    </row>
    <row r="29">
      <c r="A29" s="10" t="inlineStr">
        <is>
          <t>Total Non-Current Liabilities</t>
        </is>
      </c>
      <c r="C29" s="11">
        <f>C28</f>
        <v/>
      </c>
      <c r="D29" s="11">
        <f>D28</f>
        <v/>
      </c>
      <c r="E29" s="11">
        <f>E28</f>
        <v/>
      </c>
      <c r="F29" s="11">
        <f>F28</f>
        <v/>
      </c>
      <c r="G29" s="11">
        <f>G28</f>
        <v/>
      </c>
      <c r="H29" s="11">
        <f>H28</f>
        <v/>
      </c>
      <c r="I29" s="11">
        <f>I28</f>
        <v/>
      </c>
      <c r="J29" s="11">
        <f>J28</f>
        <v/>
      </c>
      <c r="K29" s="11">
        <f>K28</f>
        <v/>
      </c>
      <c r="L29" s="11">
        <f>L28</f>
        <v/>
      </c>
      <c r="M29" s="11">
        <f>M28</f>
        <v/>
      </c>
      <c r="N29" s="11">
        <f>N28</f>
        <v/>
      </c>
    </row>
    <row r="31">
      <c r="A31" s="14" t="inlineStr">
        <is>
          <t>TOTAL LIABILITIES</t>
        </is>
      </c>
      <c r="C31" s="9">
        <f>C23+C29</f>
        <v/>
      </c>
      <c r="D31" s="9">
        <f>D23+D29</f>
        <v/>
      </c>
      <c r="E31" s="9">
        <f>E23+E29</f>
        <v/>
      </c>
      <c r="F31" s="9">
        <f>F23+F29</f>
        <v/>
      </c>
      <c r="G31" s="9">
        <f>G23+G29</f>
        <v/>
      </c>
      <c r="H31" s="9">
        <f>H23+H29</f>
        <v/>
      </c>
      <c r="I31" s="9">
        <f>I23+I29</f>
        <v/>
      </c>
      <c r="J31" s="9">
        <f>J23+J29</f>
        <v/>
      </c>
      <c r="K31" s="9">
        <f>K23+K29</f>
        <v/>
      </c>
      <c r="L31" s="9">
        <f>L23+L29</f>
        <v/>
      </c>
      <c r="M31" s="9">
        <f>M23+M29</f>
        <v/>
      </c>
      <c r="N31" s="9">
        <f>N23+N29</f>
        <v/>
      </c>
    </row>
    <row r="33">
      <c r="A33" s="13" t="inlineStr">
        <is>
          <t>EQUITY</t>
        </is>
      </c>
    </row>
    <row r="34">
      <c r="A34" t="inlineStr">
        <is>
          <t>Share Capital</t>
        </is>
      </c>
      <c r="C34">
        <f>Workings!C128</f>
        <v/>
      </c>
      <c r="D34">
        <f>Workings!D128</f>
        <v/>
      </c>
      <c r="E34">
        <f>Workings!E128</f>
        <v/>
      </c>
      <c r="F34">
        <f>Workings!F128</f>
        <v/>
      </c>
      <c r="G34">
        <f>Workings!G128</f>
        <v/>
      </c>
      <c r="H34">
        <f>Workings!H128</f>
        <v/>
      </c>
      <c r="I34">
        <f>Workings!I128</f>
        <v/>
      </c>
      <c r="J34">
        <f>Workings!J128</f>
        <v/>
      </c>
      <c r="K34">
        <f>Workings!K128</f>
        <v/>
      </c>
      <c r="L34">
        <f>Workings!L128</f>
        <v/>
      </c>
      <c r="M34">
        <f>Workings!M128</f>
        <v/>
      </c>
      <c r="N34">
        <f>Workings!N128</f>
        <v/>
      </c>
    </row>
    <row r="35">
      <c r="A35" t="inlineStr">
        <is>
          <t>Retained Earnings</t>
        </is>
      </c>
      <c r="C35">
        <f>Workings!C134</f>
        <v/>
      </c>
      <c r="D35">
        <f>Workings!D134</f>
        <v/>
      </c>
      <c r="E35">
        <f>Workings!E134</f>
        <v/>
      </c>
      <c r="F35">
        <f>Workings!F134</f>
        <v/>
      </c>
      <c r="G35">
        <f>Workings!G134</f>
        <v/>
      </c>
      <c r="H35">
        <f>Workings!H134</f>
        <v/>
      </c>
      <c r="I35">
        <f>Workings!I134</f>
        <v/>
      </c>
      <c r="J35">
        <f>Workings!J134</f>
        <v/>
      </c>
      <c r="K35">
        <f>Workings!K134</f>
        <v/>
      </c>
      <c r="L35">
        <f>Workings!L134</f>
        <v/>
      </c>
      <c r="M35">
        <f>Workings!M134</f>
        <v/>
      </c>
      <c r="N35">
        <f>Workings!N134</f>
        <v/>
      </c>
    </row>
    <row r="36">
      <c r="A36" s="14" t="inlineStr">
        <is>
          <t>TOTAL EQUITY</t>
        </is>
      </c>
      <c r="C36" s="9">
        <f>SUM(C34:C35)</f>
        <v/>
      </c>
      <c r="D36" s="9">
        <f>SUM(D34:D35)</f>
        <v/>
      </c>
      <c r="E36" s="9">
        <f>SUM(E34:E35)</f>
        <v/>
      </c>
      <c r="F36" s="9">
        <f>SUM(F34:F35)</f>
        <v/>
      </c>
      <c r="G36" s="9">
        <f>SUM(G34:G35)</f>
        <v/>
      </c>
      <c r="H36" s="9">
        <f>SUM(H34:H35)</f>
        <v/>
      </c>
      <c r="I36" s="9">
        <f>SUM(I34:I35)</f>
        <v/>
      </c>
      <c r="J36" s="9">
        <f>SUM(J34:J35)</f>
        <v/>
      </c>
      <c r="K36" s="9">
        <f>SUM(K34:K35)</f>
        <v/>
      </c>
      <c r="L36" s="9">
        <f>SUM(L34:L35)</f>
        <v/>
      </c>
      <c r="M36" s="9">
        <f>SUM(M34:M35)</f>
        <v/>
      </c>
      <c r="N36" s="9">
        <f>SUM(N34:N35)</f>
        <v/>
      </c>
    </row>
    <row r="38">
      <c r="A38" s="14" t="inlineStr">
        <is>
          <t>TOTAL LIABILITIES + EQUITY</t>
        </is>
      </c>
      <c r="C38" s="9">
        <f>C26+C36</f>
        <v/>
      </c>
      <c r="D38" s="9">
        <f>D26+D36</f>
        <v/>
      </c>
      <c r="E38" s="9">
        <f>E26+E36</f>
        <v/>
      </c>
      <c r="F38" s="9">
        <f>F26+F36</f>
        <v/>
      </c>
      <c r="G38" s="9">
        <f>G26+G36</f>
        <v/>
      </c>
      <c r="H38" s="9">
        <f>H26+H36</f>
        <v/>
      </c>
      <c r="I38" s="9">
        <f>I26+I36</f>
        <v/>
      </c>
      <c r="J38" s="9">
        <f>J26+J36</f>
        <v/>
      </c>
      <c r="K38" s="9">
        <f>K26+K36</f>
        <v/>
      </c>
      <c r="L38" s="9">
        <f>L26+L36</f>
        <v/>
      </c>
      <c r="M38" s="9">
        <f>M26+M36</f>
        <v/>
      </c>
      <c r="N38" s="9">
        <f>N26+N36</f>
        <v/>
      </c>
    </row>
    <row r="40">
      <c r="A40" s="15" t="inlineStr">
        <is>
          <t>BALANCE CHECK (should be 0)</t>
        </is>
      </c>
      <c r="C40" s="16">
        <f>C22-C38</f>
        <v/>
      </c>
      <c r="D40" s="16">
        <f>D22-D38</f>
        <v/>
      </c>
      <c r="E40" s="16">
        <f>E22-E38</f>
        <v/>
      </c>
      <c r="F40" s="16">
        <f>F22-F38</f>
        <v/>
      </c>
      <c r="G40" s="16">
        <f>G22-G38</f>
        <v/>
      </c>
      <c r="H40" s="16">
        <f>H22-H38</f>
        <v/>
      </c>
      <c r="I40" s="16">
        <f>I22-I38</f>
        <v/>
      </c>
      <c r="J40" s="16">
        <f>J22-J38</f>
        <v/>
      </c>
      <c r="K40" s="16">
        <f>K22-K38</f>
        <v/>
      </c>
      <c r="L40" s="16">
        <f>L22-L38</f>
        <v/>
      </c>
      <c r="M40" s="16">
        <f>M22-M38</f>
        <v/>
      </c>
      <c r="N40" s="16">
        <f>N22-N38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CASH FLOW STATEMENT (INDIRECT METHOD)</t>
        </is>
      </c>
    </row>
    <row r="3">
      <c r="A3" s="2" t="inlineStr">
        <is>
          <t>Period</t>
        </is>
      </c>
      <c r="C3" s="2">
        <f>Inputs!C3</f>
        <v/>
      </c>
      <c r="D3" s="2">
        <f>Inputs!D3</f>
        <v/>
      </c>
      <c r="E3" s="2">
        <f>Inputs!E3</f>
        <v/>
      </c>
      <c r="F3" s="2">
        <f>Inputs!F3</f>
        <v/>
      </c>
      <c r="G3" s="2">
        <f>Inputs!G3</f>
        <v/>
      </c>
      <c r="H3" s="2">
        <f>Inputs!H3</f>
        <v/>
      </c>
      <c r="I3" s="2">
        <f>Inputs!I3</f>
        <v/>
      </c>
      <c r="J3" s="2">
        <f>Inputs!J3</f>
        <v/>
      </c>
      <c r="K3" s="2">
        <f>Inputs!K3</f>
        <v/>
      </c>
      <c r="L3" s="2">
        <f>Inputs!L3</f>
        <v/>
      </c>
      <c r="M3" s="2">
        <f>Inputs!M3</f>
        <v/>
      </c>
      <c r="N3" s="2">
        <f>Inputs!N3</f>
        <v/>
      </c>
    </row>
    <row r="5">
      <c r="A5" s="5" t="inlineStr">
        <is>
          <t>CASH FROM OPERATING ACTIVITIES</t>
        </is>
      </c>
    </row>
    <row r="6">
      <c r="A6" t="inlineStr">
        <is>
          <t>Net Income</t>
        </is>
      </c>
      <c r="C6">
        <f>'Income Statement'!C20</f>
        <v/>
      </c>
      <c r="D6">
        <f>'Income Statement'!D20</f>
        <v/>
      </c>
      <c r="E6">
        <f>'Income Statement'!E20</f>
        <v/>
      </c>
      <c r="F6">
        <f>'Income Statement'!F20</f>
        <v/>
      </c>
      <c r="G6">
        <f>'Income Statement'!G20</f>
        <v/>
      </c>
      <c r="H6">
        <f>'Income Statement'!H20</f>
        <v/>
      </c>
      <c r="I6">
        <f>'Income Statement'!I20</f>
        <v/>
      </c>
      <c r="J6">
        <f>'Income Statement'!J20</f>
        <v/>
      </c>
      <c r="K6">
        <f>'Income Statement'!K20</f>
        <v/>
      </c>
      <c r="L6">
        <f>'Income Statement'!L20</f>
        <v/>
      </c>
      <c r="M6">
        <f>'Income Statement'!M20</f>
        <v/>
      </c>
      <c r="N6">
        <f>'Income Statement'!N20</f>
        <v/>
      </c>
    </row>
    <row r="7">
      <c r="A7" s="6" t="inlineStr">
        <is>
          <t>Adjustments:</t>
        </is>
      </c>
    </row>
    <row r="8">
      <c r="A8" t="inlineStr">
        <is>
          <t xml:space="preserve">  Depreciation</t>
        </is>
      </c>
      <c r="C8">
        <f>Workings!C112</f>
        <v/>
      </c>
      <c r="D8">
        <f>Workings!D112</f>
        <v/>
      </c>
      <c r="E8">
        <f>Workings!E112</f>
        <v/>
      </c>
      <c r="F8">
        <f>Workings!F112</f>
        <v/>
      </c>
      <c r="G8">
        <f>Workings!G112</f>
        <v/>
      </c>
      <c r="H8">
        <f>Workings!H112</f>
        <v/>
      </c>
      <c r="I8">
        <f>Workings!I112</f>
        <v/>
      </c>
      <c r="J8">
        <f>Workings!J112</f>
        <v/>
      </c>
      <c r="K8">
        <f>Workings!K112</f>
        <v/>
      </c>
      <c r="L8">
        <f>Workings!L112</f>
        <v/>
      </c>
      <c r="M8">
        <f>Workings!M112</f>
        <v/>
      </c>
      <c r="N8">
        <f>Workings!N112</f>
        <v/>
      </c>
    </row>
    <row r="9">
      <c r="A9" s="6" t="inlineStr">
        <is>
          <t>Changes in Working Capital:</t>
        </is>
      </c>
    </row>
    <row r="10">
      <c r="A10" t="inlineStr">
        <is>
          <t xml:space="preserve">  (Increase)/Decrease in AR</t>
        </is>
      </c>
      <c r="C10">
        <f>Inputs!$C$60-'Balance Sheet'!C8</f>
        <v/>
      </c>
      <c r="D10">
        <f>'Balance Sheet'!C8-'Balance Sheet'!D8</f>
        <v/>
      </c>
      <c r="E10">
        <f>'Balance Sheet'!D8-'Balance Sheet'!E8</f>
        <v/>
      </c>
      <c r="F10">
        <f>'Balance Sheet'!E8-'Balance Sheet'!F8</f>
        <v/>
      </c>
      <c r="G10">
        <f>'Balance Sheet'!F8-'Balance Sheet'!G8</f>
        <v/>
      </c>
      <c r="H10">
        <f>'Balance Sheet'!G8-'Balance Sheet'!H8</f>
        <v/>
      </c>
      <c r="I10">
        <f>'Balance Sheet'!H8-'Balance Sheet'!I8</f>
        <v/>
      </c>
      <c r="J10">
        <f>'Balance Sheet'!I8-'Balance Sheet'!J8</f>
        <v/>
      </c>
      <c r="K10">
        <f>'Balance Sheet'!J8-'Balance Sheet'!K8</f>
        <v/>
      </c>
      <c r="L10">
        <f>'Balance Sheet'!K8-'Balance Sheet'!L8</f>
        <v/>
      </c>
      <c r="M10">
        <f>'Balance Sheet'!L8-'Balance Sheet'!M8</f>
        <v/>
      </c>
      <c r="N10">
        <f>'Balance Sheet'!M8-'Balance Sheet'!N8</f>
        <v/>
      </c>
    </row>
    <row r="11">
      <c r="A11" t="inlineStr">
        <is>
          <t xml:space="preserve">  (Increase)/Decrease in Inventory</t>
        </is>
      </c>
      <c r="C11">
        <f>Inputs!$C$61-'Balance Sheet'!C9</f>
        <v/>
      </c>
      <c r="D11">
        <f>'Balance Sheet'!C9-'Balance Sheet'!D9</f>
        <v/>
      </c>
      <c r="E11">
        <f>'Balance Sheet'!D9-'Balance Sheet'!E9</f>
        <v/>
      </c>
      <c r="F11">
        <f>'Balance Sheet'!E9-'Balance Sheet'!F9</f>
        <v/>
      </c>
      <c r="G11">
        <f>'Balance Sheet'!F9-'Balance Sheet'!G9</f>
        <v/>
      </c>
      <c r="H11">
        <f>'Balance Sheet'!G9-'Balance Sheet'!H9</f>
        <v/>
      </c>
      <c r="I11">
        <f>'Balance Sheet'!H9-'Balance Sheet'!I9</f>
        <v/>
      </c>
      <c r="J11">
        <f>'Balance Sheet'!I9-'Balance Sheet'!J9</f>
        <v/>
      </c>
      <c r="K11">
        <f>'Balance Sheet'!J9-'Balance Sheet'!K9</f>
        <v/>
      </c>
      <c r="L11">
        <f>'Balance Sheet'!K9-'Balance Sheet'!L9</f>
        <v/>
      </c>
      <c r="M11">
        <f>'Balance Sheet'!L9-'Balance Sheet'!M9</f>
        <v/>
      </c>
      <c r="N11">
        <f>'Balance Sheet'!M9-'Balance Sheet'!N9</f>
        <v/>
      </c>
    </row>
    <row r="12">
      <c r="A12" t="inlineStr">
        <is>
          <t xml:space="preserve">  (Increase)/Decrease in Prepayments</t>
        </is>
      </c>
      <c r="C12">
        <f>Inputs!$C$62-'Balance Sheet'!C10</f>
        <v/>
      </c>
      <c r="D12">
        <f>'Balance Sheet'!C10-'Balance Sheet'!D10</f>
        <v/>
      </c>
      <c r="E12">
        <f>'Balance Sheet'!D10-'Balance Sheet'!E10</f>
        <v/>
      </c>
      <c r="F12">
        <f>'Balance Sheet'!E10-'Balance Sheet'!F10</f>
        <v/>
      </c>
      <c r="G12">
        <f>'Balance Sheet'!F10-'Balance Sheet'!G10</f>
        <v/>
      </c>
      <c r="H12">
        <f>'Balance Sheet'!G10-'Balance Sheet'!H10</f>
        <v/>
      </c>
      <c r="I12">
        <f>'Balance Sheet'!H10-'Balance Sheet'!I10</f>
        <v/>
      </c>
      <c r="J12">
        <f>'Balance Sheet'!I10-'Balance Sheet'!J10</f>
        <v/>
      </c>
      <c r="K12">
        <f>'Balance Sheet'!J10-'Balance Sheet'!K10</f>
        <v/>
      </c>
      <c r="L12">
        <f>'Balance Sheet'!K10-'Balance Sheet'!L10</f>
        <v/>
      </c>
      <c r="M12">
        <f>'Balance Sheet'!L10-'Balance Sheet'!M10</f>
        <v/>
      </c>
      <c r="N12">
        <f>'Balance Sheet'!M10-'Balance Sheet'!N10</f>
        <v/>
      </c>
    </row>
    <row r="13">
      <c r="A13" t="inlineStr">
        <is>
          <t xml:space="preserve">  Increase/(Decrease) in AP</t>
        </is>
      </c>
      <c r="C13">
        <f>'Balance Sheet'!C24-Inputs!$C$65</f>
        <v/>
      </c>
      <c r="D13">
        <f>'Balance Sheet'!D24-'Balance Sheet'!C24</f>
        <v/>
      </c>
      <c r="E13">
        <f>'Balance Sheet'!E24-'Balance Sheet'!D24</f>
        <v/>
      </c>
      <c r="F13">
        <f>'Balance Sheet'!F24-'Balance Sheet'!E24</f>
        <v/>
      </c>
      <c r="G13">
        <f>'Balance Sheet'!G24-'Balance Sheet'!F24</f>
        <v/>
      </c>
      <c r="H13">
        <f>'Balance Sheet'!H24-'Balance Sheet'!G24</f>
        <v/>
      </c>
      <c r="I13">
        <f>'Balance Sheet'!I24-'Balance Sheet'!H24</f>
        <v/>
      </c>
      <c r="J13">
        <f>'Balance Sheet'!J24-'Balance Sheet'!I24</f>
        <v/>
      </c>
      <c r="K13">
        <f>'Balance Sheet'!K24-'Balance Sheet'!J24</f>
        <v/>
      </c>
      <c r="L13">
        <f>'Balance Sheet'!L24-'Balance Sheet'!K24</f>
        <v/>
      </c>
      <c r="M13">
        <f>'Balance Sheet'!M24-'Balance Sheet'!L24</f>
        <v/>
      </c>
      <c r="N13">
        <f>'Balance Sheet'!N24-'Balance Sheet'!M24</f>
        <v/>
      </c>
    </row>
    <row r="14">
      <c r="A14" t="inlineStr">
        <is>
          <t xml:space="preserve">  Increase/(Decrease) in Accrued Exp</t>
        </is>
      </c>
      <c r="C14">
        <f>'Balance Sheet'!C25-Inputs!$C$66</f>
        <v/>
      </c>
      <c r="D14">
        <f>'Balance Sheet'!D25-'Balance Sheet'!C25</f>
        <v/>
      </c>
      <c r="E14">
        <f>'Balance Sheet'!E25-'Balance Sheet'!D25</f>
        <v/>
      </c>
      <c r="F14">
        <f>'Balance Sheet'!F25-'Balance Sheet'!E25</f>
        <v/>
      </c>
      <c r="G14">
        <f>'Balance Sheet'!G25-'Balance Sheet'!F25</f>
        <v/>
      </c>
      <c r="H14">
        <f>'Balance Sheet'!H25-'Balance Sheet'!G25</f>
        <v/>
      </c>
      <c r="I14">
        <f>'Balance Sheet'!I25-'Balance Sheet'!H25</f>
        <v/>
      </c>
      <c r="J14">
        <f>'Balance Sheet'!J25-'Balance Sheet'!I25</f>
        <v/>
      </c>
      <c r="K14">
        <f>'Balance Sheet'!K25-'Balance Sheet'!J25</f>
        <v/>
      </c>
      <c r="L14">
        <f>'Balance Sheet'!L25-'Balance Sheet'!K25</f>
        <v/>
      </c>
      <c r="M14">
        <f>'Balance Sheet'!M25-'Balance Sheet'!L25</f>
        <v/>
      </c>
      <c r="N14">
        <f>'Balance Sheet'!N25-'Balance Sheet'!M25</f>
        <v/>
      </c>
    </row>
    <row r="15">
      <c r="A15" t="inlineStr">
        <is>
          <t xml:space="preserve">  Increase/(Decrease) in Deferred Rev</t>
        </is>
      </c>
      <c r="C15">
        <f>'Balance Sheet'!C26-Inputs!$C$67</f>
        <v/>
      </c>
      <c r="D15">
        <f>'Balance Sheet'!D26-'Balance Sheet'!C26</f>
        <v/>
      </c>
      <c r="E15">
        <f>'Balance Sheet'!E26-'Balance Sheet'!D26</f>
        <v/>
      </c>
      <c r="F15">
        <f>'Balance Sheet'!F26-'Balance Sheet'!E26</f>
        <v/>
      </c>
      <c r="G15">
        <f>'Balance Sheet'!G26-'Balance Sheet'!F26</f>
        <v/>
      </c>
      <c r="H15">
        <f>'Balance Sheet'!H26-'Balance Sheet'!G26</f>
        <v/>
      </c>
      <c r="I15">
        <f>'Balance Sheet'!I26-'Balance Sheet'!H26</f>
        <v/>
      </c>
      <c r="J15">
        <f>'Balance Sheet'!J26-'Balance Sheet'!I26</f>
        <v/>
      </c>
      <c r="K15">
        <f>'Balance Sheet'!K26-'Balance Sheet'!J26</f>
        <v/>
      </c>
      <c r="L15">
        <f>'Balance Sheet'!L26-'Balance Sheet'!K26</f>
        <v/>
      </c>
      <c r="M15">
        <f>'Balance Sheet'!M26-'Balance Sheet'!L26</f>
        <v/>
      </c>
      <c r="N15">
        <f>'Balance Sheet'!N26-'Balance Sheet'!M26</f>
        <v/>
      </c>
    </row>
    <row r="16">
      <c r="A16" s="10" t="inlineStr">
        <is>
          <t>Net Cash from Operating Activities</t>
        </is>
      </c>
      <c r="C16" s="11">
        <f>SUM(C5:C15)</f>
        <v/>
      </c>
      <c r="D16" s="11">
        <f>SUM(D5:D15)</f>
        <v/>
      </c>
      <c r="E16" s="11">
        <f>SUM(E5:E15)</f>
        <v/>
      </c>
      <c r="F16" s="11">
        <f>SUM(F5:F15)</f>
        <v/>
      </c>
      <c r="G16" s="11">
        <f>SUM(G5:G15)</f>
        <v/>
      </c>
      <c r="H16" s="11">
        <f>SUM(H5:H15)</f>
        <v/>
      </c>
      <c r="I16" s="11">
        <f>SUM(I5:I15)</f>
        <v/>
      </c>
      <c r="J16" s="11">
        <f>SUM(J5:J15)</f>
        <v/>
      </c>
      <c r="K16" s="11">
        <f>SUM(K5:K15)</f>
        <v/>
      </c>
      <c r="L16" s="11">
        <f>SUM(L5:L15)</f>
        <v/>
      </c>
      <c r="M16" s="11">
        <f>SUM(M5:M15)</f>
        <v/>
      </c>
      <c r="N16" s="11">
        <f>SUM(N5:N15)</f>
        <v/>
      </c>
    </row>
    <row r="18">
      <c r="A18" s="5" t="inlineStr">
        <is>
          <t>CASH FROM INVESTING ACTIVITIES</t>
        </is>
      </c>
    </row>
    <row r="19">
      <c r="A19" t="inlineStr">
        <is>
          <t>Capital Expenditure</t>
        </is>
      </c>
      <c r="C19">
        <f>-Inputs!C$44</f>
        <v/>
      </c>
      <c r="D19">
        <f>-Inputs!D$44</f>
        <v/>
      </c>
      <c r="E19">
        <f>-Inputs!E$44</f>
        <v/>
      </c>
      <c r="F19">
        <f>-Inputs!F$44</f>
        <v/>
      </c>
      <c r="G19">
        <f>-Inputs!G$44</f>
        <v/>
      </c>
      <c r="H19">
        <f>-Inputs!H$44</f>
        <v/>
      </c>
      <c r="I19">
        <f>-Inputs!I$44</f>
        <v/>
      </c>
      <c r="J19">
        <f>-Inputs!J$44</f>
        <v/>
      </c>
      <c r="K19">
        <f>-Inputs!K$44</f>
        <v/>
      </c>
      <c r="L19">
        <f>-Inputs!L$44</f>
        <v/>
      </c>
      <c r="M19">
        <f>-Inputs!M$44</f>
        <v/>
      </c>
      <c r="N19">
        <f>-Inputs!N$44</f>
        <v/>
      </c>
    </row>
    <row r="20">
      <c r="A20" t="inlineStr">
        <is>
          <t>Proceeds from Asset Disposals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10" t="inlineStr">
        <is>
          <t>Net Cash from Investing Activities</t>
        </is>
      </c>
      <c r="C21" s="11">
        <f>SUM(C19:C20)</f>
        <v/>
      </c>
      <c r="D21" s="11">
        <f>SUM(D19:D20)</f>
        <v/>
      </c>
      <c r="E21" s="11">
        <f>SUM(E19:E20)</f>
        <v/>
      </c>
      <c r="F21" s="11">
        <f>SUM(F19:F20)</f>
        <v/>
      </c>
      <c r="G21" s="11">
        <f>SUM(G19:G20)</f>
        <v/>
      </c>
      <c r="H21" s="11">
        <f>SUM(H19:H20)</f>
        <v/>
      </c>
      <c r="I21" s="11">
        <f>SUM(I19:I20)</f>
        <v/>
      </c>
      <c r="J21" s="11">
        <f>SUM(J19:J20)</f>
        <v/>
      </c>
      <c r="K21" s="11">
        <f>SUM(K19:K20)</f>
        <v/>
      </c>
      <c r="L21" s="11">
        <f>SUM(L19:L20)</f>
        <v/>
      </c>
      <c r="M21" s="11">
        <f>SUM(M19:M20)</f>
        <v/>
      </c>
      <c r="N21" s="11">
        <f>SUM(N19:N20)</f>
        <v/>
      </c>
    </row>
    <row r="23">
      <c r="A23" s="5" t="inlineStr">
        <is>
          <t>CASH FROM FINANCING ACTIVITIES</t>
        </is>
      </c>
    </row>
    <row r="24">
      <c r="A24" t="inlineStr">
        <is>
          <t>New Borrowing</t>
        </is>
      </c>
      <c r="C24">
        <f>Inputs!C$52</f>
        <v/>
      </c>
      <c r="D24">
        <f>Inputs!D$52</f>
        <v/>
      </c>
      <c r="E24">
        <f>Inputs!E$52</f>
        <v/>
      </c>
      <c r="F24">
        <f>Inputs!F$52</f>
        <v/>
      </c>
      <c r="G24">
        <f>Inputs!G$52</f>
        <v/>
      </c>
      <c r="H24">
        <f>Inputs!H$52</f>
        <v/>
      </c>
      <c r="I24">
        <f>Inputs!I$52</f>
        <v/>
      </c>
      <c r="J24">
        <f>Inputs!J$52</f>
        <v/>
      </c>
      <c r="K24">
        <f>Inputs!K$52</f>
        <v/>
      </c>
      <c r="L24">
        <f>Inputs!L$52</f>
        <v/>
      </c>
      <c r="M24">
        <f>Inputs!M$52</f>
        <v/>
      </c>
      <c r="N24">
        <f>Inputs!N$52</f>
        <v/>
      </c>
    </row>
    <row r="25">
      <c r="A25" t="inlineStr">
        <is>
          <t>Debt Repayment</t>
        </is>
      </c>
      <c r="C25">
        <f>-Inputs!C$53</f>
        <v/>
      </c>
      <c r="D25">
        <f>-Inputs!D$53</f>
        <v/>
      </c>
      <c r="E25">
        <f>-Inputs!E$53</f>
        <v/>
      </c>
      <c r="F25">
        <f>-Inputs!F$53</f>
        <v/>
      </c>
      <c r="G25">
        <f>-Inputs!G$53</f>
        <v/>
      </c>
      <c r="H25">
        <f>-Inputs!H$53</f>
        <v/>
      </c>
      <c r="I25">
        <f>-Inputs!I$53</f>
        <v/>
      </c>
      <c r="J25">
        <f>-Inputs!J$53</f>
        <v/>
      </c>
      <c r="K25">
        <f>-Inputs!K$53</f>
        <v/>
      </c>
      <c r="L25">
        <f>-Inputs!L$53</f>
        <v/>
      </c>
      <c r="M25">
        <f>-Inputs!M$53</f>
        <v/>
      </c>
      <c r="N25">
        <f>-Inputs!N$53</f>
        <v/>
      </c>
    </row>
    <row r="26">
      <c r="A26" t="inlineStr">
        <is>
          <t>Interest Paid</t>
        </is>
      </c>
      <c r="C26">
        <f>-Workings!C118</f>
        <v/>
      </c>
      <c r="D26">
        <f>-Workings!D118</f>
        <v/>
      </c>
      <c r="E26">
        <f>-Workings!E118</f>
        <v/>
      </c>
      <c r="F26">
        <f>-Workings!F118</f>
        <v/>
      </c>
      <c r="G26">
        <f>-Workings!G118</f>
        <v/>
      </c>
      <c r="H26">
        <f>-Workings!H118</f>
        <v/>
      </c>
      <c r="I26">
        <f>-Workings!I118</f>
        <v/>
      </c>
      <c r="J26">
        <f>-Workings!J118</f>
        <v/>
      </c>
      <c r="K26">
        <f>-Workings!K118</f>
        <v/>
      </c>
      <c r="L26">
        <f>-Workings!L118</f>
        <v/>
      </c>
      <c r="M26">
        <f>-Workings!M118</f>
        <v/>
      </c>
      <c r="N26">
        <f>-Workings!N118</f>
        <v/>
      </c>
    </row>
    <row r="27">
      <c r="A27" t="inlineStr">
        <is>
          <t>Share Capital Raised</t>
        </is>
      </c>
      <c r="C27">
        <f>Inputs!C$57</f>
        <v/>
      </c>
      <c r="D27">
        <f>Inputs!D$57</f>
        <v/>
      </c>
      <c r="E27">
        <f>Inputs!E$57</f>
        <v/>
      </c>
      <c r="F27">
        <f>Inputs!F$57</f>
        <v/>
      </c>
      <c r="G27">
        <f>Inputs!G$57</f>
        <v/>
      </c>
      <c r="H27">
        <f>Inputs!H$57</f>
        <v/>
      </c>
      <c r="I27">
        <f>Inputs!I$57</f>
        <v/>
      </c>
      <c r="J27">
        <f>Inputs!J$57</f>
        <v/>
      </c>
      <c r="K27">
        <f>Inputs!K$57</f>
        <v/>
      </c>
      <c r="L27">
        <f>Inputs!L$57</f>
        <v/>
      </c>
      <c r="M27">
        <f>Inputs!M$57</f>
        <v/>
      </c>
      <c r="N27">
        <f>Inputs!N$57</f>
        <v/>
      </c>
    </row>
    <row r="28">
      <c r="A28" t="inlineStr">
        <is>
          <t>Dividends Paid</t>
        </is>
      </c>
      <c r="C28">
        <f>-Inputs!C$58</f>
        <v/>
      </c>
      <c r="D28">
        <f>-Inputs!D$58</f>
        <v/>
      </c>
      <c r="E28">
        <f>-Inputs!E$58</f>
        <v/>
      </c>
      <c r="F28">
        <f>-Inputs!F$58</f>
        <v/>
      </c>
      <c r="G28">
        <f>-Inputs!G$58</f>
        <v/>
      </c>
      <c r="H28">
        <f>-Inputs!H$58</f>
        <v/>
      </c>
      <c r="I28">
        <f>-Inputs!I$58</f>
        <v/>
      </c>
      <c r="J28">
        <f>-Inputs!J$58</f>
        <v/>
      </c>
      <c r="K28">
        <f>-Inputs!K$58</f>
        <v/>
      </c>
      <c r="L28">
        <f>-Inputs!L$58</f>
        <v/>
      </c>
      <c r="M28">
        <f>-Inputs!M$58</f>
        <v/>
      </c>
      <c r="N28">
        <f>-Inputs!N$58</f>
        <v/>
      </c>
    </row>
    <row r="29">
      <c r="A29" s="10" t="inlineStr">
        <is>
          <t>Net Cash from Financing Activities</t>
        </is>
      </c>
      <c r="C29" s="11">
        <f>SUM(C24:C28)</f>
        <v/>
      </c>
      <c r="D29" s="11">
        <f>SUM(D24:D28)</f>
        <v/>
      </c>
      <c r="E29" s="11">
        <f>SUM(E24:E28)</f>
        <v/>
      </c>
      <c r="F29" s="11">
        <f>SUM(F24:F28)</f>
        <v/>
      </c>
      <c r="G29" s="11">
        <f>SUM(G24:G28)</f>
        <v/>
      </c>
      <c r="H29" s="11">
        <f>SUM(H24:H28)</f>
        <v/>
      </c>
      <c r="I29" s="11">
        <f>SUM(I24:I28)</f>
        <v/>
      </c>
      <c r="J29" s="11">
        <f>SUM(J24:J28)</f>
        <v/>
      </c>
      <c r="K29" s="11">
        <f>SUM(K24:K28)</f>
        <v/>
      </c>
      <c r="L29" s="11">
        <f>SUM(L24:L28)</f>
        <v/>
      </c>
      <c r="M29" s="11">
        <f>SUM(M24:M28)</f>
        <v/>
      </c>
      <c r="N29" s="11">
        <f>SUM(N24:N28)</f>
        <v/>
      </c>
    </row>
    <row r="31">
      <c r="A31" s="8" t="inlineStr">
        <is>
          <t>Net Increase/(Decrease) in Cash</t>
        </is>
      </c>
      <c r="C31" s="9">
        <f>C15+C22+C29</f>
        <v/>
      </c>
      <c r="D31" s="9">
        <f>D15+D22+D29</f>
        <v/>
      </c>
      <c r="E31" s="9">
        <f>E15+E22+E29</f>
        <v/>
      </c>
      <c r="F31" s="9">
        <f>F15+F22+F29</f>
        <v/>
      </c>
      <c r="G31" s="9">
        <f>G15+G22+G29</f>
        <v/>
      </c>
      <c r="H31" s="9">
        <f>H15+H22+H29</f>
        <v/>
      </c>
      <c r="I31" s="9">
        <f>I15+I22+I29</f>
        <v/>
      </c>
      <c r="J31" s="9">
        <f>J15+J22+J29</f>
        <v/>
      </c>
      <c r="K31" s="9">
        <f>K15+K22+K29</f>
        <v/>
      </c>
      <c r="L31" s="9">
        <f>L15+L22+L29</f>
        <v/>
      </c>
      <c r="M31" s="9">
        <f>M15+M22+M29</f>
        <v/>
      </c>
      <c r="N31" s="9">
        <f>N15+N22+N29</f>
        <v/>
      </c>
    </row>
    <row r="33">
      <c r="A33" t="inlineStr">
        <is>
          <t>Opening Cash Balance</t>
        </is>
      </c>
      <c r="C33">
        <f>Inputs!$C$59</f>
        <v/>
      </c>
      <c r="D33">
        <f>C34</f>
        <v/>
      </c>
      <c r="E33">
        <f>D34</f>
        <v/>
      </c>
      <c r="F33">
        <f>E34</f>
        <v/>
      </c>
      <c r="G33">
        <f>F34</f>
        <v/>
      </c>
      <c r="H33">
        <f>G34</f>
        <v/>
      </c>
      <c r="I33">
        <f>H34</f>
        <v/>
      </c>
      <c r="J33">
        <f>I34</f>
        <v/>
      </c>
      <c r="K33">
        <f>J34</f>
        <v/>
      </c>
      <c r="L33">
        <f>K34</f>
        <v/>
      </c>
      <c r="M33">
        <f>L34</f>
        <v/>
      </c>
      <c r="N33">
        <f>M34</f>
        <v/>
      </c>
    </row>
    <row r="34">
      <c r="A34" s="8" t="inlineStr">
        <is>
          <t>Closing Cash Balance</t>
        </is>
      </c>
      <c r="C34" s="9">
        <f>C31+C33</f>
        <v/>
      </c>
      <c r="D34" s="9">
        <f>D31+D33</f>
        <v/>
      </c>
      <c r="E34" s="9">
        <f>E31+E33</f>
        <v/>
      </c>
      <c r="F34" s="9">
        <f>F31+F33</f>
        <v/>
      </c>
      <c r="G34" s="9">
        <f>G31+G33</f>
        <v/>
      </c>
      <c r="H34" s="9">
        <f>H31+H33</f>
        <v/>
      </c>
      <c r="I34" s="9">
        <f>I31+I33</f>
        <v/>
      </c>
      <c r="J34" s="9">
        <f>J31+J33</f>
        <v/>
      </c>
      <c r="K34" s="9">
        <f>K31+K33</f>
        <v/>
      </c>
      <c r="L34" s="9">
        <f>L31+L33</f>
        <v/>
      </c>
      <c r="M34" s="9">
        <f>M31+M33</f>
        <v/>
      </c>
      <c r="N34" s="9">
        <f>N31+N33</f>
        <v/>
      </c>
    </row>
    <row r="36">
      <c r="A36" s="15" t="inlineStr">
        <is>
          <t>CASH CHECK (should be 0)</t>
        </is>
      </c>
      <c r="C36" s="16">
        <f>C35-'Balance Sheet'!C7</f>
        <v/>
      </c>
      <c r="D36" s="16">
        <f>D35-'Balance Sheet'!D7</f>
        <v/>
      </c>
      <c r="E36" s="16">
        <f>E35-'Balance Sheet'!E7</f>
        <v/>
      </c>
      <c r="F36" s="16">
        <f>F35-'Balance Sheet'!F7</f>
        <v/>
      </c>
      <c r="G36" s="16">
        <f>G35-'Balance Sheet'!G7</f>
        <v/>
      </c>
      <c r="H36" s="16">
        <f>H35-'Balance Sheet'!H7</f>
        <v/>
      </c>
      <c r="I36" s="16">
        <f>I35-'Balance Sheet'!I7</f>
        <v/>
      </c>
      <c r="J36" s="16">
        <f>J35-'Balance Sheet'!J7</f>
        <v/>
      </c>
      <c r="K36" s="16">
        <f>K35-'Balance Sheet'!K7</f>
        <v/>
      </c>
      <c r="L36" s="16">
        <f>L35-'Balance Sheet'!L7</f>
        <v/>
      </c>
      <c r="M36" s="16">
        <f>M35-'Balance Sheet'!M7</f>
        <v/>
      </c>
      <c r="N36" s="16">
        <f>N35-'Balance Sheet'!N7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2025-11-17T00:00:15Z</dcterms:created>
  <dcterms:modified xsi:type="dcterms:W3CDTF">2025-11-17T00:00:15Z</dcterms:modified>
</cp:coreProperties>
</file>