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CONTROL" sheetId="2" state="visible" r:id="rId2"/>
    <sheet name="TIMELINE" sheetId="3" state="visible" r:id="rId3"/>
    <sheet name="Instructions" sheetId="4" state="visible" r:id="rId4"/>
    <sheet name="SKU_Master" sheetId="5" state="visible" r:id="rId5"/>
    <sheet name="Assumptions_Macro" sheetId="6" state="visible" r:id="rId6"/>
    <sheet name="Assumptions_Commercial" sheetId="7" state="visible" r:id="rId7"/>
    <sheet name="Assumptions_Operations" sheetId="8" state="visible" r:id="rId8"/>
    <sheet name="Assumptions_Finance" sheetId="9" state="visible" r:id="rId9"/>
    <sheet name="Assumptions_Capex" sheetId="10" state="visible" r:id="rId10"/>
    <sheet name="Volume_Build" sheetId="11" state="visible" r:id="rId11"/>
    <sheet name="Pricing" sheetId="12" state="visible" r:id="rId12"/>
    <sheet name="Excise" sheetId="13" state="visible" r:id="rId13"/>
    <sheet name="Revenue" sheetId="14" state="visible" r:id="rId14"/>
    <sheet name="Production" sheetId="15" state="visible" r:id="rId15"/>
    <sheet name="Capacity" sheetId="16" state="visible" r:id="rId16"/>
    <sheet name="COGS_Materials" sheetId="17" state="visible" r:id="rId17"/>
    <sheet name="COGS_Packaging" sheetId="18" state="visible" r:id="rId18"/>
    <sheet name="COGS_Labour" sheetId="19" state="visible" r:id="rId19"/>
    <sheet name="COGS_Overhead" sheetId="20" state="visible" r:id="rId20"/>
    <sheet name="COGS_Summary" sheetId="21" state="visible" r:id="rId21"/>
    <sheet name="Logistics" sheetId="22" state="visible" r:id="rId22"/>
    <sheet name="SGA" sheetId="23" state="visible" r:id="rId23"/>
    <sheet name="Capex_Schedule" sheetId="24" state="visible" r:id="rId24"/>
    <sheet name="Fixed_Assets" sheetId="25" state="visible" r:id="rId25"/>
    <sheet name="Depreciation" sheetId="26" state="visible" r:id="rId26"/>
    <sheet name="Working_Capital" sheetId="27" state="visible" r:id="rId27"/>
    <sheet name="Debt_Schedule" sheetId="28" state="visible" r:id="rId28"/>
    <sheet name="Equity" sheetId="29" state="visible" r:id="rId29"/>
    <sheet name="IS" sheetId="30" state="visible" r:id="rId30"/>
    <sheet name="CF" sheetId="31" state="visible" r:id="rId31"/>
    <sheet name="BS" sheetId="32" state="visible" r:id="rId32"/>
    <sheet name="KPIs_Volume" sheetId="33" state="visible" r:id="rId33"/>
    <sheet name="KPIs_Revenue" sheetId="34" state="visible" r:id="rId34"/>
    <sheet name="KPIs_Profitability" sheetId="35" state="visible" r:id="rId35"/>
    <sheet name="KPIs_Operations" sheetId="36" state="visible" r:id="rId36"/>
    <sheet name="KPIs_WorkingCapital" sheetId="37" state="visible" r:id="rId37"/>
    <sheet name="KPIs_Leverage" sheetId="38" state="visible" r:id="rId38"/>
    <sheet name="Covenants" sheetId="39" state="visible" r:id="rId39"/>
    <sheet name="Brand_Channel_PL" sheetId="40" state="visible" r:id="rId40"/>
    <sheet name="Checks" sheetId="41" state="visible" r:id="rId41"/>
    <sheet name="Sensitivity" sheetId="42" state="visible" r:id="rId42"/>
    <sheet name="Scenarios_Summary" sheetId="43" state="visible" r:id="rId43"/>
    <sheet name="Definitions" sheetId="44" state="visible" r:id="rId44"/>
    <sheet name="Change_Log" sheetId="45" state="visible" r:id="rId45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dd-mmm-yyyy"/>
    <numFmt numFmtId="165" formatCode="0.0%"/>
    <numFmt numFmtId="166" formatCode="#,##0.0"/>
    <numFmt numFmtId="167" formatCode="Unit"/>
    <numFmt numFmtId="168" formatCode="#,##0&quot; HL&quot;"/>
    <numFmt numFmtId="169" formatCode="#,##0.0&quot; M&quot;"/>
    <numFmt numFmtId="170" formatCode="&quot;$&quot;#,##0"/>
  </numFmts>
  <fonts count="12">
    <font>
      <name val="Calibri"/>
      <family val="2"/>
      <color theme="1"/>
      <sz val="11"/>
      <scheme val="minor"/>
    </font>
    <font>
      <b val="1"/>
      <color rgb="004472C4"/>
      <sz val="16"/>
    </font>
    <font>
      <b val="1"/>
      <sz val="14"/>
    </font>
    <font>
      <color rgb="000000FF"/>
    </font>
    <font>
      <b val="1"/>
    </font>
    <font>
      <b val="1"/>
      <color rgb="00FFFFFF"/>
    </font>
    <font>
      <b val="1"/>
      <u val="single"/>
    </font>
    <font>
      <i val="1"/>
      <color rgb="00999999"/>
    </font>
    <font>
      <b val="1"/>
      <color rgb="00000000"/>
    </font>
    <font>
      <b val="1"/>
      <sz val="12"/>
      <u val="single"/>
    </font>
    <font>
      <b val="1"/>
      <sz val="11"/>
      <u val="single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FFFFE0"/>
        <bgColor rgb="00FFFFE0"/>
      </patternFill>
    </fill>
    <fill>
      <patternFill patternType="solid">
        <fgColor rgb="004472C4"/>
        <bgColor rgb="004472C4"/>
      </patternFill>
    </fill>
    <fill>
      <patternFill patternType="solid">
        <fgColor rgb="00E0F0FF"/>
        <bgColor rgb="00E0F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3" fillId="2" borderId="0" pivotButton="0" quotePrefix="0" xfId="0"/>
    <xf numFmtId="164" fontId="3" fillId="2" borderId="0" pivotButton="0" quotePrefix="0" xfId="0"/>
    <xf numFmtId="0" fontId="5" fillId="3" borderId="0" applyAlignment="1" pivotButton="0" quotePrefix="0" xfId="0">
      <alignment horizontal="center" vertical="center" wrapText="1"/>
    </xf>
    <xf numFmtId="17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5" fontId="3" fillId="2" borderId="0" pivotButton="0" quotePrefix="0" xfId="0"/>
    <xf numFmtId="0" fontId="6" fillId="0" borderId="0" pivotButton="0" quotePrefix="0" xfId="0"/>
    <xf numFmtId="4" fontId="3" fillId="2" borderId="0" pivotButton="0" quotePrefix="0" xfId="0"/>
    <xf numFmtId="2" fontId="3" fillId="2" borderId="0" pivotButton="0" quotePrefix="0" xfId="0"/>
    <xf numFmtId="2" fontId="4" fillId="0" borderId="0" pivotButton="0" quotePrefix="0" xfId="0"/>
    <xf numFmtId="3" fontId="3" fillId="2" borderId="0" pivotButton="0" quotePrefix="0" xfId="0"/>
    <xf numFmtId="166" fontId="3" fillId="2" borderId="0" pivotButton="0" quotePrefix="0" xfId="0"/>
    <xf numFmtId="10" fontId="3" fillId="2" borderId="0" pivotButton="0" quotePrefix="0" xfId="0"/>
    <xf numFmtId="0" fontId="7" fillId="0" borderId="0" pivotButton="0" quotePrefix="0" xfId="0"/>
    <xf numFmtId="0" fontId="9" fillId="0" borderId="0" pivotButton="0" quotePrefix="0" xfId="0"/>
    <xf numFmtId="167" fontId="8" fillId="4" borderId="0" pivotButton="0" quotePrefix="0" xfId="0"/>
    <xf numFmtId="0" fontId="10" fillId="0" borderId="0" pivotButton="0" quotePrefix="0" xfId="0"/>
    <xf numFmtId="168" fontId="8" fillId="4" borderId="0" pivotButton="0" quotePrefix="0" xfId="0"/>
    <xf numFmtId="169" fontId="8" fillId="4" borderId="0" pivotButton="0" quotePrefix="0" xfId="0"/>
    <xf numFmtId="170" fontId="8" fillId="4" borderId="0" pivotButton="0" quotePrefix="0" xfId="0"/>
    <xf numFmtId="165" fontId="8" fillId="4" borderId="0" pivotButton="0" quotePrefix="0" xfId="0"/>
    <xf numFmtId="164" fontId="3" fillId="2" borderId="0" pivotButton="0" quotePrefix="0" xfId="0"/>
    <xf numFmtId="0" fontId="11" fillId="0" borderId="0" pivotButton="0" quotePrefix="0" xfId="0"/>
    <xf numFmtId="165" fontId="3" fillId="2" borderId="0" pivotButton="0" quotePrefix="0" xfId="0"/>
    <xf numFmtId="166" fontId="3" fillId="2" borderId="0" pivotButton="0" quotePrefix="0" xfId="0"/>
    <xf numFmtId="17" fontId="5" fillId="3" borderId="0" applyAlignment="1" pivotButton="0" quotePrefix="0" xfId="0">
      <alignment horizontal="center" vertical="center" wrapText="1"/>
    </xf>
    <xf numFmtId="165" fontId="0" fillId="0" borderId="0" pivotButton="0" quotePrefix="0" xfId="0"/>
    <xf numFmtId="3" fontId="0" fillId="0" borderId="0" pivotButton="0" quotePrefix="0" xfId="0"/>
    <xf numFmtId="0" fontId="8" fillId="4" borderId="0" pivotButton="0" quotePrefix="0" xfId="0"/>
    <xf numFmtId="3" fontId="8" fillId="4" borderId="0" pivotButton="0" quotePrefix="0" xfId="0"/>
    <xf numFmtId="166" fontId="0" fillId="0" borderId="0" pivotButton="0" quotePrefix="0" xfId="0"/>
    <xf numFmtId="166" fontId="8" fillId="4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styles" Target="styles.xml" Id="rId46" /><Relationship Type="http://schemas.openxmlformats.org/officeDocument/2006/relationships/theme" Target="theme/theme1.xml" Id="rId4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</cols>
  <sheetData>
    <row r="1">
      <c r="A1" s="1" t="inlineStr">
        <is>
          <t>EXECUTIVE DASHBOARD</t>
        </is>
      </c>
    </row>
    <row r="3">
      <c r="A3" s="18" t="inlineStr">
        <is>
          <t>FINANCIAL SUMMARY (FY2025 - First 12 Months)</t>
        </is>
      </c>
    </row>
    <row r="5">
      <c r="B5" t="inlineStr">
        <is>
          <t>Metric</t>
        </is>
      </c>
      <c r="C5" s="19" t="inlineStr">
        <is>
          <t>Value</t>
        </is>
      </c>
    </row>
    <row r="6">
      <c r="A6" s="20" t="inlineStr">
        <is>
          <t>VOLUME</t>
        </is>
      </c>
    </row>
    <row r="7">
      <c r="B7" t="inlineStr">
        <is>
          <t>Total HL Sold (Year 1)</t>
        </is>
      </c>
      <c r="C7" s="21">
        <f>SUM(Volume_Build!F20:Q20)</f>
        <v/>
      </c>
    </row>
    <row r="8">
      <c r="B8" t="inlineStr">
        <is>
          <t>Average Monthly HL</t>
        </is>
      </c>
      <c r="C8" s="21">
        <f>C7/12</f>
        <v/>
      </c>
    </row>
    <row r="9">
      <c r="A9" s="20" t="inlineStr">
        <is>
          <t>REVENUE</t>
        </is>
      </c>
    </row>
    <row r="10">
      <c r="B10" t="inlineStr">
        <is>
          <t>Net Revenue (Year 1)</t>
        </is>
      </c>
      <c r="C10" s="22">
        <f>SUM(Revenue!B9:M9)</f>
        <v/>
      </c>
    </row>
    <row r="11">
      <c r="B11" t="inlineStr">
        <is>
          <t>Revenue per HL</t>
        </is>
      </c>
      <c r="C11" s="23">
        <f>C10/C7*1000</f>
        <v/>
      </c>
    </row>
    <row r="12">
      <c r="A12" s="20" t="inlineStr">
        <is>
          <t>PROFITABILITY</t>
        </is>
      </c>
    </row>
    <row r="13">
      <c r="B13" t="inlineStr">
        <is>
          <t>Gross Margin %</t>
        </is>
      </c>
      <c r="C13" s="24">
        <f>AVERAGE(IS!B7:M7)</f>
        <v/>
      </c>
    </row>
    <row r="14">
      <c r="B14" t="inlineStr">
        <is>
          <t>EBITDA Margin %</t>
        </is>
      </c>
      <c r="C14" s="24">
        <f>AVERAGE(IS!B17:M17)</f>
        <v/>
      </c>
    </row>
    <row r="15">
      <c r="B15" t="inlineStr">
        <is>
          <t>Net Margin %</t>
        </is>
      </c>
      <c r="C15" s="24">
        <f>AVERAGE(IS!B27:M27)</f>
        <v/>
      </c>
    </row>
    <row r="16">
      <c r="A16" s="20" t="inlineStr">
        <is>
          <t>CASH &amp; LEVERAGE</t>
        </is>
      </c>
    </row>
    <row r="17">
      <c r="B17" t="inlineStr">
        <is>
          <t>Cash Balance (Month 12)</t>
        </is>
      </c>
      <c r="C17" s="22">
        <f>CF!M24</f>
        <v/>
      </c>
    </row>
    <row r="18">
      <c r="B18" t="inlineStr">
        <is>
          <t>Cum. Net Income (Year 1)</t>
        </is>
      </c>
      <c r="C18" s="22">
        <f>SUM(IS!B26:M26)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BEER BREWERY FINANCIAL MODEL</t>
        </is>
      </c>
    </row>
    <row r="2">
      <c r="A2" s="2" t="inlineStr">
        <is>
          <t>CONTROL PANEL</t>
        </is>
      </c>
    </row>
    <row r="4">
      <c r="A4" s="3" t="inlineStr">
        <is>
          <t>Scenario:</t>
        </is>
      </c>
      <c r="B4" s="4" t="inlineStr">
        <is>
          <t>Base</t>
        </is>
      </c>
    </row>
    <row r="5">
      <c r="A5" s="3" t="inlineStr">
        <is>
          <t>Scenario ID:</t>
        </is>
      </c>
      <c r="B5">
        <f>MATCH(B4,{"Base","Upside","Downside"},0)</f>
        <v/>
      </c>
    </row>
    <row r="7">
      <c r="A7" s="3" t="inlineStr">
        <is>
          <t>Reporting Date:</t>
        </is>
      </c>
      <c r="B7" s="25" t="n">
        <v>45809</v>
      </c>
    </row>
    <row r="10">
      <c r="A10" s="3" t="inlineStr">
        <is>
          <t>Enable Contract Brewing?</t>
        </is>
      </c>
      <c r="B10" s="4" t="inlineStr">
        <is>
          <t>Yes</t>
        </is>
      </c>
    </row>
    <row r="11">
      <c r="A11" s="3" t="inlineStr">
        <is>
          <t>Enable Excise Shock (Year 5)?</t>
        </is>
      </c>
      <c r="B11" s="4" t="inlineStr">
        <is>
          <t>Yes</t>
        </is>
      </c>
    </row>
    <row r="12">
      <c r="A12" s="3" t="inlineStr">
        <is>
          <t>Enable Capacity Expansion?</t>
        </is>
      </c>
      <c r="B12" s="4" t="inlineStr">
        <is>
          <t>Yes</t>
        </is>
      </c>
    </row>
  </sheetData>
  <mergeCells count="1">
    <mergeCell ref="A1:D1"/>
  </mergeCells>
  <dataValidations count="1">
    <dataValidation sqref="B4" showDropDown="0" showInputMessage="0" showErrorMessage="0" allowBlank="0" type="list">
      <formula1>"Base,Upside,Downside"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Q13"/>
  <sheetViews>
    <sheetView workbookViewId="0">
      <pane xSplit="1" ySplit="7" topLeftCell="B8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  <col width="10" customWidth="1" min="70" max="70"/>
    <col width="10" customWidth="1" min="71" max="71"/>
    <col width="10" customWidth="1" min="72" max="72"/>
    <col width="10" customWidth="1" min="73" max="73"/>
    <col width="10" customWidth="1" min="74" max="74"/>
    <col width="10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0" customWidth="1" min="83" max="83"/>
    <col width="10" customWidth="1" min="84" max="84"/>
    <col width="10" customWidth="1" min="85" max="85"/>
    <col width="10" customWidth="1" min="86" max="86"/>
    <col width="10" customWidth="1" min="87" max="87"/>
    <col width="10" customWidth="1" min="88" max="88"/>
    <col width="10" customWidth="1" min="89" max="89"/>
    <col width="10" customWidth="1" min="90" max="90"/>
    <col width="10" customWidth="1" min="91" max="91"/>
    <col width="10" customWidth="1" min="92" max="92"/>
    <col width="10" customWidth="1" min="93" max="93"/>
    <col width="10" customWidth="1" min="94" max="94"/>
    <col width="10" customWidth="1" min="95" max="95"/>
    <col width="10" customWidth="1" min="96" max="96"/>
    <col width="10" customWidth="1" min="97" max="97"/>
    <col width="10" customWidth="1" min="98" max="98"/>
    <col width="10" customWidth="1" min="99" max="99"/>
    <col width="10" customWidth="1" min="100" max="100"/>
    <col width="10" customWidth="1" min="101" max="101"/>
    <col width="10" customWidth="1" min="102" max="102"/>
    <col width="10" customWidth="1" min="103" max="103"/>
    <col width="10" customWidth="1" min="104" max="104"/>
    <col width="10" customWidth="1" min="105" max="105"/>
    <col width="10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0" customWidth="1" min="111" max="111"/>
    <col width="10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0" customWidth="1" min="117" max="117"/>
    <col width="10" customWidth="1" min="118" max="118"/>
    <col width="10" customWidth="1" min="119" max="119"/>
    <col width="10" customWidth="1" min="120" max="120"/>
    <col width="10" customWidth="1" min="121" max="121"/>
  </cols>
  <sheetData>
    <row r="1">
      <c r="A1" s="2" t="inlineStr">
        <is>
          <t>MODEL TIMELINE</t>
        </is>
      </c>
    </row>
    <row r="3">
      <c r="A3" t="inlineStr">
        <is>
          <t>Model Start Date:</t>
        </is>
      </c>
      <c r="B3" s="25" t="n">
        <v>45658</v>
      </c>
    </row>
    <row r="4">
      <c r="A4" t="inlineStr">
        <is>
          <t>Number of Periods:</t>
        </is>
      </c>
      <c r="B4" s="4" t="n">
        <v>120</v>
      </c>
    </row>
    <row r="5">
      <c r="A5" t="inlineStr">
        <is>
          <t>Frequency:</t>
        </is>
      </c>
      <c r="B5" t="inlineStr">
        <is>
          <t>Monthly</t>
        </is>
      </c>
    </row>
    <row r="7">
      <c r="A7" s="6" t="inlineStr">
        <is>
          <t>Date</t>
        </is>
      </c>
      <c r="B7" s="7" t="n">
        <v>45658</v>
      </c>
      <c r="C7" s="7" t="n">
        <v>45689</v>
      </c>
      <c r="D7" s="7" t="n">
        <v>45717</v>
      </c>
      <c r="E7" s="7" t="n">
        <v>45748</v>
      </c>
      <c r="F7" s="7" t="n">
        <v>45778</v>
      </c>
      <c r="G7" s="7" t="n">
        <v>45809</v>
      </c>
      <c r="H7" s="7" t="n">
        <v>45839</v>
      </c>
      <c r="I7" s="7" t="n">
        <v>45870</v>
      </c>
      <c r="J7" s="7" t="n">
        <v>45901</v>
      </c>
      <c r="K7" s="7" t="n">
        <v>45931</v>
      </c>
      <c r="L7" s="7" t="n">
        <v>45962</v>
      </c>
      <c r="M7" s="7" t="n">
        <v>45992</v>
      </c>
      <c r="N7" s="7" t="n">
        <v>46023</v>
      </c>
      <c r="O7" s="7" t="n">
        <v>46054</v>
      </c>
      <c r="P7" s="7" t="n">
        <v>46082</v>
      </c>
      <c r="Q7" s="7" t="n">
        <v>46113</v>
      </c>
      <c r="R7" s="7" t="n">
        <v>46143</v>
      </c>
      <c r="S7" s="7" t="n">
        <v>46174</v>
      </c>
      <c r="T7" s="7" t="n">
        <v>46204</v>
      </c>
      <c r="U7" s="7" t="n">
        <v>46235</v>
      </c>
      <c r="V7" s="7" t="n">
        <v>46266</v>
      </c>
      <c r="W7" s="7" t="n">
        <v>46296</v>
      </c>
      <c r="X7" s="7" t="n">
        <v>46327</v>
      </c>
      <c r="Y7" s="7" t="n">
        <v>46357</v>
      </c>
      <c r="Z7" s="7" t="n">
        <v>46388</v>
      </c>
      <c r="AA7" s="7" t="n">
        <v>46419</v>
      </c>
      <c r="AB7" s="7" t="n">
        <v>46447</v>
      </c>
      <c r="AC7" s="7" t="n">
        <v>46478</v>
      </c>
      <c r="AD7" s="7" t="n">
        <v>46508</v>
      </c>
      <c r="AE7" s="7" t="n">
        <v>46539</v>
      </c>
      <c r="AF7" s="7" t="n">
        <v>46569</v>
      </c>
      <c r="AG7" s="7" t="n">
        <v>46600</v>
      </c>
      <c r="AH7" s="7" t="n">
        <v>46631</v>
      </c>
      <c r="AI7" s="7" t="n">
        <v>46661</v>
      </c>
      <c r="AJ7" s="7" t="n">
        <v>46692</v>
      </c>
      <c r="AK7" s="7" t="n">
        <v>46722</v>
      </c>
      <c r="AL7" s="7" t="n">
        <v>46753</v>
      </c>
      <c r="AM7" s="7" t="n">
        <v>46784</v>
      </c>
      <c r="AN7" s="7" t="n">
        <v>46813</v>
      </c>
      <c r="AO7" s="7" t="n">
        <v>46844</v>
      </c>
      <c r="AP7" s="7" t="n">
        <v>46874</v>
      </c>
      <c r="AQ7" s="7" t="n">
        <v>46905</v>
      </c>
      <c r="AR7" s="7" t="n">
        <v>46935</v>
      </c>
      <c r="AS7" s="7" t="n">
        <v>46966</v>
      </c>
      <c r="AT7" s="7" t="n">
        <v>46997</v>
      </c>
      <c r="AU7" s="7" t="n">
        <v>47027</v>
      </c>
      <c r="AV7" s="7" t="n">
        <v>47058</v>
      </c>
      <c r="AW7" s="7" t="n">
        <v>47088</v>
      </c>
      <c r="AX7" s="7" t="n">
        <v>47119</v>
      </c>
      <c r="AY7" s="7" t="n">
        <v>47150</v>
      </c>
      <c r="AZ7" s="7" t="n">
        <v>47178</v>
      </c>
      <c r="BA7" s="7" t="n">
        <v>47209</v>
      </c>
      <c r="BB7" s="7" t="n">
        <v>47239</v>
      </c>
      <c r="BC7" s="7" t="n">
        <v>47270</v>
      </c>
      <c r="BD7" s="7" t="n">
        <v>47300</v>
      </c>
      <c r="BE7" s="7" t="n">
        <v>47331</v>
      </c>
      <c r="BF7" s="7" t="n">
        <v>47362</v>
      </c>
      <c r="BG7" s="7" t="n">
        <v>47392</v>
      </c>
      <c r="BH7" s="7" t="n">
        <v>47423</v>
      </c>
      <c r="BI7" s="7" t="n">
        <v>47453</v>
      </c>
      <c r="BJ7" s="7" t="n">
        <v>47484</v>
      </c>
      <c r="BK7" s="7" t="n">
        <v>47515</v>
      </c>
      <c r="BL7" s="7" t="n">
        <v>47543</v>
      </c>
      <c r="BM7" s="7" t="n">
        <v>47574</v>
      </c>
      <c r="BN7" s="7" t="n">
        <v>47604</v>
      </c>
      <c r="BO7" s="7" t="n">
        <v>47635</v>
      </c>
      <c r="BP7" s="7" t="n">
        <v>47665</v>
      </c>
      <c r="BQ7" s="7" t="n">
        <v>47696</v>
      </c>
      <c r="BR7" s="7" t="n">
        <v>47727</v>
      </c>
      <c r="BS7" s="7" t="n">
        <v>47757</v>
      </c>
      <c r="BT7" s="7" t="n">
        <v>47788</v>
      </c>
      <c r="BU7" s="7" t="n">
        <v>47818</v>
      </c>
      <c r="BV7" s="7" t="n">
        <v>47849</v>
      </c>
      <c r="BW7" s="7" t="n">
        <v>47880</v>
      </c>
      <c r="BX7" s="7" t="n">
        <v>47908</v>
      </c>
      <c r="BY7" s="7" t="n">
        <v>47939</v>
      </c>
      <c r="BZ7" s="7" t="n">
        <v>47969</v>
      </c>
      <c r="CA7" s="7" t="n">
        <v>48000</v>
      </c>
      <c r="CB7" s="7" t="n">
        <v>48030</v>
      </c>
      <c r="CC7" s="7" t="n">
        <v>48061</v>
      </c>
      <c r="CD7" s="7" t="n">
        <v>48092</v>
      </c>
      <c r="CE7" s="7" t="n">
        <v>48122</v>
      </c>
      <c r="CF7" s="7" t="n">
        <v>48153</v>
      </c>
      <c r="CG7" s="7" t="n">
        <v>48183</v>
      </c>
      <c r="CH7" s="7" t="n">
        <v>48214</v>
      </c>
      <c r="CI7" s="7" t="n">
        <v>48245</v>
      </c>
      <c r="CJ7" s="7" t="n">
        <v>48274</v>
      </c>
      <c r="CK7" s="7" t="n">
        <v>48305</v>
      </c>
      <c r="CL7" s="7" t="n">
        <v>48335</v>
      </c>
      <c r="CM7" s="7" t="n">
        <v>48366</v>
      </c>
      <c r="CN7" s="7" t="n">
        <v>48396</v>
      </c>
      <c r="CO7" s="7" t="n">
        <v>48427</v>
      </c>
      <c r="CP7" s="7" t="n">
        <v>48458</v>
      </c>
      <c r="CQ7" s="7" t="n">
        <v>48488</v>
      </c>
      <c r="CR7" s="7" t="n">
        <v>48519</v>
      </c>
      <c r="CS7" s="7" t="n">
        <v>48549</v>
      </c>
      <c r="CT7" s="7" t="n">
        <v>48580</v>
      </c>
      <c r="CU7" s="7" t="n">
        <v>48611</v>
      </c>
      <c r="CV7" s="7" t="n">
        <v>48639</v>
      </c>
      <c r="CW7" s="7" t="n">
        <v>48670</v>
      </c>
      <c r="CX7" s="7" t="n">
        <v>48700</v>
      </c>
      <c r="CY7" s="7" t="n">
        <v>48731</v>
      </c>
      <c r="CZ7" s="7" t="n">
        <v>48761</v>
      </c>
      <c r="DA7" s="7" t="n">
        <v>48792</v>
      </c>
      <c r="DB7" s="7" t="n">
        <v>48823</v>
      </c>
      <c r="DC7" s="7" t="n">
        <v>48853</v>
      </c>
      <c r="DD7" s="7" t="n">
        <v>48884</v>
      </c>
      <c r="DE7" s="7" t="n">
        <v>48914</v>
      </c>
      <c r="DF7" s="7" t="n">
        <v>48945</v>
      </c>
      <c r="DG7" s="7" t="n">
        <v>48976</v>
      </c>
      <c r="DH7" s="7" t="n">
        <v>49004</v>
      </c>
      <c r="DI7" s="7" t="n">
        <v>49035</v>
      </c>
      <c r="DJ7" s="7" t="n">
        <v>49065</v>
      </c>
      <c r="DK7" s="7" t="n">
        <v>49096</v>
      </c>
      <c r="DL7" s="7" t="n">
        <v>49126</v>
      </c>
      <c r="DM7" s="7" t="n">
        <v>49157</v>
      </c>
      <c r="DN7" s="7" t="n">
        <v>49188</v>
      </c>
      <c r="DO7" s="7" t="n">
        <v>49218</v>
      </c>
      <c r="DP7" s="7" t="n">
        <v>49249</v>
      </c>
      <c r="DQ7" s="7" t="n">
        <v>49279</v>
      </c>
    </row>
    <row r="8">
      <c r="A8" s="6" t="inlineStr">
        <is>
          <t>Period #</t>
        </is>
      </c>
      <c r="B8" s="8" t="n">
        <v>1</v>
      </c>
      <c r="C8" s="8" t="n">
        <v>2</v>
      </c>
      <c r="D8" s="8" t="n">
        <v>3</v>
      </c>
      <c r="E8" s="8" t="n">
        <v>4</v>
      </c>
      <c r="F8" s="8" t="n">
        <v>5</v>
      </c>
      <c r="G8" s="8" t="n">
        <v>6</v>
      </c>
      <c r="H8" s="8" t="n">
        <v>7</v>
      </c>
      <c r="I8" s="8" t="n">
        <v>8</v>
      </c>
      <c r="J8" s="8" t="n">
        <v>9</v>
      </c>
      <c r="K8" s="8" t="n">
        <v>10</v>
      </c>
      <c r="L8" s="8" t="n">
        <v>11</v>
      </c>
      <c r="M8" s="8" t="n">
        <v>12</v>
      </c>
      <c r="N8" s="8" t="n">
        <v>13</v>
      </c>
      <c r="O8" s="8" t="n">
        <v>14</v>
      </c>
      <c r="P8" s="8" t="n">
        <v>15</v>
      </c>
      <c r="Q8" s="8" t="n">
        <v>16</v>
      </c>
      <c r="R8" s="8" t="n">
        <v>17</v>
      </c>
      <c r="S8" s="8" t="n">
        <v>18</v>
      </c>
      <c r="T8" s="8" t="n">
        <v>19</v>
      </c>
      <c r="U8" s="8" t="n">
        <v>20</v>
      </c>
      <c r="V8" s="8" t="n">
        <v>21</v>
      </c>
      <c r="W8" s="8" t="n">
        <v>22</v>
      </c>
      <c r="X8" s="8" t="n">
        <v>23</v>
      </c>
      <c r="Y8" s="8" t="n">
        <v>24</v>
      </c>
      <c r="Z8" s="8" t="n">
        <v>25</v>
      </c>
      <c r="AA8" s="8" t="n">
        <v>26</v>
      </c>
      <c r="AB8" s="8" t="n">
        <v>27</v>
      </c>
      <c r="AC8" s="8" t="n">
        <v>28</v>
      </c>
      <c r="AD8" s="8" t="n">
        <v>29</v>
      </c>
      <c r="AE8" s="8" t="n">
        <v>30</v>
      </c>
      <c r="AF8" s="8" t="n">
        <v>31</v>
      </c>
      <c r="AG8" s="8" t="n">
        <v>32</v>
      </c>
      <c r="AH8" s="8" t="n">
        <v>33</v>
      </c>
      <c r="AI8" s="8" t="n">
        <v>34</v>
      </c>
      <c r="AJ8" s="8" t="n">
        <v>35</v>
      </c>
      <c r="AK8" s="8" t="n">
        <v>36</v>
      </c>
      <c r="AL8" s="8" t="n">
        <v>37</v>
      </c>
      <c r="AM8" s="8" t="n">
        <v>38</v>
      </c>
      <c r="AN8" s="8" t="n">
        <v>39</v>
      </c>
      <c r="AO8" s="8" t="n">
        <v>40</v>
      </c>
      <c r="AP8" s="8" t="n">
        <v>41</v>
      </c>
      <c r="AQ8" s="8" t="n">
        <v>42</v>
      </c>
      <c r="AR8" s="8" t="n">
        <v>43</v>
      </c>
      <c r="AS8" s="8" t="n">
        <v>44</v>
      </c>
      <c r="AT8" s="8" t="n">
        <v>45</v>
      </c>
      <c r="AU8" s="8" t="n">
        <v>46</v>
      </c>
      <c r="AV8" s="8" t="n">
        <v>47</v>
      </c>
      <c r="AW8" s="8" t="n">
        <v>48</v>
      </c>
      <c r="AX8" s="8" t="n">
        <v>49</v>
      </c>
      <c r="AY8" s="8" t="n">
        <v>50</v>
      </c>
      <c r="AZ8" s="8" t="n">
        <v>51</v>
      </c>
      <c r="BA8" s="8" t="n">
        <v>52</v>
      </c>
      <c r="BB8" s="8" t="n">
        <v>53</v>
      </c>
      <c r="BC8" s="8" t="n">
        <v>54</v>
      </c>
      <c r="BD8" s="8" t="n">
        <v>55</v>
      </c>
      <c r="BE8" s="8" t="n">
        <v>56</v>
      </c>
      <c r="BF8" s="8" t="n">
        <v>57</v>
      </c>
      <c r="BG8" s="8" t="n">
        <v>58</v>
      </c>
      <c r="BH8" s="8" t="n">
        <v>59</v>
      </c>
      <c r="BI8" s="8" t="n">
        <v>60</v>
      </c>
      <c r="BJ8" s="8" t="n">
        <v>61</v>
      </c>
      <c r="BK8" s="8" t="n">
        <v>62</v>
      </c>
      <c r="BL8" s="8" t="n">
        <v>63</v>
      </c>
      <c r="BM8" s="8" t="n">
        <v>64</v>
      </c>
      <c r="BN8" s="8" t="n">
        <v>65</v>
      </c>
      <c r="BO8" s="8" t="n">
        <v>66</v>
      </c>
      <c r="BP8" s="8" t="n">
        <v>67</v>
      </c>
      <c r="BQ8" s="8" t="n">
        <v>68</v>
      </c>
      <c r="BR8" s="8" t="n">
        <v>69</v>
      </c>
      <c r="BS8" s="8" t="n">
        <v>70</v>
      </c>
      <c r="BT8" s="8" t="n">
        <v>71</v>
      </c>
      <c r="BU8" s="8" t="n">
        <v>72</v>
      </c>
      <c r="BV8" s="8" t="n">
        <v>73</v>
      </c>
      <c r="BW8" s="8" t="n">
        <v>74</v>
      </c>
      <c r="BX8" s="8" t="n">
        <v>75</v>
      </c>
      <c r="BY8" s="8" t="n">
        <v>76</v>
      </c>
      <c r="BZ8" s="8" t="n">
        <v>77</v>
      </c>
      <c r="CA8" s="8" t="n">
        <v>78</v>
      </c>
      <c r="CB8" s="8" t="n">
        <v>79</v>
      </c>
      <c r="CC8" s="8" t="n">
        <v>80</v>
      </c>
      <c r="CD8" s="8" t="n">
        <v>81</v>
      </c>
      <c r="CE8" s="8" t="n">
        <v>82</v>
      </c>
      <c r="CF8" s="8" t="n">
        <v>83</v>
      </c>
      <c r="CG8" s="8" t="n">
        <v>84</v>
      </c>
      <c r="CH8" s="8" t="n">
        <v>85</v>
      </c>
      <c r="CI8" s="8" t="n">
        <v>86</v>
      </c>
      <c r="CJ8" s="8" t="n">
        <v>87</v>
      </c>
      <c r="CK8" s="8" t="n">
        <v>88</v>
      </c>
      <c r="CL8" s="8" t="n">
        <v>89</v>
      </c>
      <c r="CM8" s="8" t="n">
        <v>90</v>
      </c>
      <c r="CN8" s="8" t="n">
        <v>91</v>
      </c>
      <c r="CO8" s="8" t="n">
        <v>92</v>
      </c>
      <c r="CP8" s="8" t="n">
        <v>93</v>
      </c>
      <c r="CQ8" s="8" t="n">
        <v>94</v>
      </c>
      <c r="CR8" s="8" t="n">
        <v>95</v>
      </c>
      <c r="CS8" s="8" t="n">
        <v>96</v>
      </c>
      <c r="CT8" s="8" t="n">
        <v>97</v>
      </c>
      <c r="CU8" s="8" t="n">
        <v>98</v>
      </c>
      <c r="CV8" s="8" t="n">
        <v>99</v>
      </c>
      <c r="CW8" s="8" t="n">
        <v>100</v>
      </c>
      <c r="CX8" s="8" t="n">
        <v>101</v>
      </c>
      <c r="CY8" s="8" t="n">
        <v>102</v>
      </c>
      <c r="CZ8" s="8" t="n">
        <v>103</v>
      </c>
      <c r="DA8" s="8" t="n">
        <v>104</v>
      </c>
      <c r="DB8" s="8" t="n">
        <v>105</v>
      </c>
      <c r="DC8" s="8" t="n">
        <v>106</v>
      </c>
      <c r="DD8" s="8" t="n">
        <v>107</v>
      </c>
      <c r="DE8" s="8" t="n">
        <v>108</v>
      </c>
      <c r="DF8" s="8" t="n">
        <v>109</v>
      </c>
      <c r="DG8" s="8" t="n">
        <v>110</v>
      </c>
      <c r="DH8" s="8" t="n">
        <v>111</v>
      </c>
      <c r="DI8" s="8" t="n">
        <v>112</v>
      </c>
      <c r="DJ8" s="8" t="n">
        <v>113</v>
      </c>
      <c r="DK8" s="8" t="n">
        <v>114</v>
      </c>
      <c r="DL8" s="8" t="n">
        <v>115</v>
      </c>
      <c r="DM8" s="8" t="n">
        <v>116</v>
      </c>
      <c r="DN8" s="8" t="n">
        <v>117</v>
      </c>
      <c r="DO8" s="8" t="n">
        <v>118</v>
      </c>
      <c r="DP8" s="8" t="n">
        <v>119</v>
      </c>
      <c r="DQ8" s="8" t="n">
        <v>120</v>
      </c>
    </row>
    <row r="9">
      <c r="A9" s="6" t="inlineStr">
        <is>
          <t>Month</t>
        </is>
      </c>
      <c r="B9" s="8" t="inlineStr">
        <is>
          <t>Jan</t>
        </is>
      </c>
      <c r="C9" s="8" t="inlineStr">
        <is>
          <t>Feb</t>
        </is>
      </c>
      <c r="D9" s="8" t="inlineStr">
        <is>
          <t>Mar</t>
        </is>
      </c>
      <c r="E9" s="8" t="inlineStr">
        <is>
          <t>Apr</t>
        </is>
      </c>
      <c r="F9" s="8" t="inlineStr">
        <is>
          <t>May</t>
        </is>
      </c>
      <c r="G9" s="8" t="inlineStr">
        <is>
          <t>Jun</t>
        </is>
      </c>
      <c r="H9" s="8" t="inlineStr">
        <is>
          <t>Jul</t>
        </is>
      </c>
      <c r="I9" s="8" t="inlineStr">
        <is>
          <t>Aug</t>
        </is>
      </c>
      <c r="J9" s="8" t="inlineStr">
        <is>
          <t>Sep</t>
        </is>
      </c>
      <c r="K9" s="8" t="inlineStr">
        <is>
          <t>Oct</t>
        </is>
      </c>
      <c r="L9" s="8" t="inlineStr">
        <is>
          <t>Nov</t>
        </is>
      </c>
      <c r="M9" s="8" t="inlineStr">
        <is>
          <t>Dec</t>
        </is>
      </c>
      <c r="N9" s="8" t="inlineStr">
        <is>
          <t>Jan</t>
        </is>
      </c>
      <c r="O9" s="8" t="inlineStr">
        <is>
          <t>Feb</t>
        </is>
      </c>
      <c r="P9" s="8" t="inlineStr">
        <is>
          <t>Mar</t>
        </is>
      </c>
      <c r="Q9" s="8" t="inlineStr">
        <is>
          <t>Apr</t>
        </is>
      </c>
      <c r="R9" s="8" t="inlineStr">
        <is>
          <t>May</t>
        </is>
      </c>
      <c r="S9" s="8" t="inlineStr">
        <is>
          <t>Jun</t>
        </is>
      </c>
      <c r="T9" s="8" t="inlineStr">
        <is>
          <t>Jul</t>
        </is>
      </c>
      <c r="U9" s="8" t="inlineStr">
        <is>
          <t>Aug</t>
        </is>
      </c>
      <c r="V9" s="8" t="inlineStr">
        <is>
          <t>Sep</t>
        </is>
      </c>
      <c r="W9" s="8" t="inlineStr">
        <is>
          <t>Oct</t>
        </is>
      </c>
      <c r="X9" s="8" t="inlineStr">
        <is>
          <t>Nov</t>
        </is>
      </c>
      <c r="Y9" s="8" t="inlineStr">
        <is>
          <t>Dec</t>
        </is>
      </c>
      <c r="Z9" s="8" t="inlineStr">
        <is>
          <t>Jan</t>
        </is>
      </c>
      <c r="AA9" s="8" t="inlineStr">
        <is>
          <t>Feb</t>
        </is>
      </c>
      <c r="AB9" s="8" t="inlineStr">
        <is>
          <t>Mar</t>
        </is>
      </c>
      <c r="AC9" s="8" t="inlineStr">
        <is>
          <t>Apr</t>
        </is>
      </c>
      <c r="AD9" s="8" t="inlineStr">
        <is>
          <t>May</t>
        </is>
      </c>
      <c r="AE9" s="8" t="inlineStr">
        <is>
          <t>Jun</t>
        </is>
      </c>
      <c r="AF9" s="8" t="inlineStr">
        <is>
          <t>Jul</t>
        </is>
      </c>
      <c r="AG9" s="8" t="inlineStr">
        <is>
          <t>Aug</t>
        </is>
      </c>
      <c r="AH9" s="8" t="inlineStr">
        <is>
          <t>Sep</t>
        </is>
      </c>
      <c r="AI9" s="8" t="inlineStr">
        <is>
          <t>Oct</t>
        </is>
      </c>
      <c r="AJ9" s="8" t="inlineStr">
        <is>
          <t>Nov</t>
        </is>
      </c>
      <c r="AK9" s="8" t="inlineStr">
        <is>
          <t>Dec</t>
        </is>
      </c>
      <c r="AL9" s="8" t="inlineStr">
        <is>
          <t>Jan</t>
        </is>
      </c>
      <c r="AM9" s="8" t="inlineStr">
        <is>
          <t>Feb</t>
        </is>
      </c>
      <c r="AN9" s="8" t="inlineStr">
        <is>
          <t>Mar</t>
        </is>
      </c>
      <c r="AO9" s="8" t="inlineStr">
        <is>
          <t>Apr</t>
        </is>
      </c>
      <c r="AP9" s="8" t="inlineStr">
        <is>
          <t>May</t>
        </is>
      </c>
      <c r="AQ9" s="8" t="inlineStr">
        <is>
          <t>Jun</t>
        </is>
      </c>
      <c r="AR9" s="8" t="inlineStr">
        <is>
          <t>Jul</t>
        </is>
      </c>
      <c r="AS9" s="8" t="inlineStr">
        <is>
          <t>Aug</t>
        </is>
      </c>
      <c r="AT9" s="8" t="inlineStr">
        <is>
          <t>Sep</t>
        </is>
      </c>
      <c r="AU9" s="8" t="inlineStr">
        <is>
          <t>Oct</t>
        </is>
      </c>
      <c r="AV9" s="8" t="inlineStr">
        <is>
          <t>Nov</t>
        </is>
      </c>
      <c r="AW9" s="8" t="inlineStr">
        <is>
          <t>Dec</t>
        </is>
      </c>
      <c r="AX9" s="8" t="inlineStr">
        <is>
          <t>Jan</t>
        </is>
      </c>
      <c r="AY9" s="8" t="inlineStr">
        <is>
          <t>Feb</t>
        </is>
      </c>
      <c r="AZ9" s="8" t="inlineStr">
        <is>
          <t>Mar</t>
        </is>
      </c>
      <c r="BA9" s="8" t="inlineStr">
        <is>
          <t>Apr</t>
        </is>
      </c>
      <c r="BB9" s="8" t="inlineStr">
        <is>
          <t>May</t>
        </is>
      </c>
      <c r="BC9" s="8" t="inlineStr">
        <is>
          <t>Jun</t>
        </is>
      </c>
      <c r="BD9" s="8" t="inlineStr">
        <is>
          <t>Jul</t>
        </is>
      </c>
      <c r="BE9" s="8" t="inlineStr">
        <is>
          <t>Aug</t>
        </is>
      </c>
      <c r="BF9" s="8" t="inlineStr">
        <is>
          <t>Sep</t>
        </is>
      </c>
      <c r="BG9" s="8" t="inlineStr">
        <is>
          <t>Oct</t>
        </is>
      </c>
      <c r="BH9" s="8" t="inlineStr">
        <is>
          <t>Nov</t>
        </is>
      </c>
      <c r="BI9" s="8" t="inlineStr">
        <is>
          <t>Dec</t>
        </is>
      </c>
      <c r="BJ9" s="8" t="inlineStr">
        <is>
          <t>Jan</t>
        </is>
      </c>
      <c r="BK9" s="8" t="inlineStr">
        <is>
          <t>Feb</t>
        </is>
      </c>
      <c r="BL9" s="8" t="inlineStr">
        <is>
          <t>Mar</t>
        </is>
      </c>
      <c r="BM9" s="8" t="inlineStr">
        <is>
          <t>Apr</t>
        </is>
      </c>
      <c r="BN9" s="8" t="inlineStr">
        <is>
          <t>May</t>
        </is>
      </c>
      <c r="BO9" s="8" t="inlineStr">
        <is>
          <t>Jun</t>
        </is>
      </c>
      <c r="BP9" s="8" t="inlineStr">
        <is>
          <t>Jul</t>
        </is>
      </c>
      <c r="BQ9" s="8" t="inlineStr">
        <is>
          <t>Aug</t>
        </is>
      </c>
      <c r="BR9" s="8" t="inlineStr">
        <is>
          <t>Sep</t>
        </is>
      </c>
      <c r="BS9" s="8" t="inlineStr">
        <is>
          <t>Oct</t>
        </is>
      </c>
      <c r="BT9" s="8" t="inlineStr">
        <is>
          <t>Nov</t>
        </is>
      </c>
      <c r="BU9" s="8" t="inlineStr">
        <is>
          <t>Dec</t>
        </is>
      </c>
      <c r="BV9" s="8" t="inlineStr">
        <is>
          <t>Jan</t>
        </is>
      </c>
      <c r="BW9" s="8" t="inlineStr">
        <is>
          <t>Feb</t>
        </is>
      </c>
      <c r="BX9" s="8" t="inlineStr">
        <is>
          <t>Mar</t>
        </is>
      </c>
      <c r="BY9" s="8" t="inlineStr">
        <is>
          <t>Apr</t>
        </is>
      </c>
      <c r="BZ9" s="8" t="inlineStr">
        <is>
          <t>May</t>
        </is>
      </c>
      <c r="CA9" s="8" t="inlineStr">
        <is>
          <t>Jun</t>
        </is>
      </c>
      <c r="CB9" s="8" t="inlineStr">
        <is>
          <t>Jul</t>
        </is>
      </c>
      <c r="CC9" s="8" t="inlineStr">
        <is>
          <t>Aug</t>
        </is>
      </c>
      <c r="CD9" s="8" t="inlineStr">
        <is>
          <t>Sep</t>
        </is>
      </c>
      <c r="CE9" s="8" t="inlineStr">
        <is>
          <t>Oct</t>
        </is>
      </c>
      <c r="CF9" s="8" t="inlineStr">
        <is>
          <t>Nov</t>
        </is>
      </c>
      <c r="CG9" s="8" t="inlineStr">
        <is>
          <t>Dec</t>
        </is>
      </c>
      <c r="CH9" s="8" t="inlineStr">
        <is>
          <t>Jan</t>
        </is>
      </c>
      <c r="CI9" s="8" t="inlineStr">
        <is>
          <t>Feb</t>
        </is>
      </c>
      <c r="CJ9" s="8" t="inlineStr">
        <is>
          <t>Mar</t>
        </is>
      </c>
      <c r="CK9" s="8" t="inlineStr">
        <is>
          <t>Apr</t>
        </is>
      </c>
      <c r="CL9" s="8" t="inlineStr">
        <is>
          <t>May</t>
        </is>
      </c>
      <c r="CM9" s="8" t="inlineStr">
        <is>
          <t>Jun</t>
        </is>
      </c>
      <c r="CN9" s="8" t="inlineStr">
        <is>
          <t>Jul</t>
        </is>
      </c>
      <c r="CO9" s="8" t="inlineStr">
        <is>
          <t>Aug</t>
        </is>
      </c>
      <c r="CP9" s="8" t="inlineStr">
        <is>
          <t>Sep</t>
        </is>
      </c>
      <c r="CQ9" s="8" t="inlineStr">
        <is>
          <t>Oct</t>
        </is>
      </c>
      <c r="CR9" s="8" t="inlineStr">
        <is>
          <t>Nov</t>
        </is>
      </c>
      <c r="CS9" s="8" t="inlineStr">
        <is>
          <t>Dec</t>
        </is>
      </c>
      <c r="CT9" s="8" t="inlineStr">
        <is>
          <t>Jan</t>
        </is>
      </c>
      <c r="CU9" s="8" t="inlineStr">
        <is>
          <t>Feb</t>
        </is>
      </c>
      <c r="CV9" s="8" t="inlineStr">
        <is>
          <t>Mar</t>
        </is>
      </c>
      <c r="CW9" s="8" t="inlineStr">
        <is>
          <t>Apr</t>
        </is>
      </c>
      <c r="CX9" s="8" t="inlineStr">
        <is>
          <t>May</t>
        </is>
      </c>
      <c r="CY9" s="8" t="inlineStr">
        <is>
          <t>Jun</t>
        </is>
      </c>
      <c r="CZ9" s="8" t="inlineStr">
        <is>
          <t>Jul</t>
        </is>
      </c>
      <c r="DA9" s="8" t="inlineStr">
        <is>
          <t>Aug</t>
        </is>
      </c>
      <c r="DB9" s="8" t="inlineStr">
        <is>
          <t>Sep</t>
        </is>
      </c>
      <c r="DC9" s="8" t="inlineStr">
        <is>
          <t>Oct</t>
        </is>
      </c>
      <c r="DD9" s="8" t="inlineStr">
        <is>
          <t>Nov</t>
        </is>
      </c>
      <c r="DE9" s="8" t="inlineStr">
        <is>
          <t>Dec</t>
        </is>
      </c>
      <c r="DF9" s="8" t="inlineStr">
        <is>
          <t>Jan</t>
        </is>
      </c>
      <c r="DG9" s="8" t="inlineStr">
        <is>
          <t>Feb</t>
        </is>
      </c>
      <c r="DH9" s="8" t="inlineStr">
        <is>
          <t>Mar</t>
        </is>
      </c>
      <c r="DI9" s="8" t="inlineStr">
        <is>
          <t>Apr</t>
        </is>
      </c>
      <c r="DJ9" s="8" t="inlineStr">
        <is>
          <t>May</t>
        </is>
      </c>
      <c r="DK9" s="8" t="inlineStr">
        <is>
          <t>Jun</t>
        </is>
      </c>
      <c r="DL9" s="8" t="inlineStr">
        <is>
          <t>Jul</t>
        </is>
      </c>
      <c r="DM9" s="8" t="inlineStr">
        <is>
          <t>Aug</t>
        </is>
      </c>
      <c r="DN9" s="8" t="inlineStr">
        <is>
          <t>Sep</t>
        </is>
      </c>
      <c r="DO9" s="8" t="inlineStr">
        <is>
          <t>Oct</t>
        </is>
      </c>
      <c r="DP9" s="8" t="inlineStr">
        <is>
          <t>Nov</t>
        </is>
      </c>
      <c r="DQ9" s="8" t="inlineStr">
        <is>
          <t>Dec</t>
        </is>
      </c>
    </row>
    <row r="10">
      <c r="A10" s="6" t="inlineStr">
        <is>
          <t>Quarter</t>
        </is>
      </c>
      <c r="B10" s="8" t="inlineStr">
        <is>
          <t>Q1</t>
        </is>
      </c>
      <c r="C10" s="8" t="inlineStr">
        <is>
          <t>Q1</t>
        </is>
      </c>
      <c r="D10" s="8" t="inlineStr">
        <is>
          <t>Q1</t>
        </is>
      </c>
      <c r="E10" s="8" t="inlineStr">
        <is>
          <t>Q2</t>
        </is>
      </c>
      <c r="F10" s="8" t="inlineStr">
        <is>
          <t>Q2</t>
        </is>
      </c>
      <c r="G10" s="8" t="inlineStr">
        <is>
          <t>Q2</t>
        </is>
      </c>
      <c r="H10" s="8" t="inlineStr">
        <is>
          <t>Q3</t>
        </is>
      </c>
      <c r="I10" s="8" t="inlineStr">
        <is>
          <t>Q3</t>
        </is>
      </c>
      <c r="J10" s="8" t="inlineStr">
        <is>
          <t>Q3</t>
        </is>
      </c>
      <c r="K10" s="8" t="inlineStr">
        <is>
          <t>Q4</t>
        </is>
      </c>
      <c r="L10" s="8" t="inlineStr">
        <is>
          <t>Q4</t>
        </is>
      </c>
      <c r="M10" s="8" t="inlineStr">
        <is>
          <t>Q4</t>
        </is>
      </c>
      <c r="N10" s="8" t="inlineStr">
        <is>
          <t>Q1</t>
        </is>
      </c>
      <c r="O10" s="8" t="inlineStr">
        <is>
          <t>Q1</t>
        </is>
      </c>
      <c r="P10" s="8" t="inlineStr">
        <is>
          <t>Q1</t>
        </is>
      </c>
      <c r="Q10" s="8" t="inlineStr">
        <is>
          <t>Q2</t>
        </is>
      </c>
      <c r="R10" s="8" t="inlineStr">
        <is>
          <t>Q2</t>
        </is>
      </c>
      <c r="S10" s="8" t="inlineStr">
        <is>
          <t>Q2</t>
        </is>
      </c>
      <c r="T10" s="8" t="inlineStr">
        <is>
          <t>Q3</t>
        </is>
      </c>
      <c r="U10" s="8" t="inlineStr">
        <is>
          <t>Q3</t>
        </is>
      </c>
      <c r="V10" s="8" t="inlineStr">
        <is>
          <t>Q3</t>
        </is>
      </c>
      <c r="W10" s="8" t="inlineStr">
        <is>
          <t>Q4</t>
        </is>
      </c>
      <c r="X10" s="8" t="inlineStr">
        <is>
          <t>Q4</t>
        </is>
      </c>
      <c r="Y10" s="8" t="inlineStr">
        <is>
          <t>Q4</t>
        </is>
      </c>
      <c r="Z10" s="8" t="inlineStr">
        <is>
          <t>Q1</t>
        </is>
      </c>
      <c r="AA10" s="8" t="inlineStr">
        <is>
          <t>Q1</t>
        </is>
      </c>
      <c r="AB10" s="8" t="inlineStr">
        <is>
          <t>Q1</t>
        </is>
      </c>
      <c r="AC10" s="8" t="inlineStr">
        <is>
          <t>Q2</t>
        </is>
      </c>
      <c r="AD10" s="8" t="inlineStr">
        <is>
          <t>Q2</t>
        </is>
      </c>
      <c r="AE10" s="8" t="inlineStr">
        <is>
          <t>Q2</t>
        </is>
      </c>
      <c r="AF10" s="8" t="inlineStr">
        <is>
          <t>Q3</t>
        </is>
      </c>
      <c r="AG10" s="8" t="inlineStr">
        <is>
          <t>Q3</t>
        </is>
      </c>
      <c r="AH10" s="8" t="inlineStr">
        <is>
          <t>Q3</t>
        </is>
      </c>
      <c r="AI10" s="8" t="inlineStr">
        <is>
          <t>Q4</t>
        </is>
      </c>
      <c r="AJ10" s="8" t="inlineStr">
        <is>
          <t>Q4</t>
        </is>
      </c>
      <c r="AK10" s="8" t="inlineStr">
        <is>
          <t>Q4</t>
        </is>
      </c>
      <c r="AL10" s="8" t="inlineStr">
        <is>
          <t>Q1</t>
        </is>
      </c>
      <c r="AM10" s="8" t="inlineStr">
        <is>
          <t>Q1</t>
        </is>
      </c>
      <c r="AN10" s="8" t="inlineStr">
        <is>
          <t>Q1</t>
        </is>
      </c>
      <c r="AO10" s="8" t="inlineStr">
        <is>
          <t>Q2</t>
        </is>
      </c>
      <c r="AP10" s="8" t="inlineStr">
        <is>
          <t>Q2</t>
        </is>
      </c>
      <c r="AQ10" s="8" t="inlineStr">
        <is>
          <t>Q2</t>
        </is>
      </c>
      <c r="AR10" s="8" t="inlineStr">
        <is>
          <t>Q3</t>
        </is>
      </c>
      <c r="AS10" s="8" t="inlineStr">
        <is>
          <t>Q3</t>
        </is>
      </c>
      <c r="AT10" s="8" t="inlineStr">
        <is>
          <t>Q3</t>
        </is>
      </c>
      <c r="AU10" s="8" t="inlineStr">
        <is>
          <t>Q4</t>
        </is>
      </c>
      <c r="AV10" s="8" t="inlineStr">
        <is>
          <t>Q4</t>
        </is>
      </c>
      <c r="AW10" s="8" t="inlineStr">
        <is>
          <t>Q4</t>
        </is>
      </c>
      <c r="AX10" s="8" t="inlineStr">
        <is>
          <t>Q1</t>
        </is>
      </c>
      <c r="AY10" s="8" t="inlineStr">
        <is>
          <t>Q1</t>
        </is>
      </c>
      <c r="AZ10" s="8" t="inlineStr">
        <is>
          <t>Q1</t>
        </is>
      </c>
      <c r="BA10" s="8" t="inlineStr">
        <is>
          <t>Q2</t>
        </is>
      </c>
      <c r="BB10" s="8" t="inlineStr">
        <is>
          <t>Q2</t>
        </is>
      </c>
      <c r="BC10" s="8" t="inlineStr">
        <is>
          <t>Q2</t>
        </is>
      </c>
      <c r="BD10" s="8" t="inlineStr">
        <is>
          <t>Q3</t>
        </is>
      </c>
      <c r="BE10" s="8" t="inlineStr">
        <is>
          <t>Q3</t>
        </is>
      </c>
      <c r="BF10" s="8" t="inlineStr">
        <is>
          <t>Q3</t>
        </is>
      </c>
      <c r="BG10" s="8" t="inlineStr">
        <is>
          <t>Q4</t>
        </is>
      </c>
      <c r="BH10" s="8" t="inlineStr">
        <is>
          <t>Q4</t>
        </is>
      </c>
      <c r="BI10" s="8" t="inlineStr">
        <is>
          <t>Q4</t>
        </is>
      </c>
      <c r="BJ10" s="8" t="inlineStr">
        <is>
          <t>Q1</t>
        </is>
      </c>
      <c r="BK10" s="8" t="inlineStr">
        <is>
          <t>Q1</t>
        </is>
      </c>
      <c r="BL10" s="8" t="inlineStr">
        <is>
          <t>Q1</t>
        </is>
      </c>
      <c r="BM10" s="8" t="inlineStr">
        <is>
          <t>Q2</t>
        </is>
      </c>
      <c r="BN10" s="8" t="inlineStr">
        <is>
          <t>Q2</t>
        </is>
      </c>
      <c r="BO10" s="8" t="inlineStr">
        <is>
          <t>Q2</t>
        </is>
      </c>
      <c r="BP10" s="8" t="inlineStr">
        <is>
          <t>Q3</t>
        </is>
      </c>
      <c r="BQ10" s="8" t="inlineStr">
        <is>
          <t>Q3</t>
        </is>
      </c>
      <c r="BR10" s="8" t="inlineStr">
        <is>
          <t>Q3</t>
        </is>
      </c>
      <c r="BS10" s="8" t="inlineStr">
        <is>
          <t>Q4</t>
        </is>
      </c>
      <c r="BT10" s="8" t="inlineStr">
        <is>
          <t>Q4</t>
        </is>
      </c>
      <c r="BU10" s="8" t="inlineStr">
        <is>
          <t>Q4</t>
        </is>
      </c>
      <c r="BV10" s="8" t="inlineStr">
        <is>
          <t>Q1</t>
        </is>
      </c>
      <c r="BW10" s="8" t="inlineStr">
        <is>
          <t>Q1</t>
        </is>
      </c>
      <c r="BX10" s="8" t="inlineStr">
        <is>
          <t>Q1</t>
        </is>
      </c>
      <c r="BY10" s="8" t="inlineStr">
        <is>
          <t>Q2</t>
        </is>
      </c>
      <c r="BZ10" s="8" t="inlineStr">
        <is>
          <t>Q2</t>
        </is>
      </c>
      <c r="CA10" s="8" t="inlineStr">
        <is>
          <t>Q2</t>
        </is>
      </c>
      <c r="CB10" s="8" t="inlineStr">
        <is>
          <t>Q3</t>
        </is>
      </c>
      <c r="CC10" s="8" t="inlineStr">
        <is>
          <t>Q3</t>
        </is>
      </c>
      <c r="CD10" s="8" t="inlineStr">
        <is>
          <t>Q3</t>
        </is>
      </c>
      <c r="CE10" s="8" t="inlineStr">
        <is>
          <t>Q4</t>
        </is>
      </c>
      <c r="CF10" s="8" t="inlineStr">
        <is>
          <t>Q4</t>
        </is>
      </c>
      <c r="CG10" s="8" t="inlineStr">
        <is>
          <t>Q4</t>
        </is>
      </c>
      <c r="CH10" s="8" t="inlineStr">
        <is>
          <t>Q1</t>
        </is>
      </c>
      <c r="CI10" s="8" t="inlineStr">
        <is>
          <t>Q1</t>
        </is>
      </c>
      <c r="CJ10" s="8" t="inlineStr">
        <is>
          <t>Q1</t>
        </is>
      </c>
      <c r="CK10" s="8" t="inlineStr">
        <is>
          <t>Q2</t>
        </is>
      </c>
      <c r="CL10" s="8" t="inlineStr">
        <is>
          <t>Q2</t>
        </is>
      </c>
      <c r="CM10" s="8" t="inlineStr">
        <is>
          <t>Q2</t>
        </is>
      </c>
      <c r="CN10" s="8" t="inlineStr">
        <is>
          <t>Q3</t>
        </is>
      </c>
      <c r="CO10" s="8" t="inlineStr">
        <is>
          <t>Q3</t>
        </is>
      </c>
      <c r="CP10" s="8" t="inlineStr">
        <is>
          <t>Q3</t>
        </is>
      </c>
      <c r="CQ10" s="8" t="inlineStr">
        <is>
          <t>Q4</t>
        </is>
      </c>
      <c r="CR10" s="8" t="inlineStr">
        <is>
          <t>Q4</t>
        </is>
      </c>
      <c r="CS10" s="8" t="inlineStr">
        <is>
          <t>Q4</t>
        </is>
      </c>
      <c r="CT10" s="8" t="inlineStr">
        <is>
          <t>Q1</t>
        </is>
      </c>
      <c r="CU10" s="8" t="inlineStr">
        <is>
          <t>Q1</t>
        </is>
      </c>
      <c r="CV10" s="8" t="inlineStr">
        <is>
          <t>Q1</t>
        </is>
      </c>
      <c r="CW10" s="8" t="inlineStr">
        <is>
          <t>Q2</t>
        </is>
      </c>
      <c r="CX10" s="8" t="inlineStr">
        <is>
          <t>Q2</t>
        </is>
      </c>
      <c r="CY10" s="8" t="inlineStr">
        <is>
          <t>Q2</t>
        </is>
      </c>
      <c r="CZ10" s="8" t="inlineStr">
        <is>
          <t>Q3</t>
        </is>
      </c>
      <c r="DA10" s="8" t="inlineStr">
        <is>
          <t>Q3</t>
        </is>
      </c>
      <c r="DB10" s="8" t="inlineStr">
        <is>
          <t>Q3</t>
        </is>
      </c>
      <c r="DC10" s="8" t="inlineStr">
        <is>
          <t>Q4</t>
        </is>
      </c>
      <c r="DD10" s="8" t="inlineStr">
        <is>
          <t>Q4</t>
        </is>
      </c>
      <c r="DE10" s="8" t="inlineStr">
        <is>
          <t>Q4</t>
        </is>
      </c>
      <c r="DF10" s="8" t="inlineStr">
        <is>
          <t>Q1</t>
        </is>
      </c>
      <c r="DG10" s="8" t="inlineStr">
        <is>
          <t>Q1</t>
        </is>
      </c>
      <c r="DH10" s="8" t="inlineStr">
        <is>
          <t>Q1</t>
        </is>
      </c>
      <c r="DI10" s="8" t="inlineStr">
        <is>
          <t>Q2</t>
        </is>
      </c>
      <c r="DJ10" s="8" t="inlineStr">
        <is>
          <t>Q2</t>
        </is>
      </c>
      <c r="DK10" s="8" t="inlineStr">
        <is>
          <t>Q2</t>
        </is>
      </c>
      <c r="DL10" s="8" t="inlineStr">
        <is>
          <t>Q3</t>
        </is>
      </c>
      <c r="DM10" s="8" t="inlineStr">
        <is>
          <t>Q3</t>
        </is>
      </c>
      <c r="DN10" s="8" t="inlineStr">
        <is>
          <t>Q3</t>
        </is>
      </c>
      <c r="DO10" s="8" t="inlineStr">
        <is>
          <t>Q4</t>
        </is>
      </c>
      <c r="DP10" s="8" t="inlineStr">
        <is>
          <t>Q4</t>
        </is>
      </c>
      <c r="DQ10" s="8" t="inlineStr">
        <is>
          <t>Q4</t>
        </is>
      </c>
    </row>
    <row r="11">
      <c r="A11" s="6" t="inlineStr">
        <is>
          <t>FY</t>
        </is>
      </c>
      <c r="B11" s="8" t="inlineStr">
        <is>
          <t>FY2025</t>
        </is>
      </c>
      <c r="C11" s="8" t="inlineStr">
        <is>
          <t>FY2025</t>
        </is>
      </c>
      <c r="D11" s="8" t="inlineStr">
        <is>
          <t>FY2025</t>
        </is>
      </c>
      <c r="E11" s="8" t="inlineStr">
        <is>
          <t>FY2025</t>
        </is>
      </c>
      <c r="F11" s="8" t="inlineStr">
        <is>
          <t>FY2025</t>
        </is>
      </c>
      <c r="G11" s="8" t="inlineStr">
        <is>
          <t>FY2025</t>
        </is>
      </c>
      <c r="H11" s="8" t="inlineStr">
        <is>
          <t>FY2026</t>
        </is>
      </c>
      <c r="I11" s="8" t="inlineStr">
        <is>
          <t>FY2026</t>
        </is>
      </c>
      <c r="J11" s="8" t="inlineStr">
        <is>
          <t>FY2026</t>
        </is>
      </c>
      <c r="K11" s="8" t="inlineStr">
        <is>
          <t>FY2026</t>
        </is>
      </c>
      <c r="L11" s="8" t="inlineStr">
        <is>
          <t>FY2026</t>
        </is>
      </c>
      <c r="M11" s="8" t="inlineStr">
        <is>
          <t>FY2026</t>
        </is>
      </c>
      <c r="N11" s="8" t="inlineStr">
        <is>
          <t>FY2026</t>
        </is>
      </c>
      <c r="O11" s="8" t="inlineStr">
        <is>
          <t>FY2026</t>
        </is>
      </c>
      <c r="P11" s="8" t="inlineStr">
        <is>
          <t>FY2026</t>
        </is>
      </c>
      <c r="Q11" s="8" t="inlineStr">
        <is>
          <t>FY2026</t>
        </is>
      </c>
      <c r="R11" s="8" t="inlineStr">
        <is>
          <t>FY2026</t>
        </is>
      </c>
      <c r="S11" s="8" t="inlineStr">
        <is>
          <t>FY2026</t>
        </is>
      </c>
      <c r="T11" s="8" t="inlineStr">
        <is>
          <t>FY2027</t>
        </is>
      </c>
      <c r="U11" s="8" t="inlineStr">
        <is>
          <t>FY2027</t>
        </is>
      </c>
      <c r="V11" s="8" t="inlineStr">
        <is>
          <t>FY2027</t>
        </is>
      </c>
      <c r="W11" s="8" t="inlineStr">
        <is>
          <t>FY2027</t>
        </is>
      </c>
      <c r="X11" s="8" t="inlineStr">
        <is>
          <t>FY2027</t>
        </is>
      </c>
      <c r="Y11" s="8" t="inlineStr">
        <is>
          <t>FY2027</t>
        </is>
      </c>
      <c r="Z11" s="8" t="inlineStr">
        <is>
          <t>FY2027</t>
        </is>
      </c>
      <c r="AA11" s="8" t="inlineStr">
        <is>
          <t>FY2027</t>
        </is>
      </c>
      <c r="AB11" s="8" t="inlineStr">
        <is>
          <t>FY2027</t>
        </is>
      </c>
      <c r="AC11" s="8" t="inlineStr">
        <is>
          <t>FY2027</t>
        </is>
      </c>
      <c r="AD11" s="8" t="inlineStr">
        <is>
          <t>FY2027</t>
        </is>
      </c>
      <c r="AE11" s="8" t="inlineStr">
        <is>
          <t>FY2027</t>
        </is>
      </c>
      <c r="AF11" s="8" t="inlineStr">
        <is>
          <t>FY2028</t>
        </is>
      </c>
      <c r="AG11" s="8" t="inlineStr">
        <is>
          <t>FY2028</t>
        </is>
      </c>
      <c r="AH11" s="8" t="inlineStr">
        <is>
          <t>FY2028</t>
        </is>
      </c>
      <c r="AI11" s="8" t="inlineStr">
        <is>
          <t>FY2028</t>
        </is>
      </c>
      <c r="AJ11" s="8" t="inlineStr">
        <is>
          <t>FY2028</t>
        </is>
      </c>
      <c r="AK11" s="8" t="inlineStr">
        <is>
          <t>FY2028</t>
        </is>
      </c>
      <c r="AL11" s="8" t="inlineStr">
        <is>
          <t>FY2028</t>
        </is>
      </c>
      <c r="AM11" s="8" t="inlineStr">
        <is>
          <t>FY2028</t>
        </is>
      </c>
      <c r="AN11" s="8" t="inlineStr">
        <is>
          <t>FY2028</t>
        </is>
      </c>
      <c r="AO11" s="8" t="inlineStr">
        <is>
          <t>FY2028</t>
        </is>
      </c>
      <c r="AP11" s="8" t="inlineStr">
        <is>
          <t>FY2028</t>
        </is>
      </c>
      <c r="AQ11" s="8" t="inlineStr">
        <is>
          <t>FY2028</t>
        </is>
      </c>
      <c r="AR11" s="8" t="inlineStr">
        <is>
          <t>FY2029</t>
        </is>
      </c>
      <c r="AS11" s="8" t="inlineStr">
        <is>
          <t>FY2029</t>
        </is>
      </c>
      <c r="AT11" s="8" t="inlineStr">
        <is>
          <t>FY2029</t>
        </is>
      </c>
      <c r="AU11" s="8" t="inlineStr">
        <is>
          <t>FY2029</t>
        </is>
      </c>
      <c r="AV11" s="8" t="inlineStr">
        <is>
          <t>FY2029</t>
        </is>
      </c>
      <c r="AW11" s="8" t="inlineStr">
        <is>
          <t>FY2029</t>
        </is>
      </c>
      <c r="AX11" s="8" t="inlineStr">
        <is>
          <t>FY2029</t>
        </is>
      </c>
      <c r="AY11" s="8" t="inlineStr">
        <is>
          <t>FY2029</t>
        </is>
      </c>
      <c r="AZ11" s="8" t="inlineStr">
        <is>
          <t>FY2029</t>
        </is>
      </c>
      <c r="BA11" s="8" t="inlineStr">
        <is>
          <t>FY2029</t>
        </is>
      </c>
      <c r="BB11" s="8" t="inlineStr">
        <is>
          <t>FY2029</t>
        </is>
      </c>
      <c r="BC11" s="8" t="inlineStr">
        <is>
          <t>FY2029</t>
        </is>
      </c>
      <c r="BD11" s="8" t="inlineStr">
        <is>
          <t>FY2030</t>
        </is>
      </c>
      <c r="BE11" s="8" t="inlineStr">
        <is>
          <t>FY2030</t>
        </is>
      </c>
      <c r="BF11" s="8" t="inlineStr">
        <is>
          <t>FY2030</t>
        </is>
      </c>
      <c r="BG11" s="8" t="inlineStr">
        <is>
          <t>FY2030</t>
        </is>
      </c>
      <c r="BH11" s="8" t="inlineStr">
        <is>
          <t>FY2030</t>
        </is>
      </c>
      <c r="BI11" s="8" t="inlineStr">
        <is>
          <t>FY2030</t>
        </is>
      </c>
      <c r="BJ11" s="8" t="inlineStr">
        <is>
          <t>FY2030</t>
        </is>
      </c>
      <c r="BK11" s="8" t="inlineStr">
        <is>
          <t>FY2030</t>
        </is>
      </c>
      <c r="BL11" s="8" t="inlineStr">
        <is>
          <t>FY2030</t>
        </is>
      </c>
      <c r="BM11" s="8" t="inlineStr">
        <is>
          <t>FY2030</t>
        </is>
      </c>
      <c r="BN11" s="8" t="inlineStr">
        <is>
          <t>FY2030</t>
        </is>
      </c>
      <c r="BO11" s="8" t="inlineStr">
        <is>
          <t>FY2030</t>
        </is>
      </c>
      <c r="BP11" s="8" t="inlineStr">
        <is>
          <t>FY2031</t>
        </is>
      </c>
      <c r="BQ11" s="8" t="inlineStr">
        <is>
          <t>FY2031</t>
        </is>
      </c>
      <c r="BR11" s="8" t="inlineStr">
        <is>
          <t>FY2031</t>
        </is>
      </c>
      <c r="BS11" s="8" t="inlineStr">
        <is>
          <t>FY2031</t>
        </is>
      </c>
      <c r="BT11" s="8" t="inlineStr">
        <is>
          <t>FY2031</t>
        </is>
      </c>
      <c r="BU11" s="8" t="inlineStr">
        <is>
          <t>FY2031</t>
        </is>
      </c>
      <c r="BV11" s="8" t="inlineStr">
        <is>
          <t>FY2031</t>
        </is>
      </c>
      <c r="BW11" s="8" t="inlineStr">
        <is>
          <t>FY2031</t>
        </is>
      </c>
      <c r="BX11" s="8" t="inlineStr">
        <is>
          <t>FY2031</t>
        </is>
      </c>
      <c r="BY11" s="8" t="inlineStr">
        <is>
          <t>FY2031</t>
        </is>
      </c>
      <c r="BZ11" s="8" t="inlineStr">
        <is>
          <t>FY2031</t>
        </is>
      </c>
      <c r="CA11" s="8" t="inlineStr">
        <is>
          <t>FY2031</t>
        </is>
      </c>
      <c r="CB11" s="8" t="inlineStr">
        <is>
          <t>FY2032</t>
        </is>
      </c>
      <c r="CC11" s="8" t="inlineStr">
        <is>
          <t>FY2032</t>
        </is>
      </c>
      <c r="CD11" s="8" t="inlineStr">
        <is>
          <t>FY2032</t>
        </is>
      </c>
      <c r="CE11" s="8" t="inlineStr">
        <is>
          <t>FY2032</t>
        </is>
      </c>
      <c r="CF11" s="8" t="inlineStr">
        <is>
          <t>FY2032</t>
        </is>
      </c>
      <c r="CG11" s="8" t="inlineStr">
        <is>
          <t>FY2032</t>
        </is>
      </c>
      <c r="CH11" s="8" t="inlineStr">
        <is>
          <t>FY2032</t>
        </is>
      </c>
      <c r="CI11" s="8" t="inlineStr">
        <is>
          <t>FY2032</t>
        </is>
      </c>
      <c r="CJ11" s="8" t="inlineStr">
        <is>
          <t>FY2032</t>
        </is>
      </c>
      <c r="CK11" s="8" t="inlineStr">
        <is>
          <t>FY2032</t>
        </is>
      </c>
      <c r="CL11" s="8" t="inlineStr">
        <is>
          <t>FY2032</t>
        </is>
      </c>
      <c r="CM11" s="8" t="inlineStr">
        <is>
          <t>FY2032</t>
        </is>
      </c>
      <c r="CN11" s="8" t="inlineStr">
        <is>
          <t>FY2033</t>
        </is>
      </c>
      <c r="CO11" s="8" t="inlineStr">
        <is>
          <t>FY2033</t>
        </is>
      </c>
      <c r="CP11" s="8" t="inlineStr">
        <is>
          <t>FY2033</t>
        </is>
      </c>
      <c r="CQ11" s="8" t="inlineStr">
        <is>
          <t>FY2033</t>
        </is>
      </c>
      <c r="CR11" s="8" t="inlineStr">
        <is>
          <t>FY2033</t>
        </is>
      </c>
      <c r="CS11" s="8" t="inlineStr">
        <is>
          <t>FY2033</t>
        </is>
      </c>
      <c r="CT11" s="8" t="inlineStr">
        <is>
          <t>FY2033</t>
        </is>
      </c>
      <c r="CU11" s="8" t="inlineStr">
        <is>
          <t>FY2033</t>
        </is>
      </c>
      <c r="CV11" s="8" t="inlineStr">
        <is>
          <t>FY2033</t>
        </is>
      </c>
      <c r="CW11" s="8" t="inlineStr">
        <is>
          <t>FY2033</t>
        </is>
      </c>
      <c r="CX11" s="8" t="inlineStr">
        <is>
          <t>FY2033</t>
        </is>
      </c>
      <c r="CY11" s="8" t="inlineStr">
        <is>
          <t>FY2033</t>
        </is>
      </c>
      <c r="CZ11" s="8" t="inlineStr">
        <is>
          <t>FY2034</t>
        </is>
      </c>
      <c r="DA11" s="8" t="inlineStr">
        <is>
          <t>FY2034</t>
        </is>
      </c>
      <c r="DB11" s="8" t="inlineStr">
        <is>
          <t>FY2034</t>
        </is>
      </c>
      <c r="DC11" s="8" t="inlineStr">
        <is>
          <t>FY2034</t>
        </is>
      </c>
      <c r="DD11" s="8" t="inlineStr">
        <is>
          <t>FY2034</t>
        </is>
      </c>
      <c r="DE11" s="8" t="inlineStr">
        <is>
          <t>FY2034</t>
        </is>
      </c>
      <c r="DF11" s="8" t="inlineStr">
        <is>
          <t>FY2034</t>
        </is>
      </c>
      <c r="DG11" s="8" t="inlineStr">
        <is>
          <t>FY2034</t>
        </is>
      </c>
      <c r="DH11" s="8" t="inlineStr">
        <is>
          <t>FY2034</t>
        </is>
      </c>
      <c r="DI11" s="8" t="inlineStr">
        <is>
          <t>FY2034</t>
        </is>
      </c>
      <c r="DJ11" s="8" t="inlineStr">
        <is>
          <t>FY2034</t>
        </is>
      </c>
      <c r="DK11" s="8" t="inlineStr">
        <is>
          <t>FY2034</t>
        </is>
      </c>
      <c r="DL11" s="8" t="inlineStr">
        <is>
          <t>FY2035</t>
        </is>
      </c>
      <c r="DM11" s="8" t="inlineStr">
        <is>
          <t>FY2035</t>
        </is>
      </c>
      <c r="DN11" s="8" t="inlineStr">
        <is>
          <t>FY2035</t>
        </is>
      </c>
      <c r="DO11" s="8" t="inlineStr">
        <is>
          <t>FY2035</t>
        </is>
      </c>
      <c r="DP11" s="8" t="inlineStr">
        <is>
          <t>FY2035</t>
        </is>
      </c>
      <c r="DQ11" s="8" t="inlineStr">
        <is>
          <t>FY2035</t>
        </is>
      </c>
    </row>
    <row r="12">
      <c r="A12" s="6" t="inlineStr">
        <is>
          <t>FY-End Flag</t>
        </is>
      </c>
      <c r="B12" s="8" t="n">
        <v>0</v>
      </c>
      <c r="C12" s="8" t="n">
        <v>0</v>
      </c>
      <c r="D12" s="8" t="n">
        <v>0</v>
      </c>
      <c r="E12" s="8" t="n">
        <v>0</v>
      </c>
      <c r="F12" s="8" t="n">
        <v>0</v>
      </c>
      <c r="G12" s="8" t="n">
        <v>1</v>
      </c>
      <c r="H12" s="8" t="n">
        <v>0</v>
      </c>
      <c r="I12" s="8" t="n">
        <v>0</v>
      </c>
      <c r="J12" s="8" t="n">
        <v>0</v>
      </c>
      <c r="K12" s="8" t="n">
        <v>0</v>
      </c>
      <c r="L12" s="8" t="n">
        <v>0</v>
      </c>
      <c r="M12" s="8" t="n">
        <v>0</v>
      </c>
      <c r="N12" s="8" t="n">
        <v>0</v>
      </c>
      <c r="O12" s="8" t="n">
        <v>0</v>
      </c>
      <c r="P12" s="8" t="n">
        <v>0</v>
      </c>
      <c r="Q12" s="8" t="n">
        <v>0</v>
      </c>
      <c r="R12" s="8" t="n">
        <v>0</v>
      </c>
      <c r="S12" s="8" t="n">
        <v>1</v>
      </c>
      <c r="T12" s="8" t="n">
        <v>0</v>
      </c>
      <c r="U12" s="8" t="n">
        <v>0</v>
      </c>
      <c r="V12" s="8" t="n">
        <v>0</v>
      </c>
      <c r="W12" s="8" t="n">
        <v>0</v>
      </c>
      <c r="X12" s="8" t="n">
        <v>0</v>
      </c>
      <c r="Y12" s="8" t="n">
        <v>0</v>
      </c>
      <c r="Z12" s="8" t="n">
        <v>0</v>
      </c>
      <c r="AA12" s="8" t="n">
        <v>0</v>
      </c>
      <c r="AB12" s="8" t="n">
        <v>0</v>
      </c>
      <c r="AC12" s="8" t="n">
        <v>0</v>
      </c>
      <c r="AD12" s="8" t="n">
        <v>0</v>
      </c>
      <c r="AE12" s="8" t="n">
        <v>1</v>
      </c>
      <c r="AF12" s="8" t="n">
        <v>0</v>
      </c>
      <c r="AG12" s="8" t="n">
        <v>0</v>
      </c>
      <c r="AH12" s="8" t="n">
        <v>0</v>
      </c>
      <c r="AI12" s="8" t="n">
        <v>0</v>
      </c>
      <c r="AJ12" s="8" t="n">
        <v>0</v>
      </c>
      <c r="AK12" s="8" t="n">
        <v>0</v>
      </c>
      <c r="AL12" s="8" t="n">
        <v>0</v>
      </c>
      <c r="AM12" s="8" t="n">
        <v>0</v>
      </c>
      <c r="AN12" s="8" t="n">
        <v>0</v>
      </c>
      <c r="AO12" s="8" t="n">
        <v>0</v>
      </c>
      <c r="AP12" s="8" t="n">
        <v>0</v>
      </c>
      <c r="AQ12" s="8" t="n">
        <v>1</v>
      </c>
      <c r="AR12" s="8" t="n">
        <v>0</v>
      </c>
      <c r="AS12" s="8" t="n">
        <v>0</v>
      </c>
      <c r="AT12" s="8" t="n">
        <v>0</v>
      </c>
      <c r="AU12" s="8" t="n">
        <v>0</v>
      </c>
      <c r="AV12" s="8" t="n">
        <v>0</v>
      </c>
      <c r="AW12" s="8" t="n">
        <v>0</v>
      </c>
      <c r="AX12" s="8" t="n">
        <v>0</v>
      </c>
      <c r="AY12" s="8" t="n">
        <v>0</v>
      </c>
      <c r="AZ12" s="8" t="n">
        <v>0</v>
      </c>
      <c r="BA12" s="8" t="n">
        <v>0</v>
      </c>
      <c r="BB12" s="8" t="n">
        <v>0</v>
      </c>
      <c r="BC12" s="8" t="n">
        <v>1</v>
      </c>
      <c r="BD12" s="8" t="n">
        <v>0</v>
      </c>
      <c r="BE12" s="8" t="n">
        <v>0</v>
      </c>
      <c r="BF12" s="8" t="n">
        <v>0</v>
      </c>
      <c r="BG12" s="8" t="n">
        <v>0</v>
      </c>
      <c r="BH12" s="8" t="n">
        <v>0</v>
      </c>
      <c r="BI12" s="8" t="n">
        <v>0</v>
      </c>
      <c r="BJ12" s="8" t="n">
        <v>0</v>
      </c>
      <c r="BK12" s="8" t="n">
        <v>0</v>
      </c>
      <c r="BL12" s="8" t="n">
        <v>0</v>
      </c>
      <c r="BM12" s="8" t="n">
        <v>0</v>
      </c>
      <c r="BN12" s="8" t="n">
        <v>0</v>
      </c>
      <c r="BO12" s="8" t="n">
        <v>1</v>
      </c>
      <c r="BP12" s="8" t="n">
        <v>0</v>
      </c>
      <c r="BQ12" s="8" t="n">
        <v>0</v>
      </c>
      <c r="BR12" s="8" t="n">
        <v>0</v>
      </c>
      <c r="BS12" s="8" t="n">
        <v>0</v>
      </c>
      <c r="BT12" s="8" t="n">
        <v>0</v>
      </c>
      <c r="BU12" s="8" t="n">
        <v>0</v>
      </c>
      <c r="BV12" s="8" t="n">
        <v>0</v>
      </c>
      <c r="BW12" s="8" t="n">
        <v>0</v>
      </c>
      <c r="BX12" s="8" t="n">
        <v>0</v>
      </c>
      <c r="BY12" s="8" t="n">
        <v>0</v>
      </c>
      <c r="BZ12" s="8" t="n">
        <v>0</v>
      </c>
      <c r="CA12" s="8" t="n">
        <v>1</v>
      </c>
      <c r="CB12" s="8" t="n">
        <v>0</v>
      </c>
      <c r="CC12" s="8" t="n">
        <v>0</v>
      </c>
      <c r="CD12" s="8" t="n">
        <v>0</v>
      </c>
      <c r="CE12" s="8" t="n">
        <v>0</v>
      </c>
      <c r="CF12" s="8" t="n">
        <v>0</v>
      </c>
      <c r="CG12" s="8" t="n">
        <v>0</v>
      </c>
      <c r="CH12" s="8" t="n">
        <v>0</v>
      </c>
      <c r="CI12" s="8" t="n">
        <v>0</v>
      </c>
      <c r="CJ12" s="8" t="n">
        <v>0</v>
      </c>
      <c r="CK12" s="8" t="n">
        <v>0</v>
      </c>
      <c r="CL12" s="8" t="n">
        <v>0</v>
      </c>
      <c r="CM12" s="8" t="n">
        <v>1</v>
      </c>
      <c r="CN12" s="8" t="n">
        <v>0</v>
      </c>
      <c r="CO12" s="8" t="n">
        <v>0</v>
      </c>
      <c r="CP12" s="8" t="n">
        <v>0</v>
      </c>
      <c r="CQ12" s="8" t="n">
        <v>0</v>
      </c>
      <c r="CR12" s="8" t="n">
        <v>0</v>
      </c>
      <c r="CS12" s="8" t="n">
        <v>0</v>
      </c>
      <c r="CT12" s="8" t="n">
        <v>0</v>
      </c>
      <c r="CU12" s="8" t="n">
        <v>0</v>
      </c>
      <c r="CV12" s="8" t="n">
        <v>0</v>
      </c>
      <c r="CW12" s="8" t="n">
        <v>0</v>
      </c>
      <c r="CX12" s="8" t="n">
        <v>0</v>
      </c>
      <c r="CY12" s="8" t="n">
        <v>1</v>
      </c>
      <c r="CZ12" s="8" t="n">
        <v>0</v>
      </c>
      <c r="DA12" s="8" t="n">
        <v>0</v>
      </c>
      <c r="DB12" s="8" t="n">
        <v>0</v>
      </c>
      <c r="DC12" s="8" t="n">
        <v>0</v>
      </c>
      <c r="DD12" s="8" t="n">
        <v>0</v>
      </c>
      <c r="DE12" s="8" t="n">
        <v>0</v>
      </c>
      <c r="DF12" s="8" t="n">
        <v>0</v>
      </c>
      <c r="DG12" s="8" t="n">
        <v>0</v>
      </c>
      <c r="DH12" s="8" t="n">
        <v>0</v>
      </c>
      <c r="DI12" s="8" t="n">
        <v>0</v>
      </c>
      <c r="DJ12" s="8" t="n">
        <v>0</v>
      </c>
      <c r="DK12" s="8" t="n">
        <v>1</v>
      </c>
      <c r="DL12" s="8" t="n">
        <v>0</v>
      </c>
      <c r="DM12" s="8" t="n">
        <v>0</v>
      </c>
      <c r="DN12" s="8" t="n">
        <v>0</v>
      </c>
      <c r="DO12" s="8" t="n">
        <v>0</v>
      </c>
      <c r="DP12" s="8" t="n">
        <v>0</v>
      </c>
      <c r="DQ12" s="8" t="n">
        <v>0</v>
      </c>
    </row>
    <row r="13">
      <c r="A13" s="6" t="inlineStr">
        <is>
          <t>Year #</t>
        </is>
      </c>
      <c r="B13" s="8" t="n">
        <v>1</v>
      </c>
      <c r="C13" s="8" t="n">
        <v>1</v>
      </c>
      <c r="D13" s="8" t="n">
        <v>1</v>
      </c>
      <c r="E13" s="8" t="n">
        <v>1</v>
      </c>
      <c r="F13" s="8" t="n">
        <v>1</v>
      </c>
      <c r="G13" s="8" t="n">
        <v>1</v>
      </c>
      <c r="H13" s="8" t="n">
        <v>1</v>
      </c>
      <c r="I13" s="8" t="n">
        <v>1</v>
      </c>
      <c r="J13" s="8" t="n">
        <v>1</v>
      </c>
      <c r="K13" s="8" t="n">
        <v>1</v>
      </c>
      <c r="L13" s="8" t="n">
        <v>1</v>
      </c>
      <c r="M13" s="8" t="n">
        <v>1</v>
      </c>
      <c r="N13" s="8" t="n">
        <v>2</v>
      </c>
      <c r="O13" s="8" t="n">
        <v>2</v>
      </c>
      <c r="P13" s="8" t="n">
        <v>2</v>
      </c>
      <c r="Q13" s="8" t="n">
        <v>2</v>
      </c>
      <c r="R13" s="8" t="n">
        <v>2</v>
      </c>
      <c r="S13" s="8" t="n">
        <v>2</v>
      </c>
      <c r="T13" s="8" t="n">
        <v>2</v>
      </c>
      <c r="U13" s="8" t="n">
        <v>2</v>
      </c>
      <c r="V13" s="8" t="n">
        <v>2</v>
      </c>
      <c r="W13" s="8" t="n">
        <v>2</v>
      </c>
      <c r="X13" s="8" t="n">
        <v>2</v>
      </c>
      <c r="Y13" s="8" t="n">
        <v>2</v>
      </c>
      <c r="Z13" s="8" t="n">
        <v>3</v>
      </c>
      <c r="AA13" s="8" t="n">
        <v>3</v>
      </c>
      <c r="AB13" s="8" t="n">
        <v>3</v>
      </c>
      <c r="AC13" s="8" t="n">
        <v>3</v>
      </c>
      <c r="AD13" s="8" t="n">
        <v>3</v>
      </c>
      <c r="AE13" s="8" t="n">
        <v>3</v>
      </c>
      <c r="AF13" s="8" t="n">
        <v>3</v>
      </c>
      <c r="AG13" s="8" t="n">
        <v>3</v>
      </c>
      <c r="AH13" s="8" t="n">
        <v>3</v>
      </c>
      <c r="AI13" s="8" t="n">
        <v>3</v>
      </c>
      <c r="AJ13" s="8" t="n">
        <v>3</v>
      </c>
      <c r="AK13" s="8" t="n">
        <v>3</v>
      </c>
      <c r="AL13" s="8" t="n">
        <v>4</v>
      </c>
      <c r="AM13" s="8" t="n">
        <v>4</v>
      </c>
      <c r="AN13" s="8" t="n">
        <v>4</v>
      </c>
      <c r="AO13" s="8" t="n">
        <v>4</v>
      </c>
      <c r="AP13" s="8" t="n">
        <v>4</v>
      </c>
      <c r="AQ13" s="8" t="n">
        <v>4</v>
      </c>
      <c r="AR13" s="8" t="n">
        <v>4</v>
      </c>
      <c r="AS13" s="8" t="n">
        <v>4</v>
      </c>
      <c r="AT13" s="8" t="n">
        <v>4</v>
      </c>
      <c r="AU13" s="8" t="n">
        <v>4</v>
      </c>
      <c r="AV13" s="8" t="n">
        <v>4</v>
      </c>
      <c r="AW13" s="8" t="n">
        <v>4</v>
      </c>
      <c r="AX13" s="8" t="n">
        <v>5</v>
      </c>
      <c r="AY13" s="8" t="n">
        <v>5</v>
      </c>
      <c r="AZ13" s="8" t="n">
        <v>5</v>
      </c>
      <c r="BA13" s="8" t="n">
        <v>5</v>
      </c>
      <c r="BB13" s="8" t="n">
        <v>5</v>
      </c>
      <c r="BC13" s="8" t="n">
        <v>5</v>
      </c>
      <c r="BD13" s="8" t="n">
        <v>5</v>
      </c>
      <c r="BE13" s="8" t="n">
        <v>5</v>
      </c>
      <c r="BF13" s="8" t="n">
        <v>5</v>
      </c>
      <c r="BG13" s="8" t="n">
        <v>5</v>
      </c>
      <c r="BH13" s="8" t="n">
        <v>5</v>
      </c>
      <c r="BI13" s="8" t="n">
        <v>5</v>
      </c>
      <c r="BJ13" s="8" t="n">
        <v>6</v>
      </c>
      <c r="BK13" s="8" t="n">
        <v>6</v>
      </c>
      <c r="BL13" s="8" t="n">
        <v>6</v>
      </c>
      <c r="BM13" s="8" t="n">
        <v>6</v>
      </c>
      <c r="BN13" s="8" t="n">
        <v>6</v>
      </c>
      <c r="BO13" s="8" t="n">
        <v>6</v>
      </c>
      <c r="BP13" s="8" t="n">
        <v>6</v>
      </c>
      <c r="BQ13" s="8" t="n">
        <v>6</v>
      </c>
      <c r="BR13" s="8" t="n">
        <v>6</v>
      </c>
      <c r="BS13" s="8" t="n">
        <v>6</v>
      </c>
      <c r="BT13" s="8" t="n">
        <v>6</v>
      </c>
      <c r="BU13" s="8" t="n">
        <v>6</v>
      </c>
      <c r="BV13" s="8" t="n">
        <v>7</v>
      </c>
      <c r="BW13" s="8" t="n">
        <v>7</v>
      </c>
      <c r="BX13" s="8" t="n">
        <v>7</v>
      </c>
      <c r="BY13" s="8" t="n">
        <v>7</v>
      </c>
      <c r="BZ13" s="8" t="n">
        <v>7</v>
      </c>
      <c r="CA13" s="8" t="n">
        <v>7</v>
      </c>
      <c r="CB13" s="8" t="n">
        <v>7</v>
      </c>
      <c r="CC13" s="8" t="n">
        <v>7</v>
      </c>
      <c r="CD13" s="8" t="n">
        <v>7</v>
      </c>
      <c r="CE13" s="8" t="n">
        <v>7</v>
      </c>
      <c r="CF13" s="8" t="n">
        <v>7</v>
      </c>
      <c r="CG13" s="8" t="n">
        <v>7</v>
      </c>
      <c r="CH13" s="8" t="n">
        <v>8</v>
      </c>
      <c r="CI13" s="8" t="n">
        <v>8</v>
      </c>
      <c r="CJ13" s="8" t="n">
        <v>8</v>
      </c>
      <c r="CK13" s="8" t="n">
        <v>8</v>
      </c>
      <c r="CL13" s="8" t="n">
        <v>8</v>
      </c>
      <c r="CM13" s="8" t="n">
        <v>8</v>
      </c>
      <c r="CN13" s="8" t="n">
        <v>8</v>
      </c>
      <c r="CO13" s="8" t="n">
        <v>8</v>
      </c>
      <c r="CP13" s="8" t="n">
        <v>8</v>
      </c>
      <c r="CQ13" s="8" t="n">
        <v>8</v>
      </c>
      <c r="CR13" s="8" t="n">
        <v>8</v>
      </c>
      <c r="CS13" s="8" t="n">
        <v>8</v>
      </c>
      <c r="CT13" s="8" t="n">
        <v>9</v>
      </c>
      <c r="CU13" s="8" t="n">
        <v>9</v>
      </c>
      <c r="CV13" s="8" t="n">
        <v>9</v>
      </c>
      <c r="CW13" s="8" t="n">
        <v>9</v>
      </c>
      <c r="CX13" s="8" t="n">
        <v>9</v>
      </c>
      <c r="CY13" s="8" t="n">
        <v>9</v>
      </c>
      <c r="CZ13" s="8" t="n">
        <v>9</v>
      </c>
      <c r="DA13" s="8" t="n">
        <v>9</v>
      </c>
      <c r="DB13" s="8" t="n">
        <v>9</v>
      </c>
      <c r="DC13" s="8" t="n">
        <v>9</v>
      </c>
      <c r="DD13" s="8" t="n">
        <v>9</v>
      </c>
      <c r="DE13" s="8" t="n">
        <v>9</v>
      </c>
      <c r="DF13" s="8" t="n">
        <v>10</v>
      </c>
      <c r="DG13" s="8" t="n">
        <v>10</v>
      </c>
      <c r="DH13" s="8" t="n">
        <v>10</v>
      </c>
      <c r="DI13" s="8" t="n">
        <v>10</v>
      </c>
      <c r="DJ13" s="8" t="n">
        <v>10</v>
      </c>
      <c r="DK13" s="8" t="n">
        <v>10</v>
      </c>
      <c r="DL13" s="8" t="n">
        <v>10</v>
      </c>
      <c r="DM13" s="8" t="n">
        <v>10</v>
      </c>
      <c r="DN13" s="8" t="n">
        <v>10</v>
      </c>
      <c r="DO13" s="8" t="n">
        <v>10</v>
      </c>
      <c r="DP13" s="8" t="n">
        <v>10</v>
      </c>
      <c r="DQ13" s="8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1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USER INSTRUCTIONS</t>
        </is>
      </c>
    </row>
    <row r="3">
      <c r="A3" s="17" t="inlineStr"/>
    </row>
    <row r="4">
      <c r="A4" s="26" t="inlineStr">
        <is>
          <t>BEER BREWERY FINANCIAL MODEL</t>
        </is>
      </c>
    </row>
    <row r="5">
      <c r="A5" t="inlineStr">
        <is>
          <t>10-Year Monthly Projection Model</t>
        </is>
      </c>
    </row>
    <row r="6">
      <c r="A6" t="inlineStr"/>
    </row>
    <row r="7">
      <c r="A7" s="26" t="inlineStr">
        <is>
          <t>PURPOSE:</t>
        </is>
      </c>
    </row>
    <row r="8">
      <c r="A8" t="inlineStr">
        <is>
          <t>This model projects financial performance for a beer brewery over 120 months (Jan 2025 - Dec 2034)</t>
        </is>
      </c>
    </row>
    <row r="9">
      <c r="A9" t="inlineStr">
        <is>
          <t>with integrated Income Statement, Cash Flow, and Balance Sheet.</t>
        </is>
      </c>
    </row>
    <row r="10">
      <c r="A10" t="inlineStr"/>
    </row>
    <row r="11">
      <c r="A11" s="26" t="inlineStr">
        <is>
          <t>HOW TO USE:</t>
        </is>
      </c>
    </row>
    <row r="12">
      <c r="A12" t="inlineStr"/>
    </row>
    <row r="13">
      <c r="A13" s="26" t="inlineStr">
        <is>
          <t>1. SELECT SCENARIO</t>
        </is>
      </c>
    </row>
    <row r="14">
      <c r="A14" t="inlineStr">
        <is>
          <t xml:space="preserve">   • Go to CONTROL sheet</t>
        </is>
      </c>
    </row>
    <row r="15">
      <c r="A15" t="inlineStr">
        <is>
          <t xml:space="preserve">   • Cell B4: Select scenario from dropdown (Base / Upside / Downside)</t>
        </is>
      </c>
    </row>
    <row r="16">
      <c r="A16" t="inlineStr">
        <is>
          <t xml:space="preserve">   • All calculations update automatically</t>
        </is>
      </c>
    </row>
    <row r="17">
      <c r="A17" t="inlineStr"/>
    </row>
    <row r="18">
      <c r="A18" s="26" t="inlineStr">
        <is>
          <t>2. CHANGE ASSUMPTIONS</t>
        </is>
      </c>
    </row>
    <row r="19">
      <c r="A19" t="inlineStr">
        <is>
          <t xml:space="preserve">   • Assumptions_Macro: Inflation rates, excise, tax</t>
        </is>
      </c>
    </row>
    <row r="20">
      <c r="A20" t="inlineStr">
        <is>
          <t xml:space="preserve">   • Assumptions_Commercial: Volume growth, pricing, seasonality</t>
        </is>
      </c>
    </row>
    <row r="21">
      <c r="A21" t="inlineStr">
        <is>
          <t xml:space="preserve">   • Assumptions_Operations: COGS, capacity, working capital</t>
        </is>
      </c>
    </row>
    <row r="22">
      <c r="A22" t="inlineStr">
        <is>
          <t xml:space="preserve">   • Assumptions_Finance: Debt, equity, dividends</t>
        </is>
      </c>
    </row>
    <row r="23">
      <c r="A23" t="inlineStr">
        <is>
          <t xml:space="preserve">   • Only change BLUE cells (inputs)</t>
        </is>
      </c>
    </row>
    <row r="24">
      <c r="A24" t="inlineStr">
        <is>
          <t xml:space="preserve">   • Do NOT change BLACK cells (formulas)</t>
        </is>
      </c>
    </row>
    <row r="25">
      <c r="A25" t="inlineStr"/>
    </row>
    <row r="26">
      <c r="A26" s="26" t="inlineStr">
        <is>
          <t>3. VIEW RESULTS</t>
        </is>
      </c>
    </row>
    <row r="27">
      <c r="A27" t="inlineStr">
        <is>
          <t xml:space="preserve">   • DASHBOARD: Executive summary</t>
        </is>
      </c>
    </row>
    <row r="28">
      <c r="A28" t="inlineStr">
        <is>
          <t xml:space="preserve">   • IS: Income Statement (Revenue → Net Income)</t>
        </is>
      </c>
    </row>
    <row r="29">
      <c r="A29" t="inlineStr">
        <is>
          <t xml:space="preserve">   • CF: Cash Flow (Operating, Investing, Financing)</t>
        </is>
      </c>
    </row>
    <row r="30">
      <c r="A30" t="inlineStr">
        <is>
          <t xml:space="preserve">   • BS: Balance Sheet (Assets, Liabilities, Equity)</t>
        </is>
      </c>
    </row>
    <row r="31">
      <c r="A31" t="inlineStr">
        <is>
          <t xml:space="preserve">   • Checks: Model integrity validation</t>
        </is>
      </c>
    </row>
    <row r="32">
      <c r="A32" t="inlineStr"/>
    </row>
    <row r="33">
      <c r="A33" t="inlineStr">
        <is>
          <t>4. KEY ASSUMPTIONS (Base Case):</t>
        </is>
      </c>
    </row>
    <row r="34">
      <c r="A34" t="inlineStr">
        <is>
          <t xml:space="preserve">   • Volume Growth: AU +4%, NZ +3%, Exports +15%</t>
        </is>
      </c>
    </row>
    <row r="35">
      <c r="A35" t="inlineStr">
        <is>
          <t xml:space="preserve">   • Price Escalation: On-trade +3.5%, Off-trade +2.0%</t>
        </is>
      </c>
    </row>
    <row r="36">
      <c r="A36" t="inlineStr">
        <is>
          <t xml:space="preserve">   • COGS Inflation: Materials +3%, Packaging +2.5%, Labour +3.5%</t>
        </is>
      </c>
    </row>
    <row r="37">
      <c r="A37" t="inlineStr">
        <is>
          <t xml:space="preserve">   • Capacity: 1M HL brewing, 80% utilization target</t>
        </is>
      </c>
    </row>
    <row r="38">
      <c r="A38" t="inlineStr">
        <is>
          <t xml:space="preserve">   • Debt: $15M term loan @ 6.5%, 7-year amortization</t>
        </is>
      </c>
    </row>
    <row r="39">
      <c r="A39" t="inlineStr">
        <is>
          <t xml:space="preserve">   • Working Capital: Inventory 70 days, Receivables 40 days, Payables 55 days</t>
        </is>
      </c>
    </row>
    <row r="40">
      <c r="A40" t="inlineStr"/>
    </row>
    <row r="41">
      <c r="A41" s="26" t="inlineStr">
        <is>
          <t>MODEL STRUCTURE:</t>
        </is>
      </c>
    </row>
    <row r="42">
      <c r="A42" t="inlineStr">
        <is>
          <t xml:space="preserve">   • 10 SKUs across 4 brand families (SkyBrew, AllDark, Craft IPA, Session, Premium)</t>
        </is>
      </c>
    </row>
    <row r="43">
      <c r="A43" t="inlineStr">
        <is>
          <t xml:space="preserve">   • 3 markets: Australia (70%), New Zealand (25%), Exports (5%)</t>
        </is>
      </c>
    </row>
    <row r="44">
      <c r="A44" t="inlineStr">
        <is>
          <t xml:space="preserve">   • 2 channels: On-Trade (35%), Off-Trade (65%)</t>
        </is>
      </c>
    </row>
    <row r="45">
      <c r="A45" t="inlineStr">
        <is>
          <t xml:space="preserve">   • Seasonality: Summer peaks (Dec-Feb), Winter lows (Jun-Aug)</t>
        </is>
      </c>
    </row>
    <row r="46">
      <c r="A46" t="inlineStr"/>
    </row>
    <row r="47">
      <c r="A47" s="26" t="inlineStr">
        <is>
          <t>NOTES:</t>
        </is>
      </c>
    </row>
    <row r="48">
      <c r="A48" t="inlineStr">
        <is>
          <t xml:space="preserve">   • This is a simplified model for illustration</t>
        </is>
      </c>
    </row>
    <row r="49">
      <c r="A49" t="inlineStr">
        <is>
          <t xml:space="preserve">   • Some formulas use averages (e.g., fixed COGS per HL) for Phase 1</t>
        </is>
      </c>
    </row>
    <row r="50">
      <c r="A50" t="inlineStr">
        <is>
          <t xml:space="preserve">   • Excise is estimated at ~$25/HL average (varies by SKU in detailed model)</t>
        </is>
      </c>
    </row>
    <row r="51">
      <c r="A51" t="inlineStr">
        <is>
          <t xml:space="preserve">   • Depreciation and debt schedules are simplified</t>
        </is>
      </c>
    </row>
    <row r="52">
      <c r="A52" t="inlineStr">
        <is>
          <t xml:space="preserve">   • Full granular COGS by SKU can be added in Phase 2</t>
        </is>
      </c>
    </row>
    <row r="53">
      <c r="A53" t="inlineStr"/>
    </row>
    <row r="54">
      <c r="A54" s="26" t="inlineStr">
        <is>
          <t>VALIDATION:</t>
        </is>
      </c>
    </row>
    <row r="55">
      <c r="A55" t="inlineStr">
        <is>
          <t xml:space="preserve">   • Check 'Checks' sheet - all should show 'OK'</t>
        </is>
      </c>
    </row>
    <row r="56">
      <c r="A56" t="inlineStr">
        <is>
          <t xml:space="preserve">   • Balance Sheet must balance (Assets = Liabilities + Equity)</t>
        </is>
      </c>
    </row>
    <row r="57">
      <c r="A57" t="inlineStr">
        <is>
          <t xml:space="preserve">   • Cash flow must reconcile (Opening + Net CF = Closing)</t>
        </is>
      </c>
    </row>
    <row r="58">
      <c r="A58" t="inlineStr"/>
    </row>
    <row r="59">
      <c r="A59" s="26" t="inlineStr">
        <is>
          <t>VERSION: 1.0</t>
        </is>
      </c>
    </row>
    <row r="60">
      <c r="A60" t="inlineStr">
        <is>
          <t>CREATED: November 2025</t>
        </is>
      </c>
    </row>
    <row r="61">
      <c r="A61" t="inlineStr">
        <is>
          <t>FOR QUESTIONS: Contact CFO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2" customWidth="1" min="4" max="4"/>
    <col width="10" customWidth="1" min="5" max="5"/>
    <col width="12" customWidth="1" min="6" max="6"/>
    <col width="12" customWidth="1" min="7" max="7"/>
    <col width="15" customWidth="1" min="8" max="8"/>
  </cols>
  <sheetData>
    <row r="1">
      <c r="A1" s="2" t="inlineStr">
        <is>
          <t>SKU MASTER DATA</t>
        </is>
      </c>
    </row>
    <row r="3">
      <c r="A3" s="6" t="inlineStr">
        <is>
          <t>SKU ID</t>
        </is>
      </c>
      <c r="B3" s="6" t="inlineStr">
        <is>
          <t>Brand</t>
        </is>
      </c>
      <c r="C3" s="6" t="inlineStr">
        <is>
          <t>Pack Type</t>
        </is>
      </c>
      <c r="D3" s="6" t="inlineStr">
        <is>
          <t>Size (mL)</t>
        </is>
      </c>
      <c r="E3" s="6" t="inlineStr">
        <is>
          <t>ABV %</t>
        </is>
      </c>
      <c r="F3" s="6" t="inlineStr">
        <is>
          <t>On-Trade %</t>
        </is>
      </c>
      <c r="G3" s="6" t="inlineStr">
        <is>
          <t>Off-Trade %</t>
        </is>
      </c>
      <c r="H3" s="6" t="inlineStr">
        <is>
          <t>Pack Category</t>
        </is>
      </c>
    </row>
    <row r="4">
      <c r="A4" s="4" t="inlineStr">
        <is>
          <t>SKU-01</t>
        </is>
      </c>
      <c r="B4" s="4" t="inlineStr">
        <is>
          <t>SkyBrew</t>
        </is>
      </c>
      <c r="C4" s="4" t="inlineStr">
        <is>
          <t>Bottle</t>
        </is>
      </c>
      <c r="D4" s="4" t="n">
        <v>330</v>
      </c>
      <c r="E4" s="27" t="n">
        <v>0.045</v>
      </c>
      <c r="F4" s="27" t="n">
        <v>0.3</v>
      </c>
      <c r="G4" s="27" t="n">
        <v>0.7</v>
      </c>
      <c r="H4" s="4" t="inlineStr">
        <is>
          <t>Packaged</t>
        </is>
      </c>
    </row>
    <row r="5">
      <c r="A5" s="4" t="inlineStr">
        <is>
          <t>SKU-02</t>
        </is>
      </c>
      <c r="B5" s="4" t="inlineStr">
        <is>
          <t>SkyBrew</t>
        </is>
      </c>
      <c r="C5" s="4" t="inlineStr">
        <is>
          <t>Can 6-pack</t>
        </is>
      </c>
      <c r="D5" s="4" t="n">
        <v>375</v>
      </c>
      <c r="E5" s="27" t="n">
        <v>0.045</v>
      </c>
      <c r="F5" s="27" t="n">
        <v>0.1</v>
      </c>
      <c r="G5" s="27" t="n">
        <v>0.9</v>
      </c>
      <c r="H5" s="4" t="inlineStr">
        <is>
          <t>Packaged</t>
        </is>
      </c>
    </row>
    <row r="6">
      <c r="A6" s="4" t="inlineStr">
        <is>
          <t>SKU-03</t>
        </is>
      </c>
      <c r="B6" s="4" t="inlineStr">
        <is>
          <t>SkyBrew</t>
        </is>
      </c>
      <c r="C6" s="4" t="inlineStr">
        <is>
          <t>Keg</t>
        </is>
      </c>
      <c r="D6" s="4" t="n">
        <v>50000</v>
      </c>
      <c r="E6" s="27" t="n">
        <v>0.045</v>
      </c>
      <c r="F6" s="27" t="n">
        <v>0.95</v>
      </c>
      <c r="G6" s="27" t="n">
        <v>0.05</v>
      </c>
      <c r="H6" s="4" t="inlineStr">
        <is>
          <t>Draught</t>
        </is>
      </c>
    </row>
    <row r="7">
      <c r="A7" s="4" t="inlineStr">
        <is>
          <t>SKU-04</t>
        </is>
      </c>
      <c r="B7" s="4" t="inlineStr">
        <is>
          <t>AllDark</t>
        </is>
      </c>
      <c r="C7" s="4" t="inlineStr">
        <is>
          <t>Bottle</t>
        </is>
      </c>
      <c r="D7" s="4" t="n">
        <v>330</v>
      </c>
      <c r="E7" s="27" t="n">
        <v>0.058</v>
      </c>
      <c r="F7" s="27" t="n">
        <v>0.4</v>
      </c>
      <c r="G7" s="27" t="n">
        <v>0.6</v>
      </c>
      <c r="H7" s="4" t="inlineStr">
        <is>
          <t>Packaged</t>
        </is>
      </c>
    </row>
    <row r="8">
      <c r="A8" s="4" t="inlineStr">
        <is>
          <t>SKU-05</t>
        </is>
      </c>
      <c r="B8" s="4" t="inlineStr">
        <is>
          <t>AllDark</t>
        </is>
      </c>
      <c r="C8" s="4" t="inlineStr">
        <is>
          <t>Can 4-pack</t>
        </is>
      </c>
      <c r="D8" s="4" t="n">
        <v>375</v>
      </c>
      <c r="E8" s="27" t="n">
        <v>0.058</v>
      </c>
      <c r="F8" s="27" t="n">
        <v>0.2</v>
      </c>
      <c r="G8" s="27" t="n">
        <v>0.8</v>
      </c>
      <c r="H8" s="4" t="inlineStr">
        <is>
          <t>Packaged</t>
        </is>
      </c>
    </row>
    <row r="9">
      <c r="A9" s="4" t="inlineStr">
        <is>
          <t>SKU-06</t>
        </is>
      </c>
      <c r="B9" s="4" t="inlineStr">
        <is>
          <t>AllDark</t>
        </is>
      </c>
      <c r="C9" s="4" t="inlineStr">
        <is>
          <t>Keg</t>
        </is>
      </c>
      <c r="D9" s="4" t="n">
        <v>50000</v>
      </c>
      <c r="E9" s="27" t="n">
        <v>0.058</v>
      </c>
      <c r="F9" s="27" t="n">
        <v>0.95</v>
      </c>
      <c r="G9" s="27" t="n">
        <v>0.05</v>
      </c>
      <c r="H9" s="4" t="inlineStr">
        <is>
          <t>Draught</t>
        </is>
      </c>
    </row>
    <row r="10">
      <c r="A10" s="4" t="inlineStr">
        <is>
          <t>SKU-07</t>
        </is>
      </c>
      <c r="B10" s="4" t="inlineStr">
        <is>
          <t>Craft IPA</t>
        </is>
      </c>
      <c r="C10" s="4" t="inlineStr">
        <is>
          <t>Bottle</t>
        </is>
      </c>
      <c r="D10" s="4" t="n">
        <v>330</v>
      </c>
      <c r="E10" s="27" t="n">
        <v>0.062</v>
      </c>
      <c r="F10" s="27" t="n">
        <v>0.5</v>
      </c>
      <c r="G10" s="27" t="n">
        <v>0.5</v>
      </c>
      <c r="H10" s="4" t="inlineStr">
        <is>
          <t>Packaged</t>
        </is>
      </c>
    </row>
    <row r="11">
      <c r="A11" s="4" t="inlineStr">
        <is>
          <t>SKU-08</t>
        </is>
      </c>
      <c r="B11" s="4" t="inlineStr">
        <is>
          <t>Craft IPA</t>
        </is>
      </c>
      <c r="C11" s="4" t="inlineStr">
        <is>
          <t>Can 4-pack</t>
        </is>
      </c>
      <c r="D11" s="4" t="n">
        <v>375</v>
      </c>
      <c r="E11" s="27" t="n">
        <v>0.062</v>
      </c>
      <c r="F11" s="27" t="n">
        <v>0.3</v>
      </c>
      <c r="G11" s="27" t="n">
        <v>0.7</v>
      </c>
      <c r="H11" s="4" t="inlineStr">
        <is>
          <t>Packaged</t>
        </is>
      </c>
    </row>
    <row r="12">
      <c r="A12" s="4" t="inlineStr">
        <is>
          <t>SKU-09</t>
        </is>
      </c>
      <c r="B12" s="4" t="inlineStr">
        <is>
          <t>Session</t>
        </is>
      </c>
      <c r="C12" s="4" t="inlineStr">
        <is>
          <t>Can 6-pack</t>
        </is>
      </c>
      <c r="D12" s="4" t="n">
        <v>375</v>
      </c>
      <c r="E12" s="27" t="n">
        <v>0.035</v>
      </c>
      <c r="F12" s="27" t="n">
        <v>0.1</v>
      </c>
      <c r="G12" s="27" t="n">
        <v>0.9</v>
      </c>
      <c r="H12" s="4" t="inlineStr">
        <is>
          <t>Packaged</t>
        </is>
      </c>
    </row>
    <row r="13">
      <c r="A13" s="4" t="inlineStr">
        <is>
          <t>SKU-10</t>
        </is>
      </c>
      <c r="B13" s="4" t="inlineStr">
        <is>
          <t>Premium Pilsner</t>
        </is>
      </c>
      <c r="C13" s="4" t="inlineStr">
        <is>
          <t>Bottle</t>
        </is>
      </c>
      <c r="D13" s="4" t="n">
        <v>330</v>
      </c>
      <c r="E13" s="27" t="n">
        <v>0.05</v>
      </c>
      <c r="F13" s="27" t="n">
        <v>0.4</v>
      </c>
      <c r="G13" s="27" t="n">
        <v>0.6</v>
      </c>
      <c r="H13" s="4" t="inlineStr">
        <is>
          <t>Packaged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5" customWidth="1" min="4" max="4"/>
  </cols>
  <sheetData>
    <row r="1">
      <c r="A1" s="2" t="inlineStr">
        <is>
          <t>MACRO &amp; TAX ASSUMPTIONS</t>
        </is>
      </c>
    </row>
    <row r="3">
      <c r="A3" s="10" t="inlineStr">
        <is>
          <t>SCENARIO ASSUMPTIONS</t>
        </is>
      </c>
    </row>
    <row r="4">
      <c r="A4" s="6" t="inlineStr">
        <is>
          <t>Driver</t>
        </is>
      </c>
      <c r="B4" s="6" t="inlineStr">
        <is>
          <t>Base</t>
        </is>
      </c>
      <c r="C4" s="6" t="inlineStr">
        <is>
          <t>Upside</t>
        </is>
      </c>
      <c r="D4" s="6" t="inlineStr">
        <is>
          <t>Downside</t>
        </is>
      </c>
    </row>
    <row r="5">
      <c r="A5" s="3" t="inlineStr">
        <is>
          <t>Materials Inflation % p.a.</t>
        </is>
      </c>
      <c r="B5" s="27" t="n">
        <v>0.03</v>
      </c>
      <c r="C5" s="27" t="n">
        <v>0.02</v>
      </c>
      <c r="D5" s="27" t="n">
        <v>0.05</v>
      </c>
    </row>
    <row r="6">
      <c r="A6" s="3" t="inlineStr">
        <is>
          <t>Packaging Inflation % p.a.</t>
        </is>
      </c>
      <c r="B6" s="27" t="n">
        <v>0.025</v>
      </c>
      <c r="C6" s="27" t="n">
        <v>0.02</v>
      </c>
      <c r="D6" s="27" t="n">
        <v>0.045</v>
      </c>
    </row>
    <row r="7">
      <c r="A7" s="3" t="inlineStr">
        <is>
          <t>Labour Inflation % p.a.</t>
        </is>
      </c>
      <c r="B7" s="27" t="n">
        <v>0.035</v>
      </c>
      <c r="C7" s="27" t="n">
        <v>0.03</v>
      </c>
      <c r="D7" s="27" t="n">
        <v>0.05</v>
      </c>
    </row>
    <row r="8">
      <c r="A8" s="3" t="inlineStr">
        <is>
          <t>CPI (Excise Indexation) % p.a.</t>
        </is>
      </c>
      <c r="B8" s="27" t="n">
        <v>0.025</v>
      </c>
      <c r="C8" s="27" t="n">
        <v>0.02</v>
      </c>
      <c r="D8" s="27" t="n">
        <v>0.035</v>
      </c>
    </row>
    <row r="9">
      <c r="A9" s="3" t="inlineStr">
        <is>
          <t>FX Rate AUD/NZD</t>
        </is>
      </c>
      <c r="B9" s="4" t="n">
        <v>1.08</v>
      </c>
      <c r="C9" s="4" t="n">
        <v>1.05</v>
      </c>
      <c r="D9" s="4" t="n">
        <v>1.12</v>
      </c>
    </row>
    <row r="10">
      <c r="A10" s="3" t="inlineStr">
        <is>
          <t>Excise Shock Year 5 (%)</t>
        </is>
      </c>
      <c r="B10" s="27" t="n">
        <v>0</v>
      </c>
      <c r="C10" s="27" t="n">
        <v>0</v>
      </c>
      <c r="D10" s="27" t="n">
        <v>0.1</v>
      </c>
    </row>
    <row r="12">
      <c r="A12" s="10" t="inlineStr">
        <is>
          <t>TAX &amp; EXCISE RATES</t>
        </is>
      </c>
    </row>
    <row r="13">
      <c r="A13" t="inlineStr">
        <is>
          <t>Corporate Tax Rate</t>
        </is>
      </c>
      <c r="B13" s="27" t="n">
        <v>0.3</v>
      </c>
    </row>
    <row r="14">
      <c r="A14" t="inlineStr">
        <is>
          <t>Excise Rate - AU Draught (AUD/L alcohol)</t>
        </is>
      </c>
      <c r="B14" s="11" t="n">
        <v>36.32</v>
      </c>
    </row>
    <row r="15">
      <c r="A15" t="inlineStr">
        <is>
          <t>Excise Rate - AU Packaged &gt;3.5% (AUD/L)</t>
        </is>
      </c>
      <c r="B15" s="11" t="n">
        <v>54.72</v>
      </c>
    </row>
    <row r="16">
      <c r="A16" t="inlineStr">
        <is>
          <t>Excise Rate - AU Packaged ≤3.5% (AUD/L)</t>
        </is>
      </c>
      <c r="B16" s="11" t="n">
        <v>36.32</v>
      </c>
    </row>
    <row r="17">
      <c r="A17" t="inlineStr">
        <is>
          <t>Excise Rate - NZ All Types (NZD/L alcohol)</t>
        </is>
      </c>
      <c r="B17" s="11" t="n">
        <v>30.23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15" customWidth="1" min="4" max="4"/>
  </cols>
  <sheetData>
    <row r="1">
      <c r="A1" s="2" t="inlineStr">
        <is>
          <t>COMMERCIAL ASSUMPTIONS</t>
        </is>
      </c>
    </row>
    <row r="3">
      <c r="A3" s="10" t="inlineStr">
        <is>
          <t>VOLUME GROWTH RATES (% p.a.)</t>
        </is>
      </c>
    </row>
    <row r="4">
      <c r="A4" s="6" t="inlineStr">
        <is>
          <t>Market</t>
        </is>
      </c>
      <c r="B4" s="6" t="inlineStr">
        <is>
          <t>Base</t>
        </is>
      </c>
      <c r="C4" s="6" t="inlineStr">
        <is>
          <t>Upside</t>
        </is>
      </c>
      <c r="D4" s="6" t="inlineStr">
        <is>
          <t>Downside</t>
        </is>
      </c>
    </row>
    <row r="5">
      <c r="A5" s="3" t="inlineStr">
        <is>
          <t>Australia</t>
        </is>
      </c>
      <c r="B5" s="27" t="n">
        <v>0.04</v>
      </c>
      <c r="C5" s="27" t="n">
        <v>0.065</v>
      </c>
      <c r="D5" s="27" t="n">
        <v>0.01</v>
      </c>
    </row>
    <row r="6">
      <c r="A6" s="3" t="inlineStr">
        <is>
          <t>New Zealand</t>
        </is>
      </c>
      <c r="B6" s="27" t="n">
        <v>0.03</v>
      </c>
      <c r="C6" s="27" t="n">
        <v>0.05</v>
      </c>
      <c r="D6" s="27" t="n">
        <v>0</v>
      </c>
    </row>
    <row r="7">
      <c r="A7" s="3" t="inlineStr">
        <is>
          <t>Exports</t>
        </is>
      </c>
      <c r="B7" s="27" t="n">
        <v>0.15</v>
      </c>
      <c r="C7" s="27" t="n">
        <v>0.2</v>
      </c>
      <c r="D7" s="27" t="n">
        <v>0.08</v>
      </c>
    </row>
    <row r="9">
      <c r="A9" s="10" t="inlineStr">
        <is>
          <t>PRICE ESCALATION RATES (% p.a.)</t>
        </is>
      </c>
    </row>
    <row r="10">
      <c r="A10" s="6" t="inlineStr">
        <is>
          <t>Channel</t>
        </is>
      </c>
      <c r="B10" s="6" t="inlineStr">
        <is>
          <t>Base</t>
        </is>
      </c>
      <c r="C10" s="6" t="inlineStr">
        <is>
          <t>Upside</t>
        </is>
      </c>
      <c r="D10" s="6" t="inlineStr">
        <is>
          <t>Downside</t>
        </is>
      </c>
    </row>
    <row r="11">
      <c r="A11" s="3" t="inlineStr">
        <is>
          <t>On-Trade</t>
        </is>
      </c>
      <c r="B11" s="27" t="n">
        <v>0.035</v>
      </c>
      <c r="C11" s="27" t="n">
        <v>0.05</v>
      </c>
      <c r="D11" s="27" t="n">
        <v>0.015</v>
      </c>
    </row>
    <row r="12">
      <c r="A12" s="3" t="inlineStr">
        <is>
          <t>Off-Trade</t>
        </is>
      </c>
      <c r="B12" s="27" t="n">
        <v>0.02</v>
      </c>
      <c r="C12" s="27" t="n">
        <v>0.035</v>
      </c>
      <c r="D12" s="27" t="n">
        <v>0.005</v>
      </c>
    </row>
    <row r="14">
      <c r="A14" s="10" t="inlineStr">
        <is>
          <t>A&amp;P SPEND (% of Net Revenue)</t>
        </is>
      </c>
    </row>
    <row r="15">
      <c r="A15" t="inlineStr">
        <is>
          <t>A&amp;P %</t>
        </is>
      </c>
      <c r="B15" s="27" t="n">
        <v>0.12</v>
      </c>
      <c r="C15" s="27" t="n">
        <v>0.14</v>
      </c>
      <c r="D15" s="27" t="n">
        <v>0.09</v>
      </c>
    </row>
    <row r="17">
      <c r="A17" s="10" t="inlineStr">
        <is>
          <t>SEASONALITY INDICES (Monthly)</t>
        </is>
      </c>
    </row>
    <row r="18">
      <c r="A18" s="6" t="inlineStr">
        <is>
          <t>Month</t>
        </is>
      </c>
      <c r="B18" s="6" t="inlineStr">
        <is>
          <t>Index</t>
        </is>
      </c>
    </row>
    <row r="19">
      <c r="A19" t="inlineStr">
        <is>
          <t>Jan</t>
        </is>
      </c>
      <c r="B19" s="12" t="n">
        <v>1.15</v>
      </c>
    </row>
    <row r="20">
      <c r="A20" t="inlineStr">
        <is>
          <t>Feb</t>
        </is>
      </c>
      <c r="B20" s="12" t="n">
        <v>1.1</v>
      </c>
    </row>
    <row r="21">
      <c r="A21" t="inlineStr">
        <is>
          <t>Mar</t>
        </is>
      </c>
      <c r="B21" s="12" t="n">
        <v>1.05</v>
      </c>
    </row>
    <row r="22">
      <c r="A22" t="inlineStr">
        <is>
          <t>Apr</t>
        </is>
      </c>
      <c r="B22" s="12" t="n">
        <v>0.95</v>
      </c>
    </row>
    <row r="23">
      <c r="A23" t="inlineStr">
        <is>
          <t>May</t>
        </is>
      </c>
      <c r="B23" s="12" t="n">
        <v>0.85</v>
      </c>
    </row>
    <row r="24">
      <c r="A24" t="inlineStr">
        <is>
          <t>Jun</t>
        </is>
      </c>
      <c r="B24" s="12" t="n">
        <v>0.8</v>
      </c>
    </row>
    <row r="25">
      <c r="A25" t="inlineStr">
        <is>
          <t>Jul</t>
        </is>
      </c>
      <c r="B25" s="12" t="n">
        <v>0.8</v>
      </c>
    </row>
    <row r="26">
      <c r="A26" t="inlineStr">
        <is>
          <t>Aug</t>
        </is>
      </c>
      <c r="B26" s="12" t="n">
        <v>0.85</v>
      </c>
    </row>
    <row r="27">
      <c r="A27" t="inlineStr">
        <is>
          <t>Sep</t>
        </is>
      </c>
      <c r="B27" s="12" t="n">
        <v>0.95</v>
      </c>
    </row>
    <row r="28">
      <c r="A28" t="inlineStr">
        <is>
          <t>Oct</t>
        </is>
      </c>
      <c r="B28" s="12" t="n">
        <v>1.05</v>
      </c>
    </row>
    <row r="29">
      <c r="A29" t="inlineStr">
        <is>
          <t>Nov</t>
        </is>
      </c>
      <c r="B29" s="12" t="n">
        <v>1.1</v>
      </c>
    </row>
    <row r="30">
      <c r="A30" t="inlineStr">
        <is>
          <t>Dec</t>
        </is>
      </c>
      <c r="B30" s="12" t="n">
        <v>1.35</v>
      </c>
    </row>
    <row r="31">
      <c r="A31" t="inlineStr">
        <is>
          <t>Average (must = 1.00)</t>
        </is>
      </c>
      <c r="B31" s="13">
        <f>AVERAGE(B19:B30)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</cols>
  <sheetData>
    <row r="1">
      <c r="A1" s="2" t="inlineStr">
        <is>
          <t>OPERATIONS &amp; COST ASSUMPTIONS</t>
        </is>
      </c>
    </row>
    <row r="3">
      <c r="A3" s="10" t="inlineStr">
        <is>
          <t>CAPACITY</t>
        </is>
      </c>
    </row>
    <row r="4">
      <c r="A4" t="inlineStr">
        <is>
          <t>Installed Brewing Capacity (HL p.a.)</t>
        </is>
      </c>
      <c r="B4" s="14" t="n">
        <v>1000000</v>
      </c>
    </row>
    <row r="5">
      <c r="A5" t="inlineStr">
        <is>
          <t>Bottle Line Capacity (HL p.a.)</t>
        </is>
      </c>
      <c r="B5" s="14" t="n">
        <v>400000</v>
      </c>
    </row>
    <row r="6">
      <c r="A6" t="inlineStr">
        <is>
          <t>Can Line Capacity (HL p.a.)</t>
        </is>
      </c>
      <c r="B6" s="14" t="n">
        <v>450000</v>
      </c>
    </row>
    <row r="7">
      <c r="A7" t="inlineStr">
        <is>
          <t>Keg Line Capacity (HL p.a.)</t>
        </is>
      </c>
      <c r="B7" s="14" t="n">
        <v>200000</v>
      </c>
    </row>
    <row r="8">
      <c r="A8" t="inlineStr">
        <is>
          <t>Overall Yield %</t>
        </is>
      </c>
      <c r="B8" s="27" t="n">
        <v>0.93</v>
      </c>
    </row>
    <row r="10">
      <c r="A10" s="10" t="inlineStr">
        <is>
          <t>COGS PER HL (Base Year, AUD)</t>
        </is>
      </c>
    </row>
    <row r="11">
      <c r="A11" t="inlineStr">
        <is>
          <t>Materials per HL (avg)</t>
        </is>
      </c>
      <c r="B11" s="11" t="n">
        <v>25</v>
      </c>
    </row>
    <row r="12">
      <c r="A12" t="inlineStr">
        <is>
          <t>Packaging per HL (avg)</t>
        </is>
      </c>
      <c r="B12" s="11" t="n">
        <v>60</v>
      </c>
    </row>
    <row r="13">
      <c r="A13" t="inlineStr">
        <is>
          <t>Direct Labour per HL</t>
        </is>
      </c>
      <c r="B13" s="11" t="n">
        <v>10</v>
      </c>
    </row>
    <row r="14">
      <c r="A14" t="inlineStr">
        <is>
          <t>Utilities per HL</t>
        </is>
      </c>
      <c r="B14" s="11" t="n">
        <v>6.5</v>
      </c>
    </row>
    <row r="15">
      <c r="A15" t="inlineStr">
        <is>
          <t>Variable Overhead per HL</t>
        </is>
      </c>
      <c r="B15" s="11" t="n">
        <v>7.5</v>
      </c>
    </row>
    <row r="16">
      <c r="A16" t="inlineStr">
        <is>
          <t>Fixed Overhead per month (AUD)</t>
        </is>
      </c>
      <c r="B16" s="11" t="n">
        <v>150000</v>
      </c>
    </row>
    <row r="18">
      <c r="A18" s="10" t="inlineStr">
        <is>
          <t>WORKING CAPITAL (Days)</t>
        </is>
      </c>
    </row>
    <row r="19">
      <c r="A19" t="inlineStr">
        <is>
          <t>Days - Raw Materials Inventory</t>
        </is>
      </c>
      <c r="B19" s="14" t="n">
        <v>35</v>
      </c>
    </row>
    <row r="20">
      <c r="A20" t="inlineStr">
        <is>
          <t>Days - WIP Inventory</t>
        </is>
      </c>
      <c r="B20" s="14" t="n">
        <v>16</v>
      </c>
    </row>
    <row r="21">
      <c r="A21" t="inlineStr">
        <is>
          <t>Days - Finished Goods Inventory</t>
        </is>
      </c>
      <c r="B21" s="14" t="n">
        <v>25</v>
      </c>
    </row>
    <row r="22">
      <c r="A22" t="inlineStr">
        <is>
          <t>Days - Trade Receivables</t>
        </is>
      </c>
      <c r="B22" s="14" t="n">
        <v>40</v>
      </c>
    </row>
    <row r="23">
      <c r="A23" t="inlineStr">
        <is>
          <t>Days - Trade Payables</t>
        </is>
      </c>
      <c r="B23" s="14" t="n">
        <v>55</v>
      </c>
    </row>
    <row r="24">
      <c r="A24" t="inlineStr">
        <is>
          <t>Keg Deposit per 50L keg (AUD)</t>
        </is>
      </c>
      <c r="B24" s="14" t="n">
        <v>80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</cols>
  <sheetData>
    <row r="1">
      <c r="A1" s="2" t="inlineStr">
        <is>
          <t>FINANCING ASSUMPTIONS</t>
        </is>
      </c>
    </row>
    <row r="3">
      <c r="A3" s="10" t="inlineStr">
        <is>
          <t>DEBT FACILITIES</t>
        </is>
      </c>
    </row>
    <row r="4">
      <c r="A4" t="inlineStr">
        <is>
          <t>Term Loan A - Opening Balance (AUD M)</t>
        </is>
      </c>
      <c r="B4" s="28" t="n">
        <v>15</v>
      </c>
    </row>
    <row r="5">
      <c r="A5" t="inlineStr">
        <is>
          <t>Term Loan A - Interest Rate p.a.</t>
        </is>
      </c>
      <c r="B5" s="16" t="n">
        <v>0.065</v>
      </c>
    </row>
    <row r="6">
      <c r="A6" t="inlineStr">
        <is>
          <t>Term Loan A - Maturity (years)</t>
        </is>
      </c>
      <c r="B6" s="28" t="n">
        <v>7</v>
      </c>
    </row>
    <row r="7">
      <c r="A7" t="inlineStr">
        <is>
          <t>Capex Facility - Limit (AUD M)</t>
        </is>
      </c>
      <c r="B7" s="28" t="n">
        <v>10</v>
      </c>
    </row>
    <row r="8">
      <c r="A8" t="inlineStr">
        <is>
          <t>Capex Facility - Interest Rate p.a.</t>
        </is>
      </c>
      <c r="B8" s="16" t="n">
        <v>0.0675</v>
      </c>
    </row>
    <row r="9">
      <c r="A9" t="inlineStr">
        <is>
          <t>Overdraft - Limit (AUD M)</t>
        </is>
      </c>
      <c r="B9" s="28" t="n">
        <v>2</v>
      </c>
    </row>
    <row r="10">
      <c r="A10" t="inlineStr">
        <is>
          <t>Overdraft - Interest Rate p.a.</t>
        </is>
      </c>
      <c r="B10" s="16" t="n">
        <v>0.075</v>
      </c>
    </row>
    <row r="12">
      <c r="A12" s="10" t="inlineStr">
        <is>
          <t>EQUITY</t>
        </is>
      </c>
    </row>
    <row r="13">
      <c r="A13" t="inlineStr">
        <is>
          <t>Opening Share Capital (AUD M)</t>
        </is>
      </c>
      <c r="B13" s="28" t="n">
        <v>25</v>
      </c>
    </row>
    <row r="14">
      <c r="A14" t="inlineStr">
        <is>
          <t>Planned Injection Year 3 (AUD M)</t>
        </is>
      </c>
      <c r="B14" s="28" t="n">
        <v>5</v>
      </c>
    </row>
    <row r="15">
      <c r="A15" t="inlineStr">
        <is>
          <t>Dividend Payout Ratio</t>
        </is>
      </c>
      <c r="B15" s="27" t="n">
        <v>0.4</v>
      </c>
    </row>
    <row r="16">
      <c r="A16" t="inlineStr">
        <is>
          <t>Minimum Cash Balance (AUD M)</t>
        </is>
      </c>
      <c r="B16" s="28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ASSUMPTIONS CAPEX</t>
        </is>
      </c>
    </row>
    <row r="3">
      <c r="A3" s="17" t="inlineStr">
        <is>
          <t>Sheet structure to be completed in Phase 2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U20"/>
  <sheetViews>
    <sheetView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8" customWidth="1" min="4" max="4"/>
    <col width="15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  <col width="10" customWidth="1" min="70" max="70"/>
    <col width="10" customWidth="1" min="71" max="71"/>
    <col width="10" customWidth="1" min="72" max="72"/>
    <col width="10" customWidth="1" min="73" max="73"/>
    <col width="10" customWidth="1" min="74" max="74"/>
    <col width="10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0" customWidth="1" min="83" max="83"/>
    <col width="10" customWidth="1" min="84" max="84"/>
    <col width="10" customWidth="1" min="85" max="85"/>
    <col width="10" customWidth="1" min="86" max="86"/>
    <col width="10" customWidth="1" min="87" max="87"/>
    <col width="10" customWidth="1" min="88" max="88"/>
    <col width="10" customWidth="1" min="89" max="89"/>
    <col width="10" customWidth="1" min="90" max="90"/>
    <col width="10" customWidth="1" min="91" max="91"/>
    <col width="10" customWidth="1" min="92" max="92"/>
    <col width="10" customWidth="1" min="93" max="93"/>
    <col width="10" customWidth="1" min="94" max="94"/>
    <col width="10" customWidth="1" min="95" max="95"/>
    <col width="10" customWidth="1" min="96" max="96"/>
    <col width="10" customWidth="1" min="97" max="97"/>
    <col width="10" customWidth="1" min="98" max="98"/>
    <col width="10" customWidth="1" min="99" max="99"/>
    <col width="10" customWidth="1" min="100" max="100"/>
    <col width="10" customWidth="1" min="101" max="101"/>
    <col width="10" customWidth="1" min="102" max="102"/>
    <col width="10" customWidth="1" min="103" max="103"/>
    <col width="10" customWidth="1" min="104" max="104"/>
    <col width="10" customWidth="1" min="105" max="105"/>
    <col width="10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0" customWidth="1" min="111" max="111"/>
    <col width="10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0" customWidth="1" min="117" max="117"/>
    <col width="10" customWidth="1" min="118" max="118"/>
    <col width="10" customWidth="1" min="119" max="119"/>
    <col width="10" customWidth="1" min="120" max="120"/>
    <col width="10" customWidth="1" min="121" max="121"/>
    <col width="10" customWidth="1" min="122" max="122"/>
    <col width="10" customWidth="1" min="123" max="123"/>
    <col width="10" customWidth="1" min="124" max="124"/>
    <col width="10" customWidth="1" min="125" max="125"/>
  </cols>
  <sheetData>
    <row r="1">
      <c r="A1" s="2" t="inlineStr">
        <is>
          <t>VOLUME BUILD-UP (Hectolitres)</t>
        </is>
      </c>
    </row>
    <row r="3">
      <c r="A3" s="6" t="inlineStr">
        <is>
          <t>SKU</t>
        </is>
      </c>
      <c r="B3" s="6" t="inlineStr">
        <is>
          <t>Channel</t>
        </is>
      </c>
      <c r="C3" s="6" t="inlineStr">
        <is>
          <t>Market</t>
        </is>
      </c>
      <c r="D3" s="6" t="inlineStr">
        <is>
          <t>Base Annual HL (Y1)</t>
        </is>
      </c>
      <c r="E3" s="6" t="inlineStr">
        <is>
          <t>Growth % p.a.</t>
        </is>
      </c>
      <c r="F3" s="29">
        <f>TIMELINE!B7</f>
        <v/>
      </c>
      <c r="G3" s="29">
        <f>TIMELINE!C7</f>
        <v/>
      </c>
      <c r="H3" s="29">
        <f>TIMELINE!D7</f>
        <v/>
      </c>
      <c r="I3" s="29">
        <f>TIMELINE!E7</f>
        <v/>
      </c>
      <c r="J3" s="29">
        <f>TIMELINE!F7</f>
        <v/>
      </c>
      <c r="K3" s="29">
        <f>TIMELINE!G7</f>
        <v/>
      </c>
      <c r="L3" s="29">
        <f>TIMELINE!H7</f>
        <v/>
      </c>
      <c r="M3" s="29">
        <f>TIMELINE!I7</f>
        <v/>
      </c>
      <c r="N3" s="29">
        <f>TIMELINE!J7</f>
        <v/>
      </c>
      <c r="O3" s="29">
        <f>TIMELINE!K7</f>
        <v/>
      </c>
      <c r="P3" s="29">
        <f>TIMELINE!L7</f>
        <v/>
      </c>
      <c r="Q3" s="29">
        <f>TIMELINE!M7</f>
        <v/>
      </c>
      <c r="R3" s="29">
        <f>TIMELINE!N7</f>
        <v/>
      </c>
      <c r="S3" s="29">
        <f>TIMELINE!O7</f>
        <v/>
      </c>
      <c r="T3" s="29">
        <f>TIMELINE!P7</f>
        <v/>
      </c>
      <c r="U3" s="29">
        <f>TIMELINE!Q7</f>
        <v/>
      </c>
      <c r="V3" s="29">
        <f>TIMELINE!R7</f>
        <v/>
      </c>
      <c r="W3" s="29">
        <f>TIMELINE!S7</f>
        <v/>
      </c>
      <c r="X3" s="29">
        <f>TIMELINE!T7</f>
        <v/>
      </c>
      <c r="Y3" s="29">
        <f>TIMELINE!U7</f>
        <v/>
      </c>
      <c r="Z3" s="29">
        <f>TIMELINE!V7</f>
        <v/>
      </c>
      <c r="AA3" s="29">
        <f>TIMELINE!W7</f>
        <v/>
      </c>
      <c r="AB3" s="29">
        <f>TIMELINE!X7</f>
        <v/>
      </c>
      <c r="AC3" s="29">
        <f>TIMELINE!Y7</f>
        <v/>
      </c>
      <c r="AD3" s="29">
        <f>TIMELINE!Z7</f>
        <v/>
      </c>
      <c r="AE3" s="29">
        <f>TIMELINE!AA7</f>
        <v/>
      </c>
      <c r="AF3" s="29">
        <f>TIMELINE!AB7</f>
        <v/>
      </c>
      <c r="AG3" s="29">
        <f>TIMELINE!AC7</f>
        <v/>
      </c>
      <c r="AH3" s="29">
        <f>TIMELINE!AD7</f>
        <v/>
      </c>
      <c r="AI3" s="29">
        <f>TIMELINE!AE7</f>
        <v/>
      </c>
      <c r="AJ3" s="29">
        <f>TIMELINE!AF7</f>
        <v/>
      </c>
      <c r="AK3" s="29">
        <f>TIMELINE!AG7</f>
        <v/>
      </c>
      <c r="AL3" s="29">
        <f>TIMELINE!AH7</f>
        <v/>
      </c>
      <c r="AM3" s="29">
        <f>TIMELINE!AI7</f>
        <v/>
      </c>
      <c r="AN3" s="29">
        <f>TIMELINE!AJ7</f>
        <v/>
      </c>
      <c r="AO3" s="29">
        <f>TIMELINE!AK7</f>
        <v/>
      </c>
      <c r="AP3" s="29">
        <f>TIMELINE!AL7</f>
        <v/>
      </c>
      <c r="AQ3" s="29">
        <f>TIMELINE!AM7</f>
        <v/>
      </c>
      <c r="AR3" s="29">
        <f>TIMELINE!AN7</f>
        <v/>
      </c>
      <c r="AS3" s="29">
        <f>TIMELINE!AO7</f>
        <v/>
      </c>
      <c r="AT3" s="29">
        <f>TIMELINE!AP7</f>
        <v/>
      </c>
      <c r="AU3" s="29">
        <f>TIMELINE!AQ7</f>
        <v/>
      </c>
      <c r="AV3" s="29">
        <f>TIMELINE!AR7</f>
        <v/>
      </c>
      <c r="AW3" s="29">
        <f>TIMELINE!AS7</f>
        <v/>
      </c>
      <c r="AX3" s="29">
        <f>TIMELINE!AT7</f>
        <v/>
      </c>
      <c r="AY3" s="29">
        <f>TIMELINE!AU7</f>
        <v/>
      </c>
      <c r="AZ3" s="29">
        <f>TIMELINE!AV7</f>
        <v/>
      </c>
      <c r="BA3" s="29">
        <f>TIMELINE!AW7</f>
        <v/>
      </c>
      <c r="BB3" s="29">
        <f>TIMELINE!AX7</f>
        <v/>
      </c>
      <c r="BC3" s="29">
        <f>TIMELINE!AY7</f>
        <v/>
      </c>
      <c r="BD3" s="29">
        <f>TIMELINE!AZ7</f>
        <v/>
      </c>
      <c r="BE3" s="29">
        <f>TIMELINE!BA7</f>
        <v/>
      </c>
      <c r="BF3" s="29">
        <f>TIMELINE!BB7</f>
        <v/>
      </c>
      <c r="BG3" s="29">
        <f>TIMELINE!BC7</f>
        <v/>
      </c>
      <c r="BH3" s="29">
        <f>TIMELINE!BD7</f>
        <v/>
      </c>
      <c r="BI3" s="29">
        <f>TIMELINE!BE7</f>
        <v/>
      </c>
      <c r="BJ3" s="29">
        <f>TIMELINE!BF7</f>
        <v/>
      </c>
      <c r="BK3" s="29">
        <f>TIMELINE!BG7</f>
        <v/>
      </c>
      <c r="BL3" s="29">
        <f>TIMELINE!BH7</f>
        <v/>
      </c>
      <c r="BM3" s="29">
        <f>TIMELINE!BI7</f>
        <v/>
      </c>
      <c r="BN3" s="29">
        <f>TIMELINE!BJ7</f>
        <v/>
      </c>
      <c r="BO3" s="29">
        <f>TIMELINE!BK7</f>
        <v/>
      </c>
      <c r="BP3" s="29">
        <f>TIMELINE!BL7</f>
        <v/>
      </c>
      <c r="BQ3" s="29">
        <f>TIMELINE!BM7</f>
        <v/>
      </c>
      <c r="BR3" s="29">
        <f>TIMELINE!BN7</f>
        <v/>
      </c>
      <c r="BS3" s="29">
        <f>TIMELINE!BO7</f>
        <v/>
      </c>
      <c r="BT3" s="29">
        <f>TIMELINE!BP7</f>
        <v/>
      </c>
      <c r="BU3" s="29">
        <f>TIMELINE!BQ7</f>
        <v/>
      </c>
      <c r="BV3" s="29">
        <f>TIMELINE!BR7</f>
        <v/>
      </c>
      <c r="BW3" s="29">
        <f>TIMELINE!BS7</f>
        <v/>
      </c>
      <c r="BX3" s="29">
        <f>TIMELINE!BT7</f>
        <v/>
      </c>
      <c r="BY3" s="29">
        <f>TIMELINE!BU7</f>
        <v/>
      </c>
      <c r="BZ3" s="29">
        <f>TIMELINE!BV7</f>
        <v/>
      </c>
      <c r="CA3" s="29">
        <f>TIMELINE!BW7</f>
        <v/>
      </c>
      <c r="CB3" s="29">
        <f>TIMELINE!BX7</f>
        <v/>
      </c>
      <c r="CC3" s="29">
        <f>TIMELINE!BY7</f>
        <v/>
      </c>
      <c r="CD3" s="29">
        <f>TIMELINE!BZ7</f>
        <v/>
      </c>
      <c r="CE3" s="29">
        <f>TIMELINE!CA7</f>
        <v/>
      </c>
      <c r="CF3" s="29">
        <f>TIMELINE!CB7</f>
        <v/>
      </c>
      <c r="CG3" s="29">
        <f>TIMELINE!CC7</f>
        <v/>
      </c>
      <c r="CH3" s="29">
        <f>TIMELINE!CD7</f>
        <v/>
      </c>
      <c r="CI3" s="29">
        <f>TIMELINE!CE7</f>
        <v/>
      </c>
      <c r="CJ3" s="29">
        <f>TIMELINE!CF7</f>
        <v/>
      </c>
      <c r="CK3" s="29">
        <f>TIMELINE!CG7</f>
        <v/>
      </c>
      <c r="CL3" s="29">
        <f>TIMELINE!CH7</f>
        <v/>
      </c>
      <c r="CM3" s="29">
        <f>TIMELINE!CI7</f>
        <v/>
      </c>
      <c r="CN3" s="29">
        <f>TIMELINE!CJ7</f>
        <v/>
      </c>
      <c r="CO3" s="29">
        <f>TIMELINE!CK7</f>
        <v/>
      </c>
      <c r="CP3" s="29">
        <f>TIMELINE!CL7</f>
        <v/>
      </c>
      <c r="CQ3" s="29">
        <f>TIMELINE!CM7</f>
        <v/>
      </c>
      <c r="CR3" s="29">
        <f>TIMELINE!CN7</f>
        <v/>
      </c>
      <c r="CS3" s="29">
        <f>TIMELINE!CO7</f>
        <v/>
      </c>
      <c r="CT3" s="29">
        <f>TIMELINE!CP7</f>
        <v/>
      </c>
      <c r="CU3" s="29">
        <f>TIMELINE!CQ7</f>
        <v/>
      </c>
      <c r="CV3" s="29">
        <f>TIMELINE!CR7</f>
        <v/>
      </c>
      <c r="CW3" s="29">
        <f>TIMELINE!CS7</f>
        <v/>
      </c>
      <c r="CX3" s="29">
        <f>TIMELINE!CT7</f>
        <v/>
      </c>
      <c r="CY3" s="29">
        <f>TIMELINE!CU7</f>
        <v/>
      </c>
      <c r="CZ3" s="29">
        <f>TIMELINE!CV7</f>
        <v/>
      </c>
      <c r="DA3" s="29">
        <f>TIMELINE!CW7</f>
        <v/>
      </c>
      <c r="DB3" s="29">
        <f>TIMELINE!CX7</f>
        <v/>
      </c>
      <c r="DC3" s="29">
        <f>TIMELINE!CY7</f>
        <v/>
      </c>
      <c r="DD3" s="29">
        <f>TIMELINE!CZ7</f>
        <v/>
      </c>
      <c r="DE3" s="29">
        <f>TIMELINE!DA7</f>
        <v/>
      </c>
      <c r="DF3" s="29">
        <f>TIMELINE!DB7</f>
        <v/>
      </c>
      <c r="DG3" s="29">
        <f>TIMELINE!DC7</f>
        <v/>
      </c>
      <c r="DH3" s="29">
        <f>TIMELINE!DD7</f>
        <v/>
      </c>
      <c r="DI3" s="29">
        <f>TIMELINE!DE7</f>
        <v/>
      </c>
      <c r="DJ3" s="29">
        <f>TIMELINE!DF7</f>
        <v/>
      </c>
      <c r="DK3" s="29">
        <f>TIMELINE!DG7</f>
        <v/>
      </c>
      <c r="DL3" s="29">
        <f>TIMELINE!DH7</f>
        <v/>
      </c>
      <c r="DM3" s="29">
        <f>TIMELINE!DI7</f>
        <v/>
      </c>
      <c r="DN3" s="29">
        <f>TIMELINE!DJ7</f>
        <v/>
      </c>
      <c r="DO3" s="29">
        <f>TIMELINE!DK7</f>
        <v/>
      </c>
      <c r="DP3" s="29">
        <f>TIMELINE!DL7</f>
        <v/>
      </c>
      <c r="DQ3" s="29">
        <f>TIMELINE!DM7</f>
        <v/>
      </c>
      <c r="DR3" s="29">
        <f>TIMELINE!DN7</f>
        <v/>
      </c>
      <c r="DS3" s="29">
        <f>TIMELINE!DO7</f>
        <v/>
      </c>
      <c r="DT3" s="29">
        <f>TIMELINE!DP7</f>
        <v/>
      </c>
      <c r="DU3" s="29">
        <f>TIMELINE!DQ7</f>
        <v/>
      </c>
    </row>
    <row r="4">
      <c r="A4" t="inlineStr">
        <is>
          <t>SKU-01</t>
        </is>
      </c>
      <c r="B4" t="inlineStr">
        <is>
          <t>On-Trade</t>
        </is>
      </c>
      <c r="C4" t="inlineStr">
        <is>
          <t>AU</t>
        </is>
      </c>
      <c r="D4" s="14" t="n">
        <v>35000</v>
      </c>
      <c r="E4" s="30">
        <f>INDEX(Assumptions_Commercial!$B$5:$D$5,CONTROL!$B$5)</f>
        <v/>
      </c>
      <c r="F4" s="31">
        <f>$D4        *(1+$E4)^((YEAR(TIMELINE!B7)-2025)+(MONTH(TIMELINE!B7)-1)/12)        /12        *INDEX(Assumptions_Commercial!$B$22:$B$33,MONTH(TIMELINE!B7))</f>
        <v/>
      </c>
      <c r="G4" s="31">
        <f>$D4        *(1+$E4)^((YEAR(TIMELINE!C7)-2025)+(MONTH(TIMELINE!C7)-1)/12)        /12        *INDEX(Assumptions_Commercial!$B$22:$B$33,MONTH(TIMELINE!C7))</f>
        <v/>
      </c>
      <c r="H4" s="31">
        <f>$D4        *(1+$E4)^((YEAR(TIMELINE!D7)-2025)+(MONTH(TIMELINE!D7)-1)/12)        /12        *INDEX(Assumptions_Commercial!$B$22:$B$33,MONTH(TIMELINE!D7))</f>
        <v/>
      </c>
      <c r="I4" s="31">
        <f>$D4        *(1+$E4)^((YEAR(TIMELINE!E7)-2025)+(MONTH(TIMELINE!E7)-1)/12)        /12        *INDEX(Assumptions_Commercial!$B$22:$B$33,MONTH(TIMELINE!E7))</f>
        <v/>
      </c>
      <c r="J4" s="31">
        <f>$D4        *(1+$E4)^((YEAR(TIMELINE!F7)-2025)+(MONTH(TIMELINE!F7)-1)/12)        /12        *INDEX(Assumptions_Commercial!$B$22:$B$33,MONTH(TIMELINE!F7))</f>
        <v/>
      </c>
      <c r="K4" s="31">
        <f>$D4        *(1+$E4)^((YEAR(TIMELINE!G7)-2025)+(MONTH(TIMELINE!G7)-1)/12)        /12        *INDEX(Assumptions_Commercial!$B$22:$B$33,MONTH(TIMELINE!G7))</f>
        <v/>
      </c>
      <c r="L4" s="31">
        <f>$D4        *(1+$E4)^((YEAR(TIMELINE!H7)-2025)+(MONTH(TIMELINE!H7)-1)/12)        /12        *INDEX(Assumptions_Commercial!$B$22:$B$33,MONTH(TIMELINE!H7))</f>
        <v/>
      </c>
      <c r="M4" s="31">
        <f>$D4        *(1+$E4)^((YEAR(TIMELINE!I7)-2025)+(MONTH(TIMELINE!I7)-1)/12)        /12        *INDEX(Assumptions_Commercial!$B$22:$B$33,MONTH(TIMELINE!I7))</f>
        <v/>
      </c>
      <c r="N4" s="31">
        <f>$D4        *(1+$E4)^((YEAR(TIMELINE!J7)-2025)+(MONTH(TIMELINE!J7)-1)/12)        /12        *INDEX(Assumptions_Commercial!$B$22:$B$33,MONTH(TIMELINE!J7))</f>
        <v/>
      </c>
      <c r="O4" s="31">
        <f>$D4        *(1+$E4)^((YEAR(TIMELINE!K7)-2025)+(MONTH(TIMELINE!K7)-1)/12)        /12        *INDEX(Assumptions_Commercial!$B$22:$B$33,MONTH(TIMELINE!K7))</f>
        <v/>
      </c>
      <c r="P4" s="31">
        <f>$D4        *(1+$E4)^((YEAR(TIMELINE!L7)-2025)+(MONTH(TIMELINE!L7)-1)/12)        /12        *INDEX(Assumptions_Commercial!$B$22:$B$33,MONTH(TIMELINE!L7))</f>
        <v/>
      </c>
      <c r="Q4" s="31">
        <f>$D4        *(1+$E4)^((YEAR(TIMELINE!M7)-2025)+(MONTH(TIMELINE!M7)-1)/12)        /12        *INDEX(Assumptions_Commercial!$B$22:$B$33,MONTH(TIMELINE!M7))</f>
        <v/>
      </c>
      <c r="R4" s="31">
        <f>$D4        *(1+$E4)^((YEAR(TIMELINE!N7)-2025)+(MONTH(TIMELINE!N7)-1)/12)        /12        *INDEX(Assumptions_Commercial!$B$22:$B$33,MONTH(TIMELINE!N7))</f>
        <v/>
      </c>
      <c r="S4" s="31">
        <f>$D4        *(1+$E4)^((YEAR(TIMELINE!O7)-2025)+(MONTH(TIMELINE!O7)-1)/12)        /12        *INDEX(Assumptions_Commercial!$B$22:$B$33,MONTH(TIMELINE!O7))</f>
        <v/>
      </c>
      <c r="T4" s="31">
        <f>$D4        *(1+$E4)^((YEAR(TIMELINE!P7)-2025)+(MONTH(TIMELINE!P7)-1)/12)        /12        *INDEX(Assumptions_Commercial!$B$22:$B$33,MONTH(TIMELINE!P7))</f>
        <v/>
      </c>
      <c r="U4" s="31">
        <f>$D4        *(1+$E4)^((YEAR(TIMELINE!Q7)-2025)+(MONTH(TIMELINE!Q7)-1)/12)        /12        *INDEX(Assumptions_Commercial!$B$22:$B$33,MONTH(TIMELINE!Q7))</f>
        <v/>
      </c>
      <c r="V4" s="31">
        <f>$D4        *(1+$E4)^((YEAR(TIMELINE!R7)-2025)+(MONTH(TIMELINE!R7)-1)/12)        /12        *INDEX(Assumptions_Commercial!$B$22:$B$33,MONTH(TIMELINE!R7))</f>
        <v/>
      </c>
      <c r="W4" s="31">
        <f>$D4        *(1+$E4)^((YEAR(TIMELINE!S7)-2025)+(MONTH(TIMELINE!S7)-1)/12)        /12        *INDEX(Assumptions_Commercial!$B$22:$B$33,MONTH(TIMELINE!S7))</f>
        <v/>
      </c>
      <c r="X4" s="31">
        <f>$D4        *(1+$E4)^((YEAR(TIMELINE!T7)-2025)+(MONTH(TIMELINE!T7)-1)/12)        /12        *INDEX(Assumptions_Commercial!$B$22:$B$33,MONTH(TIMELINE!T7))</f>
        <v/>
      </c>
      <c r="Y4" s="31">
        <f>$D4        *(1+$E4)^((YEAR(TIMELINE!U7)-2025)+(MONTH(TIMELINE!U7)-1)/12)        /12        *INDEX(Assumptions_Commercial!$B$22:$B$33,MONTH(TIMELINE!U7))</f>
        <v/>
      </c>
      <c r="Z4" s="31">
        <f>$D4        *(1+$E4)^((YEAR(TIMELINE!V7)-2025)+(MONTH(TIMELINE!V7)-1)/12)        /12        *INDEX(Assumptions_Commercial!$B$22:$B$33,MONTH(TIMELINE!V7))</f>
        <v/>
      </c>
      <c r="AA4" s="31">
        <f>$D4        *(1+$E4)^((YEAR(TIMELINE!W7)-2025)+(MONTH(TIMELINE!W7)-1)/12)        /12        *INDEX(Assumptions_Commercial!$B$22:$B$33,MONTH(TIMELINE!W7))</f>
        <v/>
      </c>
      <c r="AB4" s="31">
        <f>$D4        *(1+$E4)^((YEAR(TIMELINE!X7)-2025)+(MONTH(TIMELINE!X7)-1)/12)        /12        *INDEX(Assumptions_Commercial!$B$22:$B$33,MONTH(TIMELINE!X7))</f>
        <v/>
      </c>
      <c r="AC4" s="31">
        <f>$D4        *(1+$E4)^((YEAR(TIMELINE!Y7)-2025)+(MONTH(TIMELINE!Y7)-1)/12)        /12        *INDEX(Assumptions_Commercial!$B$22:$B$33,MONTH(TIMELINE!Y7))</f>
        <v/>
      </c>
      <c r="AD4" s="31">
        <f>$D4        *(1+$E4)^((YEAR(TIMELINE!Z7)-2025)+(MONTH(TIMELINE!Z7)-1)/12)        /12        *INDEX(Assumptions_Commercial!$B$22:$B$33,MONTH(TIMELINE!Z7))</f>
        <v/>
      </c>
      <c r="AE4" s="31">
        <f>$D4        *(1+$E4)^((YEAR(TIMELINE!AA7)-2025)+(MONTH(TIMELINE!AA7)-1)/12)        /12        *INDEX(Assumptions_Commercial!$B$22:$B$33,MONTH(TIMELINE!AA7))</f>
        <v/>
      </c>
      <c r="AF4" s="31">
        <f>$D4        *(1+$E4)^((YEAR(TIMELINE!AB7)-2025)+(MONTH(TIMELINE!AB7)-1)/12)        /12        *INDEX(Assumptions_Commercial!$B$22:$B$33,MONTH(TIMELINE!AB7))</f>
        <v/>
      </c>
      <c r="AG4" s="31">
        <f>$D4        *(1+$E4)^((YEAR(TIMELINE!AC7)-2025)+(MONTH(TIMELINE!AC7)-1)/12)        /12        *INDEX(Assumptions_Commercial!$B$22:$B$33,MONTH(TIMELINE!AC7))</f>
        <v/>
      </c>
      <c r="AH4" s="31">
        <f>$D4        *(1+$E4)^((YEAR(TIMELINE!AD7)-2025)+(MONTH(TIMELINE!AD7)-1)/12)        /12        *INDEX(Assumptions_Commercial!$B$22:$B$33,MONTH(TIMELINE!AD7))</f>
        <v/>
      </c>
      <c r="AI4" s="31">
        <f>$D4        *(1+$E4)^((YEAR(TIMELINE!AE7)-2025)+(MONTH(TIMELINE!AE7)-1)/12)        /12        *INDEX(Assumptions_Commercial!$B$22:$B$33,MONTH(TIMELINE!AE7))</f>
        <v/>
      </c>
      <c r="AJ4" s="31">
        <f>$D4        *(1+$E4)^((YEAR(TIMELINE!AF7)-2025)+(MONTH(TIMELINE!AF7)-1)/12)        /12        *INDEX(Assumptions_Commercial!$B$22:$B$33,MONTH(TIMELINE!AF7))</f>
        <v/>
      </c>
      <c r="AK4" s="31">
        <f>$D4        *(1+$E4)^((YEAR(TIMELINE!AG7)-2025)+(MONTH(TIMELINE!AG7)-1)/12)        /12        *INDEX(Assumptions_Commercial!$B$22:$B$33,MONTH(TIMELINE!AG7))</f>
        <v/>
      </c>
      <c r="AL4" s="31">
        <f>$D4        *(1+$E4)^((YEAR(TIMELINE!AH7)-2025)+(MONTH(TIMELINE!AH7)-1)/12)        /12        *INDEX(Assumptions_Commercial!$B$22:$B$33,MONTH(TIMELINE!AH7))</f>
        <v/>
      </c>
      <c r="AM4" s="31">
        <f>$D4        *(1+$E4)^((YEAR(TIMELINE!AI7)-2025)+(MONTH(TIMELINE!AI7)-1)/12)        /12        *INDEX(Assumptions_Commercial!$B$22:$B$33,MONTH(TIMELINE!AI7))</f>
        <v/>
      </c>
      <c r="AN4" s="31">
        <f>$D4        *(1+$E4)^((YEAR(TIMELINE!AJ7)-2025)+(MONTH(TIMELINE!AJ7)-1)/12)        /12        *INDEX(Assumptions_Commercial!$B$22:$B$33,MONTH(TIMELINE!AJ7))</f>
        <v/>
      </c>
      <c r="AO4" s="31">
        <f>$D4        *(1+$E4)^((YEAR(TIMELINE!AK7)-2025)+(MONTH(TIMELINE!AK7)-1)/12)        /12        *INDEX(Assumptions_Commercial!$B$22:$B$33,MONTH(TIMELINE!AK7))</f>
        <v/>
      </c>
      <c r="AP4" s="31">
        <f>$D4        *(1+$E4)^((YEAR(TIMELINE!AL7)-2025)+(MONTH(TIMELINE!AL7)-1)/12)        /12        *INDEX(Assumptions_Commercial!$B$22:$B$33,MONTH(TIMELINE!AL7))</f>
        <v/>
      </c>
      <c r="AQ4" s="31">
        <f>$D4        *(1+$E4)^((YEAR(TIMELINE!AM7)-2025)+(MONTH(TIMELINE!AM7)-1)/12)        /12        *INDEX(Assumptions_Commercial!$B$22:$B$33,MONTH(TIMELINE!AM7))</f>
        <v/>
      </c>
      <c r="AR4" s="31">
        <f>$D4        *(1+$E4)^((YEAR(TIMELINE!AN7)-2025)+(MONTH(TIMELINE!AN7)-1)/12)        /12        *INDEX(Assumptions_Commercial!$B$22:$B$33,MONTH(TIMELINE!AN7))</f>
        <v/>
      </c>
      <c r="AS4" s="31">
        <f>$D4        *(1+$E4)^((YEAR(TIMELINE!AO7)-2025)+(MONTH(TIMELINE!AO7)-1)/12)        /12        *INDEX(Assumptions_Commercial!$B$22:$B$33,MONTH(TIMELINE!AO7))</f>
        <v/>
      </c>
      <c r="AT4" s="31">
        <f>$D4        *(1+$E4)^((YEAR(TIMELINE!AP7)-2025)+(MONTH(TIMELINE!AP7)-1)/12)        /12        *INDEX(Assumptions_Commercial!$B$22:$B$33,MONTH(TIMELINE!AP7))</f>
        <v/>
      </c>
      <c r="AU4" s="31">
        <f>$D4        *(1+$E4)^((YEAR(TIMELINE!AQ7)-2025)+(MONTH(TIMELINE!AQ7)-1)/12)        /12        *INDEX(Assumptions_Commercial!$B$22:$B$33,MONTH(TIMELINE!AQ7))</f>
        <v/>
      </c>
      <c r="AV4" s="31">
        <f>$D4        *(1+$E4)^((YEAR(TIMELINE!AR7)-2025)+(MONTH(TIMELINE!AR7)-1)/12)        /12        *INDEX(Assumptions_Commercial!$B$22:$B$33,MONTH(TIMELINE!AR7))</f>
        <v/>
      </c>
      <c r="AW4" s="31">
        <f>$D4        *(1+$E4)^((YEAR(TIMELINE!AS7)-2025)+(MONTH(TIMELINE!AS7)-1)/12)        /12        *INDEX(Assumptions_Commercial!$B$22:$B$33,MONTH(TIMELINE!AS7))</f>
        <v/>
      </c>
      <c r="AX4" s="31">
        <f>$D4        *(1+$E4)^((YEAR(TIMELINE!AT7)-2025)+(MONTH(TIMELINE!AT7)-1)/12)        /12        *INDEX(Assumptions_Commercial!$B$22:$B$33,MONTH(TIMELINE!AT7))</f>
        <v/>
      </c>
      <c r="AY4" s="31">
        <f>$D4        *(1+$E4)^((YEAR(TIMELINE!AU7)-2025)+(MONTH(TIMELINE!AU7)-1)/12)        /12        *INDEX(Assumptions_Commercial!$B$22:$B$33,MONTH(TIMELINE!AU7))</f>
        <v/>
      </c>
      <c r="AZ4" s="31">
        <f>$D4        *(1+$E4)^((YEAR(TIMELINE!AV7)-2025)+(MONTH(TIMELINE!AV7)-1)/12)        /12        *INDEX(Assumptions_Commercial!$B$22:$B$33,MONTH(TIMELINE!AV7))</f>
        <v/>
      </c>
      <c r="BA4" s="31">
        <f>$D4        *(1+$E4)^((YEAR(TIMELINE!AW7)-2025)+(MONTH(TIMELINE!AW7)-1)/12)        /12        *INDEX(Assumptions_Commercial!$B$22:$B$33,MONTH(TIMELINE!AW7))</f>
        <v/>
      </c>
      <c r="BB4" s="31">
        <f>$D4        *(1+$E4)^((YEAR(TIMELINE!AX7)-2025)+(MONTH(TIMELINE!AX7)-1)/12)        /12        *INDEX(Assumptions_Commercial!$B$22:$B$33,MONTH(TIMELINE!AX7))</f>
        <v/>
      </c>
      <c r="BC4" s="31">
        <f>$D4        *(1+$E4)^((YEAR(TIMELINE!AY7)-2025)+(MONTH(TIMELINE!AY7)-1)/12)        /12        *INDEX(Assumptions_Commercial!$B$22:$B$33,MONTH(TIMELINE!AY7))</f>
        <v/>
      </c>
      <c r="BD4" s="31">
        <f>$D4        *(1+$E4)^((YEAR(TIMELINE!AZ7)-2025)+(MONTH(TIMELINE!AZ7)-1)/12)        /12        *INDEX(Assumptions_Commercial!$B$22:$B$33,MONTH(TIMELINE!AZ7))</f>
        <v/>
      </c>
      <c r="BE4" s="31">
        <f>$D4        *(1+$E4)^((YEAR(TIMELINE!BA7)-2025)+(MONTH(TIMELINE!BA7)-1)/12)        /12        *INDEX(Assumptions_Commercial!$B$22:$B$33,MONTH(TIMELINE!BA7))</f>
        <v/>
      </c>
      <c r="BF4" s="31">
        <f>$D4        *(1+$E4)^((YEAR(TIMELINE!BB7)-2025)+(MONTH(TIMELINE!BB7)-1)/12)        /12        *INDEX(Assumptions_Commercial!$B$22:$B$33,MONTH(TIMELINE!BB7))</f>
        <v/>
      </c>
      <c r="BG4" s="31">
        <f>$D4        *(1+$E4)^((YEAR(TIMELINE!BC7)-2025)+(MONTH(TIMELINE!BC7)-1)/12)        /12        *INDEX(Assumptions_Commercial!$B$22:$B$33,MONTH(TIMELINE!BC7))</f>
        <v/>
      </c>
      <c r="BH4" s="31">
        <f>$D4        *(1+$E4)^((YEAR(TIMELINE!BD7)-2025)+(MONTH(TIMELINE!BD7)-1)/12)        /12        *INDEX(Assumptions_Commercial!$B$22:$B$33,MONTH(TIMELINE!BD7))</f>
        <v/>
      </c>
      <c r="BI4" s="31">
        <f>$D4        *(1+$E4)^((YEAR(TIMELINE!BE7)-2025)+(MONTH(TIMELINE!BE7)-1)/12)        /12        *INDEX(Assumptions_Commercial!$B$22:$B$33,MONTH(TIMELINE!BE7))</f>
        <v/>
      </c>
      <c r="BJ4" s="31">
        <f>$D4        *(1+$E4)^((YEAR(TIMELINE!BF7)-2025)+(MONTH(TIMELINE!BF7)-1)/12)        /12        *INDEX(Assumptions_Commercial!$B$22:$B$33,MONTH(TIMELINE!BF7))</f>
        <v/>
      </c>
      <c r="BK4" s="31">
        <f>$D4        *(1+$E4)^((YEAR(TIMELINE!BG7)-2025)+(MONTH(TIMELINE!BG7)-1)/12)        /12        *INDEX(Assumptions_Commercial!$B$22:$B$33,MONTH(TIMELINE!BG7))</f>
        <v/>
      </c>
      <c r="BL4" s="31">
        <f>$D4        *(1+$E4)^((YEAR(TIMELINE!BH7)-2025)+(MONTH(TIMELINE!BH7)-1)/12)        /12        *INDEX(Assumptions_Commercial!$B$22:$B$33,MONTH(TIMELINE!BH7))</f>
        <v/>
      </c>
      <c r="BM4" s="31">
        <f>$D4        *(1+$E4)^((YEAR(TIMELINE!BI7)-2025)+(MONTH(TIMELINE!BI7)-1)/12)        /12        *INDEX(Assumptions_Commercial!$B$22:$B$33,MONTH(TIMELINE!BI7))</f>
        <v/>
      </c>
      <c r="BN4" s="31">
        <f>$D4        *(1+$E4)^((YEAR(TIMELINE!BJ7)-2025)+(MONTH(TIMELINE!BJ7)-1)/12)        /12        *INDEX(Assumptions_Commercial!$B$22:$B$33,MONTH(TIMELINE!BJ7))</f>
        <v/>
      </c>
      <c r="BO4" s="31">
        <f>$D4        *(1+$E4)^((YEAR(TIMELINE!BK7)-2025)+(MONTH(TIMELINE!BK7)-1)/12)        /12        *INDEX(Assumptions_Commercial!$B$22:$B$33,MONTH(TIMELINE!BK7))</f>
        <v/>
      </c>
      <c r="BP4" s="31">
        <f>$D4        *(1+$E4)^((YEAR(TIMELINE!BL7)-2025)+(MONTH(TIMELINE!BL7)-1)/12)        /12        *INDEX(Assumptions_Commercial!$B$22:$B$33,MONTH(TIMELINE!BL7))</f>
        <v/>
      </c>
      <c r="BQ4" s="31">
        <f>$D4        *(1+$E4)^((YEAR(TIMELINE!BM7)-2025)+(MONTH(TIMELINE!BM7)-1)/12)        /12        *INDEX(Assumptions_Commercial!$B$22:$B$33,MONTH(TIMELINE!BM7))</f>
        <v/>
      </c>
      <c r="BR4" s="31">
        <f>$D4        *(1+$E4)^((YEAR(TIMELINE!BN7)-2025)+(MONTH(TIMELINE!BN7)-1)/12)        /12        *INDEX(Assumptions_Commercial!$B$22:$B$33,MONTH(TIMELINE!BN7))</f>
        <v/>
      </c>
      <c r="BS4" s="31">
        <f>$D4        *(1+$E4)^((YEAR(TIMELINE!BO7)-2025)+(MONTH(TIMELINE!BO7)-1)/12)        /12        *INDEX(Assumptions_Commercial!$B$22:$B$33,MONTH(TIMELINE!BO7))</f>
        <v/>
      </c>
      <c r="BT4" s="31">
        <f>$D4        *(1+$E4)^((YEAR(TIMELINE!BP7)-2025)+(MONTH(TIMELINE!BP7)-1)/12)        /12        *INDEX(Assumptions_Commercial!$B$22:$B$33,MONTH(TIMELINE!BP7))</f>
        <v/>
      </c>
      <c r="BU4" s="31">
        <f>$D4        *(1+$E4)^((YEAR(TIMELINE!BQ7)-2025)+(MONTH(TIMELINE!BQ7)-1)/12)        /12        *INDEX(Assumptions_Commercial!$B$22:$B$33,MONTH(TIMELINE!BQ7))</f>
        <v/>
      </c>
      <c r="BV4" s="31">
        <f>$D4        *(1+$E4)^((YEAR(TIMELINE!BR7)-2025)+(MONTH(TIMELINE!BR7)-1)/12)        /12        *INDEX(Assumptions_Commercial!$B$22:$B$33,MONTH(TIMELINE!BR7))</f>
        <v/>
      </c>
      <c r="BW4" s="31">
        <f>$D4        *(1+$E4)^((YEAR(TIMELINE!BS7)-2025)+(MONTH(TIMELINE!BS7)-1)/12)        /12        *INDEX(Assumptions_Commercial!$B$22:$B$33,MONTH(TIMELINE!BS7))</f>
        <v/>
      </c>
      <c r="BX4" s="31">
        <f>$D4        *(1+$E4)^((YEAR(TIMELINE!BT7)-2025)+(MONTH(TIMELINE!BT7)-1)/12)        /12        *INDEX(Assumptions_Commercial!$B$22:$B$33,MONTH(TIMELINE!BT7))</f>
        <v/>
      </c>
      <c r="BY4" s="31">
        <f>$D4        *(1+$E4)^((YEAR(TIMELINE!BU7)-2025)+(MONTH(TIMELINE!BU7)-1)/12)        /12        *INDEX(Assumptions_Commercial!$B$22:$B$33,MONTH(TIMELINE!BU7))</f>
        <v/>
      </c>
      <c r="BZ4" s="31">
        <f>$D4        *(1+$E4)^((YEAR(TIMELINE!BV7)-2025)+(MONTH(TIMELINE!BV7)-1)/12)        /12        *INDEX(Assumptions_Commercial!$B$22:$B$33,MONTH(TIMELINE!BV7))</f>
        <v/>
      </c>
      <c r="CA4" s="31">
        <f>$D4        *(1+$E4)^((YEAR(TIMELINE!BW7)-2025)+(MONTH(TIMELINE!BW7)-1)/12)        /12        *INDEX(Assumptions_Commercial!$B$22:$B$33,MONTH(TIMELINE!BW7))</f>
        <v/>
      </c>
      <c r="CB4" s="31">
        <f>$D4        *(1+$E4)^((YEAR(TIMELINE!BX7)-2025)+(MONTH(TIMELINE!BX7)-1)/12)        /12        *INDEX(Assumptions_Commercial!$B$22:$B$33,MONTH(TIMELINE!BX7))</f>
        <v/>
      </c>
      <c r="CC4" s="31">
        <f>$D4        *(1+$E4)^((YEAR(TIMELINE!BY7)-2025)+(MONTH(TIMELINE!BY7)-1)/12)        /12        *INDEX(Assumptions_Commercial!$B$22:$B$33,MONTH(TIMELINE!BY7))</f>
        <v/>
      </c>
      <c r="CD4" s="31">
        <f>$D4        *(1+$E4)^((YEAR(TIMELINE!BZ7)-2025)+(MONTH(TIMELINE!BZ7)-1)/12)        /12        *INDEX(Assumptions_Commercial!$B$22:$B$33,MONTH(TIMELINE!BZ7))</f>
        <v/>
      </c>
      <c r="CE4" s="31">
        <f>$D4        *(1+$E4)^((YEAR(TIMELINE!CA7)-2025)+(MONTH(TIMELINE!CA7)-1)/12)        /12        *INDEX(Assumptions_Commercial!$B$22:$B$33,MONTH(TIMELINE!CA7))</f>
        <v/>
      </c>
      <c r="CF4" s="31">
        <f>$D4        *(1+$E4)^((YEAR(TIMELINE!CB7)-2025)+(MONTH(TIMELINE!CB7)-1)/12)        /12        *INDEX(Assumptions_Commercial!$B$22:$B$33,MONTH(TIMELINE!CB7))</f>
        <v/>
      </c>
      <c r="CG4" s="31">
        <f>$D4        *(1+$E4)^((YEAR(TIMELINE!CC7)-2025)+(MONTH(TIMELINE!CC7)-1)/12)        /12        *INDEX(Assumptions_Commercial!$B$22:$B$33,MONTH(TIMELINE!CC7))</f>
        <v/>
      </c>
      <c r="CH4" s="31">
        <f>$D4        *(1+$E4)^((YEAR(TIMELINE!CD7)-2025)+(MONTH(TIMELINE!CD7)-1)/12)        /12        *INDEX(Assumptions_Commercial!$B$22:$B$33,MONTH(TIMELINE!CD7))</f>
        <v/>
      </c>
      <c r="CI4" s="31">
        <f>$D4        *(1+$E4)^((YEAR(TIMELINE!CE7)-2025)+(MONTH(TIMELINE!CE7)-1)/12)        /12        *INDEX(Assumptions_Commercial!$B$22:$B$33,MONTH(TIMELINE!CE7))</f>
        <v/>
      </c>
      <c r="CJ4" s="31">
        <f>$D4        *(1+$E4)^((YEAR(TIMELINE!CF7)-2025)+(MONTH(TIMELINE!CF7)-1)/12)        /12        *INDEX(Assumptions_Commercial!$B$22:$B$33,MONTH(TIMELINE!CF7))</f>
        <v/>
      </c>
      <c r="CK4" s="31">
        <f>$D4        *(1+$E4)^((YEAR(TIMELINE!CG7)-2025)+(MONTH(TIMELINE!CG7)-1)/12)        /12        *INDEX(Assumptions_Commercial!$B$22:$B$33,MONTH(TIMELINE!CG7))</f>
        <v/>
      </c>
      <c r="CL4" s="31">
        <f>$D4        *(1+$E4)^((YEAR(TIMELINE!CH7)-2025)+(MONTH(TIMELINE!CH7)-1)/12)        /12        *INDEX(Assumptions_Commercial!$B$22:$B$33,MONTH(TIMELINE!CH7))</f>
        <v/>
      </c>
      <c r="CM4" s="31">
        <f>$D4        *(1+$E4)^((YEAR(TIMELINE!CI7)-2025)+(MONTH(TIMELINE!CI7)-1)/12)        /12        *INDEX(Assumptions_Commercial!$B$22:$B$33,MONTH(TIMELINE!CI7))</f>
        <v/>
      </c>
      <c r="CN4" s="31">
        <f>$D4        *(1+$E4)^((YEAR(TIMELINE!CJ7)-2025)+(MONTH(TIMELINE!CJ7)-1)/12)        /12        *INDEX(Assumptions_Commercial!$B$22:$B$33,MONTH(TIMELINE!CJ7))</f>
        <v/>
      </c>
      <c r="CO4" s="31">
        <f>$D4        *(1+$E4)^((YEAR(TIMELINE!CK7)-2025)+(MONTH(TIMELINE!CK7)-1)/12)        /12        *INDEX(Assumptions_Commercial!$B$22:$B$33,MONTH(TIMELINE!CK7))</f>
        <v/>
      </c>
      <c r="CP4" s="31">
        <f>$D4        *(1+$E4)^((YEAR(TIMELINE!CL7)-2025)+(MONTH(TIMELINE!CL7)-1)/12)        /12        *INDEX(Assumptions_Commercial!$B$22:$B$33,MONTH(TIMELINE!CL7))</f>
        <v/>
      </c>
      <c r="CQ4" s="31">
        <f>$D4        *(1+$E4)^((YEAR(TIMELINE!CM7)-2025)+(MONTH(TIMELINE!CM7)-1)/12)        /12        *INDEX(Assumptions_Commercial!$B$22:$B$33,MONTH(TIMELINE!CM7))</f>
        <v/>
      </c>
      <c r="CR4" s="31">
        <f>$D4        *(1+$E4)^((YEAR(TIMELINE!CN7)-2025)+(MONTH(TIMELINE!CN7)-1)/12)        /12        *INDEX(Assumptions_Commercial!$B$22:$B$33,MONTH(TIMELINE!CN7))</f>
        <v/>
      </c>
      <c r="CS4" s="31">
        <f>$D4        *(1+$E4)^((YEAR(TIMELINE!CO7)-2025)+(MONTH(TIMELINE!CO7)-1)/12)        /12        *INDEX(Assumptions_Commercial!$B$22:$B$33,MONTH(TIMELINE!CO7))</f>
        <v/>
      </c>
      <c r="CT4" s="31">
        <f>$D4        *(1+$E4)^((YEAR(TIMELINE!CP7)-2025)+(MONTH(TIMELINE!CP7)-1)/12)        /12        *INDEX(Assumptions_Commercial!$B$22:$B$33,MONTH(TIMELINE!CP7))</f>
        <v/>
      </c>
      <c r="CU4" s="31">
        <f>$D4        *(1+$E4)^((YEAR(TIMELINE!CQ7)-2025)+(MONTH(TIMELINE!CQ7)-1)/12)        /12        *INDEX(Assumptions_Commercial!$B$22:$B$33,MONTH(TIMELINE!CQ7))</f>
        <v/>
      </c>
      <c r="CV4" s="31">
        <f>$D4        *(1+$E4)^((YEAR(TIMELINE!CR7)-2025)+(MONTH(TIMELINE!CR7)-1)/12)        /12        *INDEX(Assumptions_Commercial!$B$22:$B$33,MONTH(TIMELINE!CR7))</f>
        <v/>
      </c>
      <c r="CW4" s="31">
        <f>$D4        *(1+$E4)^((YEAR(TIMELINE!CS7)-2025)+(MONTH(TIMELINE!CS7)-1)/12)        /12        *INDEX(Assumptions_Commercial!$B$22:$B$33,MONTH(TIMELINE!CS7))</f>
        <v/>
      </c>
      <c r="CX4" s="31">
        <f>$D4        *(1+$E4)^((YEAR(TIMELINE!CT7)-2025)+(MONTH(TIMELINE!CT7)-1)/12)        /12        *INDEX(Assumptions_Commercial!$B$22:$B$33,MONTH(TIMELINE!CT7))</f>
        <v/>
      </c>
      <c r="CY4" s="31">
        <f>$D4        *(1+$E4)^((YEAR(TIMELINE!CU7)-2025)+(MONTH(TIMELINE!CU7)-1)/12)        /12        *INDEX(Assumptions_Commercial!$B$22:$B$33,MONTH(TIMELINE!CU7))</f>
        <v/>
      </c>
      <c r="CZ4" s="31">
        <f>$D4        *(1+$E4)^((YEAR(TIMELINE!CV7)-2025)+(MONTH(TIMELINE!CV7)-1)/12)        /12        *INDEX(Assumptions_Commercial!$B$22:$B$33,MONTH(TIMELINE!CV7))</f>
        <v/>
      </c>
      <c r="DA4" s="31">
        <f>$D4        *(1+$E4)^((YEAR(TIMELINE!CW7)-2025)+(MONTH(TIMELINE!CW7)-1)/12)        /12        *INDEX(Assumptions_Commercial!$B$22:$B$33,MONTH(TIMELINE!CW7))</f>
        <v/>
      </c>
      <c r="DB4" s="31">
        <f>$D4        *(1+$E4)^((YEAR(TIMELINE!CX7)-2025)+(MONTH(TIMELINE!CX7)-1)/12)        /12        *INDEX(Assumptions_Commercial!$B$22:$B$33,MONTH(TIMELINE!CX7))</f>
        <v/>
      </c>
      <c r="DC4" s="31">
        <f>$D4        *(1+$E4)^((YEAR(TIMELINE!CY7)-2025)+(MONTH(TIMELINE!CY7)-1)/12)        /12        *INDEX(Assumptions_Commercial!$B$22:$B$33,MONTH(TIMELINE!CY7))</f>
        <v/>
      </c>
      <c r="DD4" s="31">
        <f>$D4        *(1+$E4)^((YEAR(TIMELINE!CZ7)-2025)+(MONTH(TIMELINE!CZ7)-1)/12)        /12        *INDEX(Assumptions_Commercial!$B$22:$B$33,MONTH(TIMELINE!CZ7))</f>
        <v/>
      </c>
      <c r="DE4" s="31">
        <f>$D4        *(1+$E4)^((YEAR(TIMELINE!DA7)-2025)+(MONTH(TIMELINE!DA7)-1)/12)        /12        *INDEX(Assumptions_Commercial!$B$22:$B$33,MONTH(TIMELINE!DA7))</f>
        <v/>
      </c>
      <c r="DF4" s="31">
        <f>$D4        *(1+$E4)^((YEAR(TIMELINE!DB7)-2025)+(MONTH(TIMELINE!DB7)-1)/12)        /12        *INDEX(Assumptions_Commercial!$B$22:$B$33,MONTH(TIMELINE!DB7))</f>
        <v/>
      </c>
      <c r="DG4" s="31">
        <f>$D4        *(1+$E4)^((YEAR(TIMELINE!DC7)-2025)+(MONTH(TIMELINE!DC7)-1)/12)        /12        *INDEX(Assumptions_Commercial!$B$22:$B$33,MONTH(TIMELINE!DC7))</f>
        <v/>
      </c>
      <c r="DH4" s="31">
        <f>$D4        *(1+$E4)^((YEAR(TIMELINE!DD7)-2025)+(MONTH(TIMELINE!DD7)-1)/12)        /12        *INDEX(Assumptions_Commercial!$B$22:$B$33,MONTH(TIMELINE!DD7))</f>
        <v/>
      </c>
      <c r="DI4" s="31">
        <f>$D4        *(1+$E4)^((YEAR(TIMELINE!DE7)-2025)+(MONTH(TIMELINE!DE7)-1)/12)        /12        *INDEX(Assumptions_Commercial!$B$22:$B$33,MONTH(TIMELINE!DE7))</f>
        <v/>
      </c>
      <c r="DJ4" s="31">
        <f>$D4        *(1+$E4)^((YEAR(TIMELINE!DF7)-2025)+(MONTH(TIMELINE!DF7)-1)/12)        /12        *INDEX(Assumptions_Commercial!$B$22:$B$33,MONTH(TIMELINE!DF7))</f>
        <v/>
      </c>
      <c r="DK4" s="31">
        <f>$D4        *(1+$E4)^((YEAR(TIMELINE!DG7)-2025)+(MONTH(TIMELINE!DG7)-1)/12)        /12        *INDEX(Assumptions_Commercial!$B$22:$B$33,MONTH(TIMELINE!DG7))</f>
        <v/>
      </c>
      <c r="DL4" s="31">
        <f>$D4        *(1+$E4)^((YEAR(TIMELINE!DH7)-2025)+(MONTH(TIMELINE!DH7)-1)/12)        /12        *INDEX(Assumptions_Commercial!$B$22:$B$33,MONTH(TIMELINE!DH7))</f>
        <v/>
      </c>
      <c r="DM4" s="31">
        <f>$D4        *(1+$E4)^((YEAR(TIMELINE!DI7)-2025)+(MONTH(TIMELINE!DI7)-1)/12)        /12        *INDEX(Assumptions_Commercial!$B$22:$B$33,MONTH(TIMELINE!DI7))</f>
        <v/>
      </c>
      <c r="DN4" s="31">
        <f>$D4        *(1+$E4)^((YEAR(TIMELINE!DJ7)-2025)+(MONTH(TIMELINE!DJ7)-1)/12)        /12        *INDEX(Assumptions_Commercial!$B$22:$B$33,MONTH(TIMELINE!DJ7))</f>
        <v/>
      </c>
      <c r="DO4" s="31">
        <f>$D4        *(1+$E4)^((YEAR(TIMELINE!DK7)-2025)+(MONTH(TIMELINE!DK7)-1)/12)        /12        *INDEX(Assumptions_Commercial!$B$22:$B$33,MONTH(TIMELINE!DK7))</f>
        <v/>
      </c>
      <c r="DP4" s="31">
        <f>$D4        *(1+$E4)^((YEAR(TIMELINE!DL7)-2025)+(MONTH(TIMELINE!DL7)-1)/12)        /12        *INDEX(Assumptions_Commercial!$B$22:$B$33,MONTH(TIMELINE!DL7))</f>
        <v/>
      </c>
      <c r="DQ4" s="31">
        <f>$D4        *(1+$E4)^((YEAR(TIMELINE!DM7)-2025)+(MONTH(TIMELINE!DM7)-1)/12)        /12        *INDEX(Assumptions_Commercial!$B$22:$B$33,MONTH(TIMELINE!DM7))</f>
        <v/>
      </c>
      <c r="DR4" s="31">
        <f>$D4        *(1+$E4)^((YEAR(TIMELINE!DN7)-2025)+(MONTH(TIMELINE!DN7)-1)/12)        /12        *INDEX(Assumptions_Commercial!$B$22:$B$33,MONTH(TIMELINE!DN7))</f>
        <v/>
      </c>
      <c r="DS4" s="31">
        <f>$D4        *(1+$E4)^((YEAR(TIMELINE!DO7)-2025)+(MONTH(TIMELINE!DO7)-1)/12)        /12        *INDEX(Assumptions_Commercial!$B$22:$B$33,MONTH(TIMELINE!DO7))</f>
        <v/>
      </c>
      <c r="DT4" s="31">
        <f>$D4        *(1+$E4)^((YEAR(TIMELINE!DP7)-2025)+(MONTH(TIMELINE!DP7)-1)/12)        /12        *INDEX(Assumptions_Commercial!$B$22:$B$33,MONTH(TIMELINE!DP7))</f>
        <v/>
      </c>
      <c r="DU4" s="31">
        <f>$D4        *(1+$E4)^((YEAR(TIMELINE!DQ7)-2025)+(MONTH(TIMELINE!DQ7)-1)/12)        /12        *INDEX(Assumptions_Commercial!$B$22:$B$33,MONTH(TIMELINE!DQ7))</f>
        <v/>
      </c>
    </row>
    <row r="5">
      <c r="A5" t="inlineStr">
        <is>
          <t>SKU-01</t>
        </is>
      </c>
      <c r="B5" t="inlineStr">
        <is>
          <t>Off-Trade</t>
        </is>
      </c>
      <c r="C5" t="inlineStr">
        <is>
          <t>AU</t>
        </is>
      </c>
      <c r="D5" s="14" t="n">
        <v>81667</v>
      </c>
      <c r="E5" s="30">
        <f>INDEX(Assumptions_Commercial!$B$5:$D$5,CONTROL!$B$5)</f>
        <v/>
      </c>
      <c r="F5" s="31">
        <f>$D5        *(1+$E5)^((YEAR(TIMELINE!B7)-2025)+(MONTH(TIMELINE!B7)-1)/12)        /12        *INDEX(Assumptions_Commercial!$B$22:$B$33,MONTH(TIMELINE!B7))</f>
        <v/>
      </c>
      <c r="G5" s="31">
        <f>$D5        *(1+$E5)^((YEAR(TIMELINE!C7)-2025)+(MONTH(TIMELINE!C7)-1)/12)        /12        *INDEX(Assumptions_Commercial!$B$22:$B$33,MONTH(TIMELINE!C7))</f>
        <v/>
      </c>
      <c r="H5" s="31">
        <f>$D5        *(1+$E5)^((YEAR(TIMELINE!D7)-2025)+(MONTH(TIMELINE!D7)-1)/12)        /12        *INDEX(Assumptions_Commercial!$B$22:$B$33,MONTH(TIMELINE!D7))</f>
        <v/>
      </c>
      <c r="I5" s="31">
        <f>$D5        *(1+$E5)^((YEAR(TIMELINE!E7)-2025)+(MONTH(TIMELINE!E7)-1)/12)        /12        *INDEX(Assumptions_Commercial!$B$22:$B$33,MONTH(TIMELINE!E7))</f>
        <v/>
      </c>
      <c r="J5" s="31">
        <f>$D5        *(1+$E5)^((YEAR(TIMELINE!F7)-2025)+(MONTH(TIMELINE!F7)-1)/12)        /12        *INDEX(Assumptions_Commercial!$B$22:$B$33,MONTH(TIMELINE!F7))</f>
        <v/>
      </c>
      <c r="K5" s="31">
        <f>$D5        *(1+$E5)^((YEAR(TIMELINE!G7)-2025)+(MONTH(TIMELINE!G7)-1)/12)        /12        *INDEX(Assumptions_Commercial!$B$22:$B$33,MONTH(TIMELINE!G7))</f>
        <v/>
      </c>
      <c r="L5" s="31">
        <f>$D5        *(1+$E5)^((YEAR(TIMELINE!H7)-2025)+(MONTH(TIMELINE!H7)-1)/12)        /12        *INDEX(Assumptions_Commercial!$B$22:$B$33,MONTH(TIMELINE!H7))</f>
        <v/>
      </c>
      <c r="M5" s="31">
        <f>$D5        *(1+$E5)^((YEAR(TIMELINE!I7)-2025)+(MONTH(TIMELINE!I7)-1)/12)        /12        *INDEX(Assumptions_Commercial!$B$22:$B$33,MONTH(TIMELINE!I7))</f>
        <v/>
      </c>
      <c r="N5" s="31">
        <f>$D5        *(1+$E5)^((YEAR(TIMELINE!J7)-2025)+(MONTH(TIMELINE!J7)-1)/12)        /12        *INDEX(Assumptions_Commercial!$B$22:$B$33,MONTH(TIMELINE!J7))</f>
        <v/>
      </c>
      <c r="O5" s="31">
        <f>$D5        *(1+$E5)^((YEAR(TIMELINE!K7)-2025)+(MONTH(TIMELINE!K7)-1)/12)        /12        *INDEX(Assumptions_Commercial!$B$22:$B$33,MONTH(TIMELINE!K7))</f>
        <v/>
      </c>
      <c r="P5" s="31">
        <f>$D5        *(1+$E5)^((YEAR(TIMELINE!L7)-2025)+(MONTH(TIMELINE!L7)-1)/12)        /12        *INDEX(Assumptions_Commercial!$B$22:$B$33,MONTH(TIMELINE!L7))</f>
        <v/>
      </c>
      <c r="Q5" s="31">
        <f>$D5        *(1+$E5)^((YEAR(TIMELINE!M7)-2025)+(MONTH(TIMELINE!M7)-1)/12)        /12        *INDEX(Assumptions_Commercial!$B$22:$B$33,MONTH(TIMELINE!M7))</f>
        <v/>
      </c>
      <c r="R5" s="31">
        <f>$D5        *(1+$E5)^((YEAR(TIMELINE!N7)-2025)+(MONTH(TIMELINE!N7)-1)/12)        /12        *INDEX(Assumptions_Commercial!$B$22:$B$33,MONTH(TIMELINE!N7))</f>
        <v/>
      </c>
      <c r="S5" s="31">
        <f>$D5        *(1+$E5)^((YEAR(TIMELINE!O7)-2025)+(MONTH(TIMELINE!O7)-1)/12)        /12        *INDEX(Assumptions_Commercial!$B$22:$B$33,MONTH(TIMELINE!O7))</f>
        <v/>
      </c>
      <c r="T5" s="31">
        <f>$D5        *(1+$E5)^((YEAR(TIMELINE!P7)-2025)+(MONTH(TIMELINE!P7)-1)/12)        /12        *INDEX(Assumptions_Commercial!$B$22:$B$33,MONTH(TIMELINE!P7))</f>
        <v/>
      </c>
      <c r="U5" s="31">
        <f>$D5        *(1+$E5)^((YEAR(TIMELINE!Q7)-2025)+(MONTH(TIMELINE!Q7)-1)/12)        /12        *INDEX(Assumptions_Commercial!$B$22:$B$33,MONTH(TIMELINE!Q7))</f>
        <v/>
      </c>
      <c r="V5" s="31">
        <f>$D5        *(1+$E5)^((YEAR(TIMELINE!R7)-2025)+(MONTH(TIMELINE!R7)-1)/12)        /12        *INDEX(Assumptions_Commercial!$B$22:$B$33,MONTH(TIMELINE!R7))</f>
        <v/>
      </c>
      <c r="W5" s="31">
        <f>$D5        *(1+$E5)^((YEAR(TIMELINE!S7)-2025)+(MONTH(TIMELINE!S7)-1)/12)        /12        *INDEX(Assumptions_Commercial!$B$22:$B$33,MONTH(TIMELINE!S7))</f>
        <v/>
      </c>
      <c r="X5" s="31">
        <f>$D5        *(1+$E5)^((YEAR(TIMELINE!T7)-2025)+(MONTH(TIMELINE!T7)-1)/12)        /12        *INDEX(Assumptions_Commercial!$B$22:$B$33,MONTH(TIMELINE!T7))</f>
        <v/>
      </c>
      <c r="Y5" s="31">
        <f>$D5        *(1+$E5)^((YEAR(TIMELINE!U7)-2025)+(MONTH(TIMELINE!U7)-1)/12)        /12        *INDEX(Assumptions_Commercial!$B$22:$B$33,MONTH(TIMELINE!U7))</f>
        <v/>
      </c>
      <c r="Z5" s="31">
        <f>$D5        *(1+$E5)^((YEAR(TIMELINE!V7)-2025)+(MONTH(TIMELINE!V7)-1)/12)        /12        *INDEX(Assumptions_Commercial!$B$22:$B$33,MONTH(TIMELINE!V7))</f>
        <v/>
      </c>
      <c r="AA5" s="31">
        <f>$D5        *(1+$E5)^((YEAR(TIMELINE!W7)-2025)+(MONTH(TIMELINE!W7)-1)/12)        /12        *INDEX(Assumptions_Commercial!$B$22:$B$33,MONTH(TIMELINE!W7))</f>
        <v/>
      </c>
      <c r="AB5" s="31">
        <f>$D5        *(1+$E5)^((YEAR(TIMELINE!X7)-2025)+(MONTH(TIMELINE!X7)-1)/12)        /12        *INDEX(Assumptions_Commercial!$B$22:$B$33,MONTH(TIMELINE!X7))</f>
        <v/>
      </c>
      <c r="AC5" s="31">
        <f>$D5        *(1+$E5)^((YEAR(TIMELINE!Y7)-2025)+(MONTH(TIMELINE!Y7)-1)/12)        /12        *INDEX(Assumptions_Commercial!$B$22:$B$33,MONTH(TIMELINE!Y7))</f>
        <v/>
      </c>
      <c r="AD5" s="31">
        <f>$D5        *(1+$E5)^((YEAR(TIMELINE!Z7)-2025)+(MONTH(TIMELINE!Z7)-1)/12)        /12        *INDEX(Assumptions_Commercial!$B$22:$B$33,MONTH(TIMELINE!Z7))</f>
        <v/>
      </c>
      <c r="AE5" s="31">
        <f>$D5        *(1+$E5)^((YEAR(TIMELINE!AA7)-2025)+(MONTH(TIMELINE!AA7)-1)/12)        /12        *INDEX(Assumptions_Commercial!$B$22:$B$33,MONTH(TIMELINE!AA7))</f>
        <v/>
      </c>
      <c r="AF5" s="31">
        <f>$D5        *(1+$E5)^((YEAR(TIMELINE!AB7)-2025)+(MONTH(TIMELINE!AB7)-1)/12)        /12        *INDEX(Assumptions_Commercial!$B$22:$B$33,MONTH(TIMELINE!AB7))</f>
        <v/>
      </c>
      <c r="AG5" s="31">
        <f>$D5        *(1+$E5)^((YEAR(TIMELINE!AC7)-2025)+(MONTH(TIMELINE!AC7)-1)/12)        /12        *INDEX(Assumptions_Commercial!$B$22:$B$33,MONTH(TIMELINE!AC7))</f>
        <v/>
      </c>
      <c r="AH5" s="31">
        <f>$D5        *(1+$E5)^((YEAR(TIMELINE!AD7)-2025)+(MONTH(TIMELINE!AD7)-1)/12)        /12        *INDEX(Assumptions_Commercial!$B$22:$B$33,MONTH(TIMELINE!AD7))</f>
        <v/>
      </c>
      <c r="AI5" s="31">
        <f>$D5        *(1+$E5)^((YEAR(TIMELINE!AE7)-2025)+(MONTH(TIMELINE!AE7)-1)/12)        /12        *INDEX(Assumptions_Commercial!$B$22:$B$33,MONTH(TIMELINE!AE7))</f>
        <v/>
      </c>
      <c r="AJ5" s="31">
        <f>$D5        *(1+$E5)^((YEAR(TIMELINE!AF7)-2025)+(MONTH(TIMELINE!AF7)-1)/12)        /12        *INDEX(Assumptions_Commercial!$B$22:$B$33,MONTH(TIMELINE!AF7))</f>
        <v/>
      </c>
      <c r="AK5" s="31">
        <f>$D5        *(1+$E5)^((YEAR(TIMELINE!AG7)-2025)+(MONTH(TIMELINE!AG7)-1)/12)        /12        *INDEX(Assumptions_Commercial!$B$22:$B$33,MONTH(TIMELINE!AG7))</f>
        <v/>
      </c>
      <c r="AL5" s="31">
        <f>$D5        *(1+$E5)^((YEAR(TIMELINE!AH7)-2025)+(MONTH(TIMELINE!AH7)-1)/12)        /12        *INDEX(Assumptions_Commercial!$B$22:$B$33,MONTH(TIMELINE!AH7))</f>
        <v/>
      </c>
      <c r="AM5" s="31">
        <f>$D5        *(1+$E5)^((YEAR(TIMELINE!AI7)-2025)+(MONTH(TIMELINE!AI7)-1)/12)        /12        *INDEX(Assumptions_Commercial!$B$22:$B$33,MONTH(TIMELINE!AI7))</f>
        <v/>
      </c>
      <c r="AN5" s="31">
        <f>$D5        *(1+$E5)^((YEAR(TIMELINE!AJ7)-2025)+(MONTH(TIMELINE!AJ7)-1)/12)        /12        *INDEX(Assumptions_Commercial!$B$22:$B$33,MONTH(TIMELINE!AJ7))</f>
        <v/>
      </c>
      <c r="AO5" s="31">
        <f>$D5        *(1+$E5)^((YEAR(TIMELINE!AK7)-2025)+(MONTH(TIMELINE!AK7)-1)/12)        /12        *INDEX(Assumptions_Commercial!$B$22:$B$33,MONTH(TIMELINE!AK7))</f>
        <v/>
      </c>
      <c r="AP5" s="31">
        <f>$D5        *(1+$E5)^((YEAR(TIMELINE!AL7)-2025)+(MONTH(TIMELINE!AL7)-1)/12)        /12        *INDEX(Assumptions_Commercial!$B$22:$B$33,MONTH(TIMELINE!AL7))</f>
        <v/>
      </c>
      <c r="AQ5" s="31">
        <f>$D5        *(1+$E5)^((YEAR(TIMELINE!AM7)-2025)+(MONTH(TIMELINE!AM7)-1)/12)        /12        *INDEX(Assumptions_Commercial!$B$22:$B$33,MONTH(TIMELINE!AM7))</f>
        <v/>
      </c>
      <c r="AR5" s="31">
        <f>$D5        *(1+$E5)^((YEAR(TIMELINE!AN7)-2025)+(MONTH(TIMELINE!AN7)-1)/12)        /12        *INDEX(Assumptions_Commercial!$B$22:$B$33,MONTH(TIMELINE!AN7))</f>
        <v/>
      </c>
      <c r="AS5" s="31">
        <f>$D5        *(1+$E5)^((YEAR(TIMELINE!AO7)-2025)+(MONTH(TIMELINE!AO7)-1)/12)        /12        *INDEX(Assumptions_Commercial!$B$22:$B$33,MONTH(TIMELINE!AO7))</f>
        <v/>
      </c>
      <c r="AT5" s="31">
        <f>$D5        *(1+$E5)^((YEAR(TIMELINE!AP7)-2025)+(MONTH(TIMELINE!AP7)-1)/12)        /12        *INDEX(Assumptions_Commercial!$B$22:$B$33,MONTH(TIMELINE!AP7))</f>
        <v/>
      </c>
      <c r="AU5" s="31">
        <f>$D5        *(1+$E5)^((YEAR(TIMELINE!AQ7)-2025)+(MONTH(TIMELINE!AQ7)-1)/12)        /12        *INDEX(Assumptions_Commercial!$B$22:$B$33,MONTH(TIMELINE!AQ7))</f>
        <v/>
      </c>
      <c r="AV5" s="31">
        <f>$D5        *(1+$E5)^((YEAR(TIMELINE!AR7)-2025)+(MONTH(TIMELINE!AR7)-1)/12)        /12        *INDEX(Assumptions_Commercial!$B$22:$B$33,MONTH(TIMELINE!AR7))</f>
        <v/>
      </c>
      <c r="AW5" s="31">
        <f>$D5        *(1+$E5)^((YEAR(TIMELINE!AS7)-2025)+(MONTH(TIMELINE!AS7)-1)/12)        /12        *INDEX(Assumptions_Commercial!$B$22:$B$33,MONTH(TIMELINE!AS7))</f>
        <v/>
      </c>
      <c r="AX5" s="31">
        <f>$D5        *(1+$E5)^((YEAR(TIMELINE!AT7)-2025)+(MONTH(TIMELINE!AT7)-1)/12)        /12        *INDEX(Assumptions_Commercial!$B$22:$B$33,MONTH(TIMELINE!AT7))</f>
        <v/>
      </c>
      <c r="AY5" s="31">
        <f>$D5        *(1+$E5)^((YEAR(TIMELINE!AU7)-2025)+(MONTH(TIMELINE!AU7)-1)/12)        /12        *INDEX(Assumptions_Commercial!$B$22:$B$33,MONTH(TIMELINE!AU7))</f>
        <v/>
      </c>
      <c r="AZ5" s="31">
        <f>$D5        *(1+$E5)^((YEAR(TIMELINE!AV7)-2025)+(MONTH(TIMELINE!AV7)-1)/12)        /12        *INDEX(Assumptions_Commercial!$B$22:$B$33,MONTH(TIMELINE!AV7))</f>
        <v/>
      </c>
      <c r="BA5" s="31">
        <f>$D5        *(1+$E5)^((YEAR(TIMELINE!AW7)-2025)+(MONTH(TIMELINE!AW7)-1)/12)        /12        *INDEX(Assumptions_Commercial!$B$22:$B$33,MONTH(TIMELINE!AW7))</f>
        <v/>
      </c>
      <c r="BB5" s="31">
        <f>$D5        *(1+$E5)^((YEAR(TIMELINE!AX7)-2025)+(MONTH(TIMELINE!AX7)-1)/12)        /12        *INDEX(Assumptions_Commercial!$B$22:$B$33,MONTH(TIMELINE!AX7))</f>
        <v/>
      </c>
      <c r="BC5" s="31">
        <f>$D5        *(1+$E5)^((YEAR(TIMELINE!AY7)-2025)+(MONTH(TIMELINE!AY7)-1)/12)        /12        *INDEX(Assumptions_Commercial!$B$22:$B$33,MONTH(TIMELINE!AY7))</f>
        <v/>
      </c>
      <c r="BD5" s="31">
        <f>$D5        *(1+$E5)^((YEAR(TIMELINE!AZ7)-2025)+(MONTH(TIMELINE!AZ7)-1)/12)        /12        *INDEX(Assumptions_Commercial!$B$22:$B$33,MONTH(TIMELINE!AZ7))</f>
        <v/>
      </c>
      <c r="BE5" s="31">
        <f>$D5        *(1+$E5)^((YEAR(TIMELINE!BA7)-2025)+(MONTH(TIMELINE!BA7)-1)/12)        /12        *INDEX(Assumptions_Commercial!$B$22:$B$33,MONTH(TIMELINE!BA7))</f>
        <v/>
      </c>
      <c r="BF5" s="31">
        <f>$D5        *(1+$E5)^((YEAR(TIMELINE!BB7)-2025)+(MONTH(TIMELINE!BB7)-1)/12)        /12        *INDEX(Assumptions_Commercial!$B$22:$B$33,MONTH(TIMELINE!BB7))</f>
        <v/>
      </c>
      <c r="BG5" s="31">
        <f>$D5        *(1+$E5)^((YEAR(TIMELINE!BC7)-2025)+(MONTH(TIMELINE!BC7)-1)/12)        /12        *INDEX(Assumptions_Commercial!$B$22:$B$33,MONTH(TIMELINE!BC7))</f>
        <v/>
      </c>
      <c r="BH5" s="31">
        <f>$D5        *(1+$E5)^((YEAR(TIMELINE!BD7)-2025)+(MONTH(TIMELINE!BD7)-1)/12)        /12        *INDEX(Assumptions_Commercial!$B$22:$B$33,MONTH(TIMELINE!BD7))</f>
        <v/>
      </c>
      <c r="BI5" s="31">
        <f>$D5        *(1+$E5)^((YEAR(TIMELINE!BE7)-2025)+(MONTH(TIMELINE!BE7)-1)/12)        /12        *INDEX(Assumptions_Commercial!$B$22:$B$33,MONTH(TIMELINE!BE7))</f>
        <v/>
      </c>
      <c r="BJ5" s="31">
        <f>$D5        *(1+$E5)^((YEAR(TIMELINE!BF7)-2025)+(MONTH(TIMELINE!BF7)-1)/12)        /12        *INDEX(Assumptions_Commercial!$B$22:$B$33,MONTH(TIMELINE!BF7))</f>
        <v/>
      </c>
      <c r="BK5" s="31">
        <f>$D5        *(1+$E5)^((YEAR(TIMELINE!BG7)-2025)+(MONTH(TIMELINE!BG7)-1)/12)        /12        *INDEX(Assumptions_Commercial!$B$22:$B$33,MONTH(TIMELINE!BG7))</f>
        <v/>
      </c>
      <c r="BL5" s="31">
        <f>$D5        *(1+$E5)^((YEAR(TIMELINE!BH7)-2025)+(MONTH(TIMELINE!BH7)-1)/12)        /12        *INDEX(Assumptions_Commercial!$B$22:$B$33,MONTH(TIMELINE!BH7))</f>
        <v/>
      </c>
      <c r="BM5" s="31">
        <f>$D5        *(1+$E5)^((YEAR(TIMELINE!BI7)-2025)+(MONTH(TIMELINE!BI7)-1)/12)        /12        *INDEX(Assumptions_Commercial!$B$22:$B$33,MONTH(TIMELINE!BI7))</f>
        <v/>
      </c>
      <c r="BN5" s="31">
        <f>$D5        *(1+$E5)^((YEAR(TIMELINE!BJ7)-2025)+(MONTH(TIMELINE!BJ7)-1)/12)        /12        *INDEX(Assumptions_Commercial!$B$22:$B$33,MONTH(TIMELINE!BJ7))</f>
        <v/>
      </c>
      <c r="BO5" s="31">
        <f>$D5        *(1+$E5)^((YEAR(TIMELINE!BK7)-2025)+(MONTH(TIMELINE!BK7)-1)/12)        /12        *INDEX(Assumptions_Commercial!$B$22:$B$33,MONTH(TIMELINE!BK7))</f>
        <v/>
      </c>
      <c r="BP5" s="31">
        <f>$D5        *(1+$E5)^((YEAR(TIMELINE!BL7)-2025)+(MONTH(TIMELINE!BL7)-1)/12)        /12        *INDEX(Assumptions_Commercial!$B$22:$B$33,MONTH(TIMELINE!BL7))</f>
        <v/>
      </c>
      <c r="BQ5" s="31">
        <f>$D5        *(1+$E5)^((YEAR(TIMELINE!BM7)-2025)+(MONTH(TIMELINE!BM7)-1)/12)        /12        *INDEX(Assumptions_Commercial!$B$22:$B$33,MONTH(TIMELINE!BM7))</f>
        <v/>
      </c>
      <c r="BR5" s="31">
        <f>$D5        *(1+$E5)^((YEAR(TIMELINE!BN7)-2025)+(MONTH(TIMELINE!BN7)-1)/12)        /12        *INDEX(Assumptions_Commercial!$B$22:$B$33,MONTH(TIMELINE!BN7))</f>
        <v/>
      </c>
      <c r="BS5" s="31">
        <f>$D5        *(1+$E5)^((YEAR(TIMELINE!BO7)-2025)+(MONTH(TIMELINE!BO7)-1)/12)        /12        *INDEX(Assumptions_Commercial!$B$22:$B$33,MONTH(TIMELINE!BO7))</f>
        <v/>
      </c>
      <c r="BT5" s="31">
        <f>$D5        *(1+$E5)^((YEAR(TIMELINE!BP7)-2025)+(MONTH(TIMELINE!BP7)-1)/12)        /12        *INDEX(Assumptions_Commercial!$B$22:$B$33,MONTH(TIMELINE!BP7))</f>
        <v/>
      </c>
      <c r="BU5" s="31">
        <f>$D5        *(1+$E5)^((YEAR(TIMELINE!BQ7)-2025)+(MONTH(TIMELINE!BQ7)-1)/12)        /12        *INDEX(Assumptions_Commercial!$B$22:$B$33,MONTH(TIMELINE!BQ7))</f>
        <v/>
      </c>
      <c r="BV5" s="31">
        <f>$D5        *(1+$E5)^((YEAR(TIMELINE!BR7)-2025)+(MONTH(TIMELINE!BR7)-1)/12)        /12        *INDEX(Assumptions_Commercial!$B$22:$B$33,MONTH(TIMELINE!BR7))</f>
        <v/>
      </c>
      <c r="BW5" s="31">
        <f>$D5        *(1+$E5)^((YEAR(TIMELINE!BS7)-2025)+(MONTH(TIMELINE!BS7)-1)/12)        /12        *INDEX(Assumptions_Commercial!$B$22:$B$33,MONTH(TIMELINE!BS7))</f>
        <v/>
      </c>
      <c r="BX5" s="31">
        <f>$D5        *(1+$E5)^((YEAR(TIMELINE!BT7)-2025)+(MONTH(TIMELINE!BT7)-1)/12)        /12        *INDEX(Assumptions_Commercial!$B$22:$B$33,MONTH(TIMELINE!BT7))</f>
        <v/>
      </c>
      <c r="BY5" s="31">
        <f>$D5        *(1+$E5)^((YEAR(TIMELINE!BU7)-2025)+(MONTH(TIMELINE!BU7)-1)/12)        /12        *INDEX(Assumptions_Commercial!$B$22:$B$33,MONTH(TIMELINE!BU7))</f>
        <v/>
      </c>
      <c r="BZ5" s="31">
        <f>$D5        *(1+$E5)^((YEAR(TIMELINE!BV7)-2025)+(MONTH(TIMELINE!BV7)-1)/12)        /12        *INDEX(Assumptions_Commercial!$B$22:$B$33,MONTH(TIMELINE!BV7))</f>
        <v/>
      </c>
      <c r="CA5" s="31">
        <f>$D5        *(1+$E5)^((YEAR(TIMELINE!BW7)-2025)+(MONTH(TIMELINE!BW7)-1)/12)        /12        *INDEX(Assumptions_Commercial!$B$22:$B$33,MONTH(TIMELINE!BW7))</f>
        <v/>
      </c>
      <c r="CB5" s="31">
        <f>$D5        *(1+$E5)^((YEAR(TIMELINE!BX7)-2025)+(MONTH(TIMELINE!BX7)-1)/12)        /12        *INDEX(Assumptions_Commercial!$B$22:$B$33,MONTH(TIMELINE!BX7))</f>
        <v/>
      </c>
      <c r="CC5" s="31">
        <f>$D5        *(1+$E5)^((YEAR(TIMELINE!BY7)-2025)+(MONTH(TIMELINE!BY7)-1)/12)        /12        *INDEX(Assumptions_Commercial!$B$22:$B$33,MONTH(TIMELINE!BY7))</f>
        <v/>
      </c>
      <c r="CD5" s="31">
        <f>$D5        *(1+$E5)^((YEAR(TIMELINE!BZ7)-2025)+(MONTH(TIMELINE!BZ7)-1)/12)        /12        *INDEX(Assumptions_Commercial!$B$22:$B$33,MONTH(TIMELINE!BZ7))</f>
        <v/>
      </c>
      <c r="CE5" s="31">
        <f>$D5        *(1+$E5)^((YEAR(TIMELINE!CA7)-2025)+(MONTH(TIMELINE!CA7)-1)/12)        /12        *INDEX(Assumptions_Commercial!$B$22:$B$33,MONTH(TIMELINE!CA7))</f>
        <v/>
      </c>
      <c r="CF5" s="31">
        <f>$D5        *(1+$E5)^((YEAR(TIMELINE!CB7)-2025)+(MONTH(TIMELINE!CB7)-1)/12)        /12        *INDEX(Assumptions_Commercial!$B$22:$B$33,MONTH(TIMELINE!CB7))</f>
        <v/>
      </c>
      <c r="CG5" s="31">
        <f>$D5        *(1+$E5)^((YEAR(TIMELINE!CC7)-2025)+(MONTH(TIMELINE!CC7)-1)/12)        /12        *INDEX(Assumptions_Commercial!$B$22:$B$33,MONTH(TIMELINE!CC7))</f>
        <v/>
      </c>
      <c r="CH5" s="31">
        <f>$D5        *(1+$E5)^((YEAR(TIMELINE!CD7)-2025)+(MONTH(TIMELINE!CD7)-1)/12)        /12        *INDEX(Assumptions_Commercial!$B$22:$B$33,MONTH(TIMELINE!CD7))</f>
        <v/>
      </c>
      <c r="CI5" s="31">
        <f>$D5        *(1+$E5)^((YEAR(TIMELINE!CE7)-2025)+(MONTH(TIMELINE!CE7)-1)/12)        /12        *INDEX(Assumptions_Commercial!$B$22:$B$33,MONTH(TIMELINE!CE7))</f>
        <v/>
      </c>
      <c r="CJ5" s="31">
        <f>$D5        *(1+$E5)^((YEAR(TIMELINE!CF7)-2025)+(MONTH(TIMELINE!CF7)-1)/12)        /12        *INDEX(Assumptions_Commercial!$B$22:$B$33,MONTH(TIMELINE!CF7))</f>
        <v/>
      </c>
      <c r="CK5" s="31">
        <f>$D5        *(1+$E5)^((YEAR(TIMELINE!CG7)-2025)+(MONTH(TIMELINE!CG7)-1)/12)        /12        *INDEX(Assumptions_Commercial!$B$22:$B$33,MONTH(TIMELINE!CG7))</f>
        <v/>
      </c>
      <c r="CL5" s="31">
        <f>$D5        *(1+$E5)^((YEAR(TIMELINE!CH7)-2025)+(MONTH(TIMELINE!CH7)-1)/12)        /12        *INDEX(Assumptions_Commercial!$B$22:$B$33,MONTH(TIMELINE!CH7))</f>
        <v/>
      </c>
      <c r="CM5" s="31">
        <f>$D5        *(1+$E5)^((YEAR(TIMELINE!CI7)-2025)+(MONTH(TIMELINE!CI7)-1)/12)        /12        *INDEX(Assumptions_Commercial!$B$22:$B$33,MONTH(TIMELINE!CI7))</f>
        <v/>
      </c>
      <c r="CN5" s="31">
        <f>$D5        *(1+$E5)^((YEAR(TIMELINE!CJ7)-2025)+(MONTH(TIMELINE!CJ7)-1)/12)        /12        *INDEX(Assumptions_Commercial!$B$22:$B$33,MONTH(TIMELINE!CJ7))</f>
        <v/>
      </c>
      <c r="CO5" s="31">
        <f>$D5        *(1+$E5)^((YEAR(TIMELINE!CK7)-2025)+(MONTH(TIMELINE!CK7)-1)/12)        /12        *INDEX(Assumptions_Commercial!$B$22:$B$33,MONTH(TIMELINE!CK7))</f>
        <v/>
      </c>
      <c r="CP5" s="31">
        <f>$D5        *(1+$E5)^((YEAR(TIMELINE!CL7)-2025)+(MONTH(TIMELINE!CL7)-1)/12)        /12        *INDEX(Assumptions_Commercial!$B$22:$B$33,MONTH(TIMELINE!CL7))</f>
        <v/>
      </c>
      <c r="CQ5" s="31">
        <f>$D5        *(1+$E5)^((YEAR(TIMELINE!CM7)-2025)+(MONTH(TIMELINE!CM7)-1)/12)        /12        *INDEX(Assumptions_Commercial!$B$22:$B$33,MONTH(TIMELINE!CM7))</f>
        <v/>
      </c>
      <c r="CR5" s="31">
        <f>$D5        *(1+$E5)^((YEAR(TIMELINE!CN7)-2025)+(MONTH(TIMELINE!CN7)-1)/12)        /12        *INDEX(Assumptions_Commercial!$B$22:$B$33,MONTH(TIMELINE!CN7))</f>
        <v/>
      </c>
      <c r="CS5" s="31">
        <f>$D5        *(1+$E5)^((YEAR(TIMELINE!CO7)-2025)+(MONTH(TIMELINE!CO7)-1)/12)        /12        *INDEX(Assumptions_Commercial!$B$22:$B$33,MONTH(TIMELINE!CO7))</f>
        <v/>
      </c>
      <c r="CT5" s="31">
        <f>$D5        *(1+$E5)^((YEAR(TIMELINE!CP7)-2025)+(MONTH(TIMELINE!CP7)-1)/12)        /12        *INDEX(Assumptions_Commercial!$B$22:$B$33,MONTH(TIMELINE!CP7))</f>
        <v/>
      </c>
      <c r="CU5" s="31">
        <f>$D5        *(1+$E5)^((YEAR(TIMELINE!CQ7)-2025)+(MONTH(TIMELINE!CQ7)-1)/12)        /12        *INDEX(Assumptions_Commercial!$B$22:$B$33,MONTH(TIMELINE!CQ7))</f>
        <v/>
      </c>
      <c r="CV5" s="31">
        <f>$D5        *(1+$E5)^((YEAR(TIMELINE!CR7)-2025)+(MONTH(TIMELINE!CR7)-1)/12)        /12        *INDEX(Assumptions_Commercial!$B$22:$B$33,MONTH(TIMELINE!CR7))</f>
        <v/>
      </c>
      <c r="CW5" s="31">
        <f>$D5        *(1+$E5)^((YEAR(TIMELINE!CS7)-2025)+(MONTH(TIMELINE!CS7)-1)/12)        /12        *INDEX(Assumptions_Commercial!$B$22:$B$33,MONTH(TIMELINE!CS7))</f>
        <v/>
      </c>
      <c r="CX5" s="31">
        <f>$D5        *(1+$E5)^((YEAR(TIMELINE!CT7)-2025)+(MONTH(TIMELINE!CT7)-1)/12)        /12        *INDEX(Assumptions_Commercial!$B$22:$B$33,MONTH(TIMELINE!CT7))</f>
        <v/>
      </c>
      <c r="CY5" s="31">
        <f>$D5        *(1+$E5)^((YEAR(TIMELINE!CU7)-2025)+(MONTH(TIMELINE!CU7)-1)/12)        /12        *INDEX(Assumptions_Commercial!$B$22:$B$33,MONTH(TIMELINE!CU7))</f>
        <v/>
      </c>
      <c r="CZ5" s="31">
        <f>$D5        *(1+$E5)^((YEAR(TIMELINE!CV7)-2025)+(MONTH(TIMELINE!CV7)-1)/12)        /12        *INDEX(Assumptions_Commercial!$B$22:$B$33,MONTH(TIMELINE!CV7))</f>
        <v/>
      </c>
      <c r="DA5" s="31">
        <f>$D5        *(1+$E5)^((YEAR(TIMELINE!CW7)-2025)+(MONTH(TIMELINE!CW7)-1)/12)        /12        *INDEX(Assumptions_Commercial!$B$22:$B$33,MONTH(TIMELINE!CW7))</f>
        <v/>
      </c>
      <c r="DB5" s="31">
        <f>$D5        *(1+$E5)^((YEAR(TIMELINE!CX7)-2025)+(MONTH(TIMELINE!CX7)-1)/12)        /12        *INDEX(Assumptions_Commercial!$B$22:$B$33,MONTH(TIMELINE!CX7))</f>
        <v/>
      </c>
      <c r="DC5" s="31">
        <f>$D5        *(1+$E5)^((YEAR(TIMELINE!CY7)-2025)+(MONTH(TIMELINE!CY7)-1)/12)        /12        *INDEX(Assumptions_Commercial!$B$22:$B$33,MONTH(TIMELINE!CY7))</f>
        <v/>
      </c>
      <c r="DD5" s="31">
        <f>$D5        *(1+$E5)^((YEAR(TIMELINE!CZ7)-2025)+(MONTH(TIMELINE!CZ7)-1)/12)        /12        *INDEX(Assumptions_Commercial!$B$22:$B$33,MONTH(TIMELINE!CZ7))</f>
        <v/>
      </c>
      <c r="DE5" s="31">
        <f>$D5        *(1+$E5)^((YEAR(TIMELINE!DA7)-2025)+(MONTH(TIMELINE!DA7)-1)/12)        /12        *INDEX(Assumptions_Commercial!$B$22:$B$33,MONTH(TIMELINE!DA7))</f>
        <v/>
      </c>
      <c r="DF5" s="31">
        <f>$D5        *(1+$E5)^((YEAR(TIMELINE!DB7)-2025)+(MONTH(TIMELINE!DB7)-1)/12)        /12        *INDEX(Assumptions_Commercial!$B$22:$B$33,MONTH(TIMELINE!DB7))</f>
        <v/>
      </c>
      <c r="DG5" s="31">
        <f>$D5        *(1+$E5)^((YEAR(TIMELINE!DC7)-2025)+(MONTH(TIMELINE!DC7)-1)/12)        /12        *INDEX(Assumptions_Commercial!$B$22:$B$33,MONTH(TIMELINE!DC7))</f>
        <v/>
      </c>
      <c r="DH5" s="31">
        <f>$D5        *(1+$E5)^((YEAR(TIMELINE!DD7)-2025)+(MONTH(TIMELINE!DD7)-1)/12)        /12        *INDEX(Assumptions_Commercial!$B$22:$B$33,MONTH(TIMELINE!DD7))</f>
        <v/>
      </c>
      <c r="DI5" s="31">
        <f>$D5        *(1+$E5)^((YEAR(TIMELINE!DE7)-2025)+(MONTH(TIMELINE!DE7)-1)/12)        /12        *INDEX(Assumptions_Commercial!$B$22:$B$33,MONTH(TIMELINE!DE7))</f>
        <v/>
      </c>
      <c r="DJ5" s="31">
        <f>$D5        *(1+$E5)^((YEAR(TIMELINE!DF7)-2025)+(MONTH(TIMELINE!DF7)-1)/12)        /12        *INDEX(Assumptions_Commercial!$B$22:$B$33,MONTH(TIMELINE!DF7))</f>
        <v/>
      </c>
      <c r="DK5" s="31">
        <f>$D5        *(1+$E5)^((YEAR(TIMELINE!DG7)-2025)+(MONTH(TIMELINE!DG7)-1)/12)        /12        *INDEX(Assumptions_Commercial!$B$22:$B$33,MONTH(TIMELINE!DG7))</f>
        <v/>
      </c>
      <c r="DL5" s="31">
        <f>$D5        *(1+$E5)^((YEAR(TIMELINE!DH7)-2025)+(MONTH(TIMELINE!DH7)-1)/12)        /12        *INDEX(Assumptions_Commercial!$B$22:$B$33,MONTH(TIMELINE!DH7))</f>
        <v/>
      </c>
      <c r="DM5" s="31">
        <f>$D5        *(1+$E5)^((YEAR(TIMELINE!DI7)-2025)+(MONTH(TIMELINE!DI7)-1)/12)        /12        *INDEX(Assumptions_Commercial!$B$22:$B$33,MONTH(TIMELINE!DI7))</f>
        <v/>
      </c>
      <c r="DN5" s="31">
        <f>$D5        *(1+$E5)^((YEAR(TIMELINE!DJ7)-2025)+(MONTH(TIMELINE!DJ7)-1)/12)        /12        *INDEX(Assumptions_Commercial!$B$22:$B$33,MONTH(TIMELINE!DJ7))</f>
        <v/>
      </c>
      <c r="DO5" s="31">
        <f>$D5        *(1+$E5)^((YEAR(TIMELINE!DK7)-2025)+(MONTH(TIMELINE!DK7)-1)/12)        /12        *INDEX(Assumptions_Commercial!$B$22:$B$33,MONTH(TIMELINE!DK7))</f>
        <v/>
      </c>
      <c r="DP5" s="31">
        <f>$D5        *(1+$E5)^((YEAR(TIMELINE!DL7)-2025)+(MONTH(TIMELINE!DL7)-1)/12)        /12        *INDEX(Assumptions_Commercial!$B$22:$B$33,MONTH(TIMELINE!DL7))</f>
        <v/>
      </c>
      <c r="DQ5" s="31">
        <f>$D5        *(1+$E5)^((YEAR(TIMELINE!DM7)-2025)+(MONTH(TIMELINE!DM7)-1)/12)        /12        *INDEX(Assumptions_Commercial!$B$22:$B$33,MONTH(TIMELINE!DM7))</f>
        <v/>
      </c>
      <c r="DR5" s="31">
        <f>$D5        *(1+$E5)^((YEAR(TIMELINE!DN7)-2025)+(MONTH(TIMELINE!DN7)-1)/12)        /12        *INDEX(Assumptions_Commercial!$B$22:$B$33,MONTH(TIMELINE!DN7))</f>
        <v/>
      </c>
      <c r="DS5" s="31">
        <f>$D5        *(1+$E5)^((YEAR(TIMELINE!DO7)-2025)+(MONTH(TIMELINE!DO7)-1)/12)        /12        *INDEX(Assumptions_Commercial!$B$22:$B$33,MONTH(TIMELINE!DO7))</f>
        <v/>
      </c>
      <c r="DT5" s="31">
        <f>$D5        *(1+$E5)^((YEAR(TIMELINE!DP7)-2025)+(MONTH(TIMELINE!DP7)-1)/12)        /12        *INDEX(Assumptions_Commercial!$B$22:$B$33,MONTH(TIMELINE!DP7))</f>
        <v/>
      </c>
      <c r="DU5" s="31">
        <f>$D5        *(1+$E5)^((YEAR(TIMELINE!DQ7)-2025)+(MONTH(TIMELINE!DQ7)-1)/12)        /12        *INDEX(Assumptions_Commercial!$B$22:$B$33,MONTH(TIMELINE!DQ7))</f>
        <v/>
      </c>
    </row>
    <row r="6">
      <c r="A6" t="inlineStr">
        <is>
          <t>SKU-02</t>
        </is>
      </c>
      <c r="B6" t="inlineStr">
        <is>
          <t>Off-Trade</t>
        </is>
      </c>
      <c r="C6" t="inlineStr">
        <is>
          <t>AU</t>
        </is>
      </c>
      <c r="D6" s="14" t="n">
        <v>70000</v>
      </c>
      <c r="E6" s="30">
        <f>INDEX(Assumptions_Commercial!$B$5:$D$5,CONTROL!$B$5)</f>
        <v/>
      </c>
      <c r="F6" s="31">
        <f>$D6        *(1+$E6)^((YEAR(TIMELINE!B7)-2025)+(MONTH(TIMELINE!B7)-1)/12)        /12        *INDEX(Assumptions_Commercial!$B$22:$B$33,MONTH(TIMELINE!B7))</f>
        <v/>
      </c>
      <c r="G6" s="31">
        <f>$D6        *(1+$E6)^((YEAR(TIMELINE!C7)-2025)+(MONTH(TIMELINE!C7)-1)/12)        /12        *INDEX(Assumptions_Commercial!$B$22:$B$33,MONTH(TIMELINE!C7))</f>
        <v/>
      </c>
      <c r="H6" s="31">
        <f>$D6        *(1+$E6)^((YEAR(TIMELINE!D7)-2025)+(MONTH(TIMELINE!D7)-1)/12)        /12        *INDEX(Assumptions_Commercial!$B$22:$B$33,MONTH(TIMELINE!D7))</f>
        <v/>
      </c>
      <c r="I6" s="31">
        <f>$D6        *(1+$E6)^((YEAR(TIMELINE!E7)-2025)+(MONTH(TIMELINE!E7)-1)/12)        /12        *INDEX(Assumptions_Commercial!$B$22:$B$33,MONTH(TIMELINE!E7))</f>
        <v/>
      </c>
      <c r="J6" s="31">
        <f>$D6        *(1+$E6)^((YEAR(TIMELINE!F7)-2025)+(MONTH(TIMELINE!F7)-1)/12)        /12        *INDEX(Assumptions_Commercial!$B$22:$B$33,MONTH(TIMELINE!F7))</f>
        <v/>
      </c>
      <c r="K6" s="31">
        <f>$D6        *(1+$E6)^((YEAR(TIMELINE!G7)-2025)+(MONTH(TIMELINE!G7)-1)/12)        /12        *INDEX(Assumptions_Commercial!$B$22:$B$33,MONTH(TIMELINE!G7))</f>
        <v/>
      </c>
      <c r="L6" s="31">
        <f>$D6        *(1+$E6)^((YEAR(TIMELINE!H7)-2025)+(MONTH(TIMELINE!H7)-1)/12)        /12        *INDEX(Assumptions_Commercial!$B$22:$B$33,MONTH(TIMELINE!H7))</f>
        <v/>
      </c>
      <c r="M6" s="31">
        <f>$D6        *(1+$E6)^((YEAR(TIMELINE!I7)-2025)+(MONTH(TIMELINE!I7)-1)/12)        /12        *INDEX(Assumptions_Commercial!$B$22:$B$33,MONTH(TIMELINE!I7))</f>
        <v/>
      </c>
      <c r="N6" s="31">
        <f>$D6        *(1+$E6)^((YEAR(TIMELINE!J7)-2025)+(MONTH(TIMELINE!J7)-1)/12)        /12        *INDEX(Assumptions_Commercial!$B$22:$B$33,MONTH(TIMELINE!J7))</f>
        <v/>
      </c>
      <c r="O6" s="31">
        <f>$D6        *(1+$E6)^((YEAR(TIMELINE!K7)-2025)+(MONTH(TIMELINE!K7)-1)/12)        /12        *INDEX(Assumptions_Commercial!$B$22:$B$33,MONTH(TIMELINE!K7))</f>
        <v/>
      </c>
      <c r="P6" s="31">
        <f>$D6        *(1+$E6)^((YEAR(TIMELINE!L7)-2025)+(MONTH(TIMELINE!L7)-1)/12)        /12        *INDEX(Assumptions_Commercial!$B$22:$B$33,MONTH(TIMELINE!L7))</f>
        <v/>
      </c>
      <c r="Q6" s="31">
        <f>$D6        *(1+$E6)^((YEAR(TIMELINE!M7)-2025)+(MONTH(TIMELINE!M7)-1)/12)        /12        *INDEX(Assumptions_Commercial!$B$22:$B$33,MONTH(TIMELINE!M7))</f>
        <v/>
      </c>
      <c r="R6" s="31">
        <f>$D6        *(1+$E6)^((YEAR(TIMELINE!N7)-2025)+(MONTH(TIMELINE!N7)-1)/12)        /12        *INDEX(Assumptions_Commercial!$B$22:$B$33,MONTH(TIMELINE!N7))</f>
        <v/>
      </c>
      <c r="S6" s="31">
        <f>$D6        *(1+$E6)^((YEAR(TIMELINE!O7)-2025)+(MONTH(TIMELINE!O7)-1)/12)        /12        *INDEX(Assumptions_Commercial!$B$22:$B$33,MONTH(TIMELINE!O7))</f>
        <v/>
      </c>
      <c r="T6" s="31">
        <f>$D6        *(1+$E6)^((YEAR(TIMELINE!P7)-2025)+(MONTH(TIMELINE!P7)-1)/12)        /12        *INDEX(Assumptions_Commercial!$B$22:$B$33,MONTH(TIMELINE!P7))</f>
        <v/>
      </c>
      <c r="U6" s="31">
        <f>$D6        *(1+$E6)^((YEAR(TIMELINE!Q7)-2025)+(MONTH(TIMELINE!Q7)-1)/12)        /12        *INDEX(Assumptions_Commercial!$B$22:$B$33,MONTH(TIMELINE!Q7))</f>
        <v/>
      </c>
      <c r="V6" s="31">
        <f>$D6        *(1+$E6)^((YEAR(TIMELINE!R7)-2025)+(MONTH(TIMELINE!R7)-1)/12)        /12        *INDEX(Assumptions_Commercial!$B$22:$B$33,MONTH(TIMELINE!R7))</f>
        <v/>
      </c>
      <c r="W6" s="31">
        <f>$D6        *(1+$E6)^((YEAR(TIMELINE!S7)-2025)+(MONTH(TIMELINE!S7)-1)/12)        /12        *INDEX(Assumptions_Commercial!$B$22:$B$33,MONTH(TIMELINE!S7))</f>
        <v/>
      </c>
      <c r="X6" s="31">
        <f>$D6        *(1+$E6)^((YEAR(TIMELINE!T7)-2025)+(MONTH(TIMELINE!T7)-1)/12)        /12        *INDEX(Assumptions_Commercial!$B$22:$B$33,MONTH(TIMELINE!T7))</f>
        <v/>
      </c>
      <c r="Y6" s="31">
        <f>$D6        *(1+$E6)^((YEAR(TIMELINE!U7)-2025)+(MONTH(TIMELINE!U7)-1)/12)        /12        *INDEX(Assumptions_Commercial!$B$22:$B$33,MONTH(TIMELINE!U7))</f>
        <v/>
      </c>
      <c r="Z6" s="31">
        <f>$D6        *(1+$E6)^((YEAR(TIMELINE!V7)-2025)+(MONTH(TIMELINE!V7)-1)/12)        /12        *INDEX(Assumptions_Commercial!$B$22:$B$33,MONTH(TIMELINE!V7))</f>
        <v/>
      </c>
      <c r="AA6" s="31">
        <f>$D6        *(1+$E6)^((YEAR(TIMELINE!W7)-2025)+(MONTH(TIMELINE!W7)-1)/12)        /12        *INDEX(Assumptions_Commercial!$B$22:$B$33,MONTH(TIMELINE!W7))</f>
        <v/>
      </c>
      <c r="AB6" s="31">
        <f>$D6        *(1+$E6)^((YEAR(TIMELINE!X7)-2025)+(MONTH(TIMELINE!X7)-1)/12)        /12        *INDEX(Assumptions_Commercial!$B$22:$B$33,MONTH(TIMELINE!X7))</f>
        <v/>
      </c>
      <c r="AC6" s="31">
        <f>$D6        *(1+$E6)^((YEAR(TIMELINE!Y7)-2025)+(MONTH(TIMELINE!Y7)-1)/12)        /12        *INDEX(Assumptions_Commercial!$B$22:$B$33,MONTH(TIMELINE!Y7))</f>
        <v/>
      </c>
      <c r="AD6" s="31">
        <f>$D6        *(1+$E6)^((YEAR(TIMELINE!Z7)-2025)+(MONTH(TIMELINE!Z7)-1)/12)        /12        *INDEX(Assumptions_Commercial!$B$22:$B$33,MONTH(TIMELINE!Z7))</f>
        <v/>
      </c>
      <c r="AE6" s="31">
        <f>$D6        *(1+$E6)^((YEAR(TIMELINE!AA7)-2025)+(MONTH(TIMELINE!AA7)-1)/12)        /12        *INDEX(Assumptions_Commercial!$B$22:$B$33,MONTH(TIMELINE!AA7))</f>
        <v/>
      </c>
      <c r="AF6" s="31">
        <f>$D6        *(1+$E6)^((YEAR(TIMELINE!AB7)-2025)+(MONTH(TIMELINE!AB7)-1)/12)        /12        *INDEX(Assumptions_Commercial!$B$22:$B$33,MONTH(TIMELINE!AB7))</f>
        <v/>
      </c>
      <c r="AG6" s="31">
        <f>$D6        *(1+$E6)^((YEAR(TIMELINE!AC7)-2025)+(MONTH(TIMELINE!AC7)-1)/12)        /12        *INDEX(Assumptions_Commercial!$B$22:$B$33,MONTH(TIMELINE!AC7))</f>
        <v/>
      </c>
      <c r="AH6" s="31">
        <f>$D6        *(1+$E6)^((YEAR(TIMELINE!AD7)-2025)+(MONTH(TIMELINE!AD7)-1)/12)        /12        *INDEX(Assumptions_Commercial!$B$22:$B$33,MONTH(TIMELINE!AD7))</f>
        <v/>
      </c>
      <c r="AI6" s="31">
        <f>$D6        *(1+$E6)^((YEAR(TIMELINE!AE7)-2025)+(MONTH(TIMELINE!AE7)-1)/12)        /12        *INDEX(Assumptions_Commercial!$B$22:$B$33,MONTH(TIMELINE!AE7))</f>
        <v/>
      </c>
      <c r="AJ6" s="31">
        <f>$D6        *(1+$E6)^((YEAR(TIMELINE!AF7)-2025)+(MONTH(TIMELINE!AF7)-1)/12)        /12        *INDEX(Assumptions_Commercial!$B$22:$B$33,MONTH(TIMELINE!AF7))</f>
        <v/>
      </c>
      <c r="AK6" s="31">
        <f>$D6        *(1+$E6)^((YEAR(TIMELINE!AG7)-2025)+(MONTH(TIMELINE!AG7)-1)/12)        /12        *INDEX(Assumptions_Commercial!$B$22:$B$33,MONTH(TIMELINE!AG7))</f>
        <v/>
      </c>
      <c r="AL6" s="31">
        <f>$D6        *(1+$E6)^((YEAR(TIMELINE!AH7)-2025)+(MONTH(TIMELINE!AH7)-1)/12)        /12        *INDEX(Assumptions_Commercial!$B$22:$B$33,MONTH(TIMELINE!AH7))</f>
        <v/>
      </c>
      <c r="AM6" s="31">
        <f>$D6        *(1+$E6)^((YEAR(TIMELINE!AI7)-2025)+(MONTH(TIMELINE!AI7)-1)/12)        /12        *INDEX(Assumptions_Commercial!$B$22:$B$33,MONTH(TIMELINE!AI7))</f>
        <v/>
      </c>
      <c r="AN6" s="31">
        <f>$D6        *(1+$E6)^((YEAR(TIMELINE!AJ7)-2025)+(MONTH(TIMELINE!AJ7)-1)/12)        /12        *INDEX(Assumptions_Commercial!$B$22:$B$33,MONTH(TIMELINE!AJ7))</f>
        <v/>
      </c>
      <c r="AO6" s="31">
        <f>$D6        *(1+$E6)^((YEAR(TIMELINE!AK7)-2025)+(MONTH(TIMELINE!AK7)-1)/12)        /12        *INDEX(Assumptions_Commercial!$B$22:$B$33,MONTH(TIMELINE!AK7))</f>
        <v/>
      </c>
      <c r="AP6" s="31">
        <f>$D6        *(1+$E6)^((YEAR(TIMELINE!AL7)-2025)+(MONTH(TIMELINE!AL7)-1)/12)        /12        *INDEX(Assumptions_Commercial!$B$22:$B$33,MONTH(TIMELINE!AL7))</f>
        <v/>
      </c>
      <c r="AQ6" s="31">
        <f>$D6        *(1+$E6)^((YEAR(TIMELINE!AM7)-2025)+(MONTH(TIMELINE!AM7)-1)/12)        /12        *INDEX(Assumptions_Commercial!$B$22:$B$33,MONTH(TIMELINE!AM7))</f>
        <v/>
      </c>
      <c r="AR6" s="31">
        <f>$D6        *(1+$E6)^((YEAR(TIMELINE!AN7)-2025)+(MONTH(TIMELINE!AN7)-1)/12)        /12        *INDEX(Assumptions_Commercial!$B$22:$B$33,MONTH(TIMELINE!AN7))</f>
        <v/>
      </c>
      <c r="AS6" s="31">
        <f>$D6        *(1+$E6)^((YEAR(TIMELINE!AO7)-2025)+(MONTH(TIMELINE!AO7)-1)/12)        /12        *INDEX(Assumptions_Commercial!$B$22:$B$33,MONTH(TIMELINE!AO7))</f>
        <v/>
      </c>
      <c r="AT6" s="31">
        <f>$D6        *(1+$E6)^((YEAR(TIMELINE!AP7)-2025)+(MONTH(TIMELINE!AP7)-1)/12)        /12        *INDEX(Assumptions_Commercial!$B$22:$B$33,MONTH(TIMELINE!AP7))</f>
        <v/>
      </c>
      <c r="AU6" s="31">
        <f>$D6        *(1+$E6)^((YEAR(TIMELINE!AQ7)-2025)+(MONTH(TIMELINE!AQ7)-1)/12)        /12        *INDEX(Assumptions_Commercial!$B$22:$B$33,MONTH(TIMELINE!AQ7))</f>
        <v/>
      </c>
      <c r="AV6" s="31">
        <f>$D6        *(1+$E6)^((YEAR(TIMELINE!AR7)-2025)+(MONTH(TIMELINE!AR7)-1)/12)        /12        *INDEX(Assumptions_Commercial!$B$22:$B$33,MONTH(TIMELINE!AR7))</f>
        <v/>
      </c>
      <c r="AW6" s="31">
        <f>$D6        *(1+$E6)^((YEAR(TIMELINE!AS7)-2025)+(MONTH(TIMELINE!AS7)-1)/12)        /12        *INDEX(Assumptions_Commercial!$B$22:$B$33,MONTH(TIMELINE!AS7))</f>
        <v/>
      </c>
      <c r="AX6" s="31">
        <f>$D6        *(1+$E6)^((YEAR(TIMELINE!AT7)-2025)+(MONTH(TIMELINE!AT7)-1)/12)        /12        *INDEX(Assumptions_Commercial!$B$22:$B$33,MONTH(TIMELINE!AT7))</f>
        <v/>
      </c>
      <c r="AY6" s="31">
        <f>$D6        *(1+$E6)^((YEAR(TIMELINE!AU7)-2025)+(MONTH(TIMELINE!AU7)-1)/12)        /12        *INDEX(Assumptions_Commercial!$B$22:$B$33,MONTH(TIMELINE!AU7))</f>
        <v/>
      </c>
      <c r="AZ6" s="31">
        <f>$D6        *(1+$E6)^((YEAR(TIMELINE!AV7)-2025)+(MONTH(TIMELINE!AV7)-1)/12)        /12        *INDEX(Assumptions_Commercial!$B$22:$B$33,MONTH(TIMELINE!AV7))</f>
        <v/>
      </c>
      <c r="BA6" s="31">
        <f>$D6        *(1+$E6)^((YEAR(TIMELINE!AW7)-2025)+(MONTH(TIMELINE!AW7)-1)/12)        /12        *INDEX(Assumptions_Commercial!$B$22:$B$33,MONTH(TIMELINE!AW7))</f>
        <v/>
      </c>
      <c r="BB6" s="31">
        <f>$D6        *(1+$E6)^((YEAR(TIMELINE!AX7)-2025)+(MONTH(TIMELINE!AX7)-1)/12)        /12        *INDEX(Assumptions_Commercial!$B$22:$B$33,MONTH(TIMELINE!AX7))</f>
        <v/>
      </c>
      <c r="BC6" s="31">
        <f>$D6        *(1+$E6)^((YEAR(TIMELINE!AY7)-2025)+(MONTH(TIMELINE!AY7)-1)/12)        /12        *INDEX(Assumptions_Commercial!$B$22:$B$33,MONTH(TIMELINE!AY7))</f>
        <v/>
      </c>
      <c r="BD6" s="31">
        <f>$D6        *(1+$E6)^((YEAR(TIMELINE!AZ7)-2025)+(MONTH(TIMELINE!AZ7)-1)/12)        /12        *INDEX(Assumptions_Commercial!$B$22:$B$33,MONTH(TIMELINE!AZ7))</f>
        <v/>
      </c>
      <c r="BE6" s="31">
        <f>$D6        *(1+$E6)^((YEAR(TIMELINE!BA7)-2025)+(MONTH(TIMELINE!BA7)-1)/12)        /12        *INDEX(Assumptions_Commercial!$B$22:$B$33,MONTH(TIMELINE!BA7))</f>
        <v/>
      </c>
      <c r="BF6" s="31">
        <f>$D6        *(1+$E6)^((YEAR(TIMELINE!BB7)-2025)+(MONTH(TIMELINE!BB7)-1)/12)        /12        *INDEX(Assumptions_Commercial!$B$22:$B$33,MONTH(TIMELINE!BB7))</f>
        <v/>
      </c>
      <c r="BG6" s="31">
        <f>$D6        *(1+$E6)^((YEAR(TIMELINE!BC7)-2025)+(MONTH(TIMELINE!BC7)-1)/12)        /12        *INDEX(Assumptions_Commercial!$B$22:$B$33,MONTH(TIMELINE!BC7))</f>
        <v/>
      </c>
      <c r="BH6" s="31">
        <f>$D6        *(1+$E6)^((YEAR(TIMELINE!BD7)-2025)+(MONTH(TIMELINE!BD7)-1)/12)        /12        *INDEX(Assumptions_Commercial!$B$22:$B$33,MONTH(TIMELINE!BD7))</f>
        <v/>
      </c>
      <c r="BI6" s="31">
        <f>$D6        *(1+$E6)^((YEAR(TIMELINE!BE7)-2025)+(MONTH(TIMELINE!BE7)-1)/12)        /12        *INDEX(Assumptions_Commercial!$B$22:$B$33,MONTH(TIMELINE!BE7))</f>
        <v/>
      </c>
      <c r="BJ6" s="31">
        <f>$D6        *(1+$E6)^((YEAR(TIMELINE!BF7)-2025)+(MONTH(TIMELINE!BF7)-1)/12)        /12        *INDEX(Assumptions_Commercial!$B$22:$B$33,MONTH(TIMELINE!BF7))</f>
        <v/>
      </c>
      <c r="BK6" s="31">
        <f>$D6        *(1+$E6)^((YEAR(TIMELINE!BG7)-2025)+(MONTH(TIMELINE!BG7)-1)/12)        /12        *INDEX(Assumptions_Commercial!$B$22:$B$33,MONTH(TIMELINE!BG7))</f>
        <v/>
      </c>
      <c r="BL6" s="31">
        <f>$D6        *(1+$E6)^((YEAR(TIMELINE!BH7)-2025)+(MONTH(TIMELINE!BH7)-1)/12)        /12        *INDEX(Assumptions_Commercial!$B$22:$B$33,MONTH(TIMELINE!BH7))</f>
        <v/>
      </c>
      <c r="BM6" s="31">
        <f>$D6        *(1+$E6)^((YEAR(TIMELINE!BI7)-2025)+(MONTH(TIMELINE!BI7)-1)/12)        /12        *INDEX(Assumptions_Commercial!$B$22:$B$33,MONTH(TIMELINE!BI7))</f>
        <v/>
      </c>
      <c r="BN6" s="31">
        <f>$D6        *(1+$E6)^((YEAR(TIMELINE!BJ7)-2025)+(MONTH(TIMELINE!BJ7)-1)/12)        /12        *INDEX(Assumptions_Commercial!$B$22:$B$33,MONTH(TIMELINE!BJ7))</f>
        <v/>
      </c>
      <c r="BO6" s="31">
        <f>$D6        *(1+$E6)^((YEAR(TIMELINE!BK7)-2025)+(MONTH(TIMELINE!BK7)-1)/12)        /12        *INDEX(Assumptions_Commercial!$B$22:$B$33,MONTH(TIMELINE!BK7))</f>
        <v/>
      </c>
      <c r="BP6" s="31">
        <f>$D6        *(1+$E6)^((YEAR(TIMELINE!BL7)-2025)+(MONTH(TIMELINE!BL7)-1)/12)        /12        *INDEX(Assumptions_Commercial!$B$22:$B$33,MONTH(TIMELINE!BL7))</f>
        <v/>
      </c>
      <c r="BQ6" s="31">
        <f>$D6        *(1+$E6)^((YEAR(TIMELINE!BM7)-2025)+(MONTH(TIMELINE!BM7)-1)/12)        /12        *INDEX(Assumptions_Commercial!$B$22:$B$33,MONTH(TIMELINE!BM7))</f>
        <v/>
      </c>
      <c r="BR6" s="31">
        <f>$D6        *(1+$E6)^((YEAR(TIMELINE!BN7)-2025)+(MONTH(TIMELINE!BN7)-1)/12)        /12        *INDEX(Assumptions_Commercial!$B$22:$B$33,MONTH(TIMELINE!BN7))</f>
        <v/>
      </c>
      <c r="BS6" s="31">
        <f>$D6        *(1+$E6)^((YEAR(TIMELINE!BO7)-2025)+(MONTH(TIMELINE!BO7)-1)/12)        /12        *INDEX(Assumptions_Commercial!$B$22:$B$33,MONTH(TIMELINE!BO7))</f>
        <v/>
      </c>
      <c r="BT6" s="31">
        <f>$D6        *(1+$E6)^((YEAR(TIMELINE!BP7)-2025)+(MONTH(TIMELINE!BP7)-1)/12)        /12        *INDEX(Assumptions_Commercial!$B$22:$B$33,MONTH(TIMELINE!BP7))</f>
        <v/>
      </c>
      <c r="BU6" s="31">
        <f>$D6        *(1+$E6)^((YEAR(TIMELINE!BQ7)-2025)+(MONTH(TIMELINE!BQ7)-1)/12)        /12        *INDEX(Assumptions_Commercial!$B$22:$B$33,MONTH(TIMELINE!BQ7))</f>
        <v/>
      </c>
      <c r="BV6" s="31">
        <f>$D6        *(1+$E6)^((YEAR(TIMELINE!BR7)-2025)+(MONTH(TIMELINE!BR7)-1)/12)        /12        *INDEX(Assumptions_Commercial!$B$22:$B$33,MONTH(TIMELINE!BR7))</f>
        <v/>
      </c>
      <c r="BW6" s="31">
        <f>$D6        *(1+$E6)^((YEAR(TIMELINE!BS7)-2025)+(MONTH(TIMELINE!BS7)-1)/12)        /12        *INDEX(Assumptions_Commercial!$B$22:$B$33,MONTH(TIMELINE!BS7))</f>
        <v/>
      </c>
      <c r="BX6" s="31">
        <f>$D6        *(1+$E6)^((YEAR(TIMELINE!BT7)-2025)+(MONTH(TIMELINE!BT7)-1)/12)        /12        *INDEX(Assumptions_Commercial!$B$22:$B$33,MONTH(TIMELINE!BT7))</f>
        <v/>
      </c>
      <c r="BY6" s="31">
        <f>$D6        *(1+$E6)^((YEAR(TIMELINE!BU7)-2025)+(MONTH(TIMELINE!BU7)-1)/12)        /12        *INDEX(Assumptions_Commercial!$B$22:$B$33,MONTH(TIMELINE!BU7))</f>
        <v/>
      </c>
      <c r="BZ6" s="31">
        <f>$D6        *(1+$E6)^((YEAR(TIMELINE!BV7)-2025)+(MONTH(TIMELINE!BV7)-1)/12)        /12        *INDEX(Assumptions_Commercial!$B$22:$B$33,MONTH(TIMELINE!BV7))</f>
        <v/>
      </c>
      <c r="CA6" s="31">
        <f>$D6        *(1+$E6)^((YEAR(TIMELINE!BW7)-2025)+(MONTH(TIMELINE!BW7)-1)/12)        /12        *INDEX(Assumptions_Commercial!$B$22:$B$33,MONTH(TIMELINE!BW7))</f>
        <v/>
      </c>
      <c r="CB6" s="31">
        <f>$D6        *(1+$E6)^((YEAR(TIMELINE!BX7)-2025)+(MONTH(TIMELINE!BX7)-1)/12)        /12        *INDEX(Assumptions_Commercial!$B$22:$B$33,MONTH(TIMELINE!BX7))</f>
        <v/>
      </c>
      <c r="CC6" s="31">
        <f>$D6        *(1+$E6)^((YEAR(TIMELINE!BY7)-2025)+(MONTH(TIMELINE!BY7)-1)/12)        /12        *INDEX(Assumptions_Commercial!$B$22:$B$33,MONTH(TIMELINE!BY7))</f>
        <v/>
      </c>
      <c r="CD6" s="31">
        <f>$D6        *(1+$E6)^((YEAR(TIMELINE!BZ7)-2025)+(MONTH(TIMELINE!BZ7)-1)/12)        /12        *INDEX(Assumptions_Commercial!$B$22:$B$33,MONTH(TIMELINE!BZ7))</f>
        <v/>
      </c>
      <c r="CE6" s="31">
        <f>$D6        *(1+$E6)^((YEAR(TIMELINE!CA7)-2025)+(MONTH(TIMELINE!CA7)-1)/12)        /12        *INDEX(Assumptions_Commercial!$B$22:$B$33,MONTH(TIMELINE!CA7))</f>
        <v/>
      </c>
      <c r="CF6" s="31">
        <f>$D6        *(1+$E6)^((YEAR(TIMELINE!CB7)-2025)+(MONTH(TIMELINE!CB7)-1)/12)        /12        *INDEX(Assumptions_Commercial!$B$22:$B$33,MONTH(TIMELINE!CB7))</f>
        <v/>
      </c>
      <c r="CG6" s="31">
        <f>$D6        *(1+$E6)^((YEAR(TIMELINE!CC7)-2025)+(MONTH(TIMELINE!CC7)-1)/12)        /12        *INDEX(Assumptions_Commercial!$B$22:$B$33,MONTH(TIMELINE!CC7))</f>
        <v/>
      </c>
      <c r="CH6" s="31">
        <f>$D6        *(1+$E6)^((YEAR(TIMELINE!CD7)-2025)+(MONTH(TIMELINE!CD7)-1)/12)        /12        *INDEX(Assumptions_Commercial!$B$22:$B$33,MONTH(TIMELINE!CD7))</f>
        <v/>
      </c>
      <c r="CI6" s="31">
        <f>$D6        *(1+$E6)^((YEAR(TIMELINE!CE7)-2025)+(MONTH(TIMELINE!CE7)-1)/12)        /12        *INDEX(Assumptions_Commercial!$B$22:$B$33,MONTH(TIMELINE!CE7))</f>
        <v/>
      </c>
      <c r="CJ6" s="31">
        <f>$D6        *(1+$E6)^((YEAR(TIMELINE!CF7)-2025)+(MONTH(TIMELINE!CF7)-1)/12)        /12        *INDEX(Assumptions_Commercial!$B$22:$B$33,MONTH(TIMELINE!CF7))</f>
        <v/>
      </c>
      <c r="CK6" s="31">
        <f>$D6        *(1+$E6)^((YEAR(TIMELINE!CG7)-2025)+(MONTH(TIMELINE!CG7)-1)/12)        /12        *INDEX(Assumptions_Commercial!$B$22:$B$33,MONTH(TIMELINE!CG7))</f>
        <v/>
      </c>
      <c r="CL6" s="31">
        <f>$D6        *(1+$E6)^((YEAR(TIMELINE!CH7)-2025)+(MONTH(TIMELINE!CH7)-1)/12)        /12        *INDEX(Assumptions_Commercial!$B$22:$B$33,MONTH(TIMELINE!CH7))</f>
        <v/>
      </c>
      <c r="CM6" s="31">
        <f>$D6        *(1+$E6)^((YEAR(TIMELINE!CI7)-2025)+(MONTH(TIMELINE!CI7)-1)/12)        /12        *INDEX(Assumptions_Commercial!$B$22:$B$33,MONTH(TIMELINE!CI7))</f>
        <v/>
      </c>
      <c r="CN6" s="31">
        <f>$D6        *(1+$E6)^((YEAR(TIMELINE!CJ7)-2025)+(MONTH(TIMELINE!CJ7)-1)/12)        /12        *INDEX(Assumptions_Commercial!$B$22:$B$33,MONTH(TIMELINE!CJ7))</f>
        <v/>
      </c>
      <c r="CO6" s="31">
        <f>$D6        *(1+$E6)^((YEAR(TIMELINE!CK7)-2025)+(MONTH(TIMELINE!CK7)-1)/12)        /12        *INDEX(Assumptions_Commercial!$B$22:$B$33,MONTH(TIMELINE!CK7))</f>
        <v/>
      </c>
      <c r="CP6" s="31">
        <f>$D6        *(1+$E6)^((YEAR(TIMELINE!CL7)-2025)+(MONTH(TIMELINE!CL7)-1)/12)        /12        *INDEX(Assumptions_Commercial!$B$22:$B$33,MONTH(TIMELINE!CL7))</f>
        <v/>
      </c>
      <c r="CQ6" s="31">
        <f>$D6        *(1+$E6)^((YEAR(TIMELINE!CM7)-2025)+(MONTH(TIMELINE!CM7)-1)/12)        /12        *INDEX(Assumptions_Commercial!$B$22:$B$33,MONTH(TIMELINE!CM7))</f>
        <v/>
      </c>
      <c r="CR6" s="31">
        <f>$D6        *(1+$E6)^((YEAR(TIMELINE!CN7)-2025)+(MONTH(TIMELINE!CN7)-1)/12)        /12        *INDEX(Assumptions_Commercial!$B$22:$B$33,MONTH(TIMELINE!CN7))</f>
        <v/>
      </c>
      <c r="CS6" s="31">
        <f>$D6        *(1+$E6)^((YEAR(TIMELINE!CO7)-2025)+(MONTH(TIMELINE!CO7)-1)/12)        /12        *INDEX(Assumptions_Commercial!$B$22:$B$33,MONTH(TIMELINE!CO7))</f>
        <v/>
      </c>
      <c r="CT6" s="31">
        <f>$D6        *(1+$E6)^((YEAR(TIMELINE!CP7)-2025)+(MONTH(TIMELINE!CP7)-1)/12)        /12        *INDEX(Assumptions_Commercial!$B$22:$B$33,MONTH(TIMELINE!CP7))</f>
        <v/>
      </c>
      <c r="CU6" s="31">
        <f>$D6        *(1+$E6)^((YEAR(TIMELINE!CQ7)-2025)+(MONTH(TIMELINE!CQ7)-1)/12)        /12        *INDEX(Assumptions_Commercial!$B$22:$B$33,MONTH(TIMELINE!CQ7))</f>
        <v/>
      </c>
      <c r="CV6" s="31">
        <f>$D6        *(1+$E6)^((YEAR(TIMELINE!CR7)-2025)+(MONTH(TIMELINE!CR7)-1)/12)        /12        *INDEX(Assumptions_Commercial!$B$22:$B$33,MONTH(TIMELINE!CR7))</f>
        <v/>
      </c>
      <c r="CW6" s="31">
        <f>$D6        *(1+$E6)^((YEAR(TIMELINE!CS7)-2025)+(MONTH(TIMELINE!CS7)-1)/12)        /12        *INDEX(Assumptions_Commercial!$B$22:$B$33,MONTH(TIMELINE!CS7))</f>
        <v/>
      </c>
      <c r="CX6" s="31">
        <f>$D6        *(1+$E6)^((YEAR(TIMELINE!CT7)-2025)+(MONTH(TIMELINE!CT7)-1)/12)        /12        *INDEX(Assumptions_Commercial!$B$22:$B$33,MONTH(TIMELINE!CT7))</f>
        <v/>
      </c>
      <c r="CY6" s="31">
        <f>$D6        *(1+$E6)^((YEAR(TIMELINE!CU7)-2025)+(MONTH(TIMELINE!CU7)-1)/12)        /12        *INDEX(Assumptions_Commercial!$B$22:$B$33,MONTH(TIMELINE!CU7))</f>
        <v/>
      </c>
      <c r="CZ6" s="31">
        <f>$D6        *(1+$E6)^((YEAR(TIMELINE!CV7)-2025)+(MONTH(TIMELINE!CV7)-1)/12)        /12        *INDEX(Assumptions_Commercial!$B$22:$B$33,MONTH(TIMELINE!CV7))</f>
        <v/>
      </c>
      <c r="DA6" s="31">
        <f>$D6        *(1+$E6)^((YEAR(TIMELINE!CW7)-2025)+(MONTH(TIMELINE!CW7)-1)/12)        /12        *INDEX(Assumptions_Commercial!$B$22:$B$33,MONTH(TIMELINE!CW7))</f>
        <v/>
      </c>
      <c r="DB6" s="31">
        <f>$D6        *(1+$E6)^((YEAR(TIMELINE!CX7)-2025)+(MONTH(TIMELINE!CX7)-1)/12)        /12        *INDEX(Assumptions_Commercial!$B$22:$B$33,MONTH(TIMELINE!CX7))</f>
        <v/>
      </c>
      <c r="DC6" s="31">
        <f>$D6        *(1+$E6)^((YEAR(TIMELINE!CY7)-2025)+(MONTH(TIMELINE!CY7)-1)/12)        /12        *INDEX(Assumptions_Commercial!$B$22:$B$33,MONTH(TIMELINE!CY7))</f>
        <v/>
      </c>
      <c r="DD6" s="31">
        <f>$D6        *(1+$E6)^((YEAR(TIMELINE!CZ7)-2025)+(MONTH(TIMELINE!CZ7)-1)/12)        /12        *INDEX(Assumptions_Commercial!$B$22:$B$33,MONTH(TIMELINE!CZ7))</f>
        <v/>
      </c>
      <c r="DE6" s="31">
        <f>$D6        *(1+$E6)^((YEAR(TIMELINE!DA7)-2025)+(MONTH(TIMELINE!DA7)-1)/12)        /12        *INDEX(Assumptions_Commercial!$B$22:$B$33,MONTH(TIMELINE!DA7))</f>
        <v/>
      </c>
      <c r="DF6" s="31">
        <f>$D6        *(1+$E6)^((YEAR(TIMELINE!DB7)-2025)+(MONTH(TIMELINE!DB7)-1)/12)        /12        *INDEX(Assumptions_Commercial!$B$22:$B$33,MONTH(TIMELINE!DB7))</f>
        <v/>
      </c>
      <c r="DG6" s="31">
        <f>$D6        *(1+$E6)^((YEAR(TIMELINE!DC7)-2025)+(MONTH(TIMELINE!DC7)-1)/12)        /12        *INDEX(Assumptions_Commercial!$B$22:$B$33,MONTH(TIMELINE!DC7))</f>
        <v/>
      </c>
      <c r="DH6" s="31">
        <f>$D6        *(1+$E6)^((YEAR(TIMELINE!DD7)-2025)+(MONTH(TIMELINE!DD7)-1)/12)        /12        *INDEX(Assumptions_Commercial!$B$22:$B$33,MONTH(TIMELINE!DD7))</f>
        <v/>
      </c>
      <c r="DI6" s="31">
        <f>$D6        *(1+$E6)^((YEAR(TIMELINE!DE7)-2025)+(MONTH(TIMELINE!DE7)-1)/12)        /12        *INDEX(Assumptions_Commercial!$B$22:$B$33,MONTH(TIMELINE!DE7))</f>
        <v/>
      </c>
      <c r="DJ6" s="31">
        <f>$D6        *(1+$E6)^((YEAR(TIMELINE!DF7)-2025)+(MONTH(TIMELINE!DF7)-1)/12)        /12        *INDEX(Assumptions_Commercial!$B$22:$B$33,MONTH(TIMELINE!DF7))</f>
        <v/>
      </c>
      <c r="DK6" s="31">
        <f>$D6        *(1+$E6)^((YEAR(TIMELINE!DG7)-2025)+(MONTH(TIMELINE!DG7)-1)/12)        /12        *INDEX(Assumptions_Commercial!$B$22:$B$33,MONTH(TIMELINE!DG7))</f>
        <v/>
      </c>
      <c r="DL6" s="31">
        <f>$D6        *(1+$E6)^((YEAR(TIMELINE!DH7)-2025)+(MONTH(TIMELINE!DH7)-1)/12)        /12        *INDEX(Assumptions_Commercial!$B$22:$B$33,MONTH(TIMELINE!DH7))</f>
        <v/>
      </c>
      <c r="DM6" s="31">
        <f>$D6        *(1+$E6)^((YEAR(TIMELINE!DI7)-2025)+(MONTH(TIMELINE!DI7)-1)/12)        /12        *INDEX(Assumptions_Commercial!$B$22:$B$33,MONTH(TIMELINE!DI7))</f>
        <v/>
      </c>
      <c r="DN6" s="31">
        <f>$D6        *(1+$E6)^((YEAR(TIMELINE!DJ7)-2025)+(MONTH(TIMELINE!DJ7)-1)/12)        /12        *INDEX(Assumptions_Commercial!$B$22:$B$33,MONTH(TIMELINE!DJ7))</f>
        <v/>
      </c>
      <c r="DO6" s="31">
        <f>$D6        *(1+$E6)^((YEAR(TIMELINE!DK7)-2025)+(MONTH(TIMELINE!DK7)-1)/12)        /12        *INDEX(Assumptions_Commercial!$B$22:$B$33,MONTH(TIMELINE!DK7))</f>
        <v/>
      </c>
      <c r="DP6" s="31">
        <f>$D6        *(1+$E6)^((YEAR(TIMELINE!DL7)-2025)+(MONTH(TIMELINE!DL7)-1)/12)        /12        *INDEX(Assumptions_Commercial!$B$22:$B$33,MONTH(TIMELINE!DL7))</f>
        <v/>
      </c>
      <c r="DQ6" s="31">
        <f>$D6        *(1+$E6)^((YEAR(TIMELINE!DM7)-2025)+(MONTH(TIMELINE!DM7)-1)/12)        /12        *INDEX(Assumptions_Commercial!$B$22:$B$33,MONTH(TIMELINE!DM7))</f>
        <v/>
      </c>
      <c r="DR6" s="31">
        <f>$D6        *(1+$E6)^((YEAR(TIMELINE!DN7)-2025)+(MONTH(TIMELINE!DN7)-1)/12)        /12        *INDEX(Assumptions_Commercial!$B$22:$B$33,MONTH(TIMELINE!DN7))</f>
        <v/>
      </c>
      <c r="DS6" s="31">
        <f>$D6        *(1+$E6)^((YEAR(TIMELINE!DO7)-2025)+(MONTH(TIMELINE!DO7)-1)/12)        /12        *INDEX(Assumptions_Commercial!$B$22:$B$33,MONTH(TIMELINE!DO7))</f>
        <v/>
      </c>
      <c r="DT6" s="31">
        <f>$D6        *(1+$E6)^((YEAR(TIMELINE!DP7)-2025)+(MONTH(TIMELINE!DP7)-1)/12)        /12        *INDEX(Assumptions_Commercial!$B$22:$B$33,MONTH(TIMELINE!DP7))</f>
        <v/>
      </c>
      <c r="DU6" s="31">
        <f>$D6        *(1+$E6)^((YEAR(TIMELINE!DQ7)-2025)+(MONTH(TIMELINE!DQ7)-1)/12)        /12        *INDEX(Assumptions_Commercial!$B$22:$B$33,MONTH(TIMELINE!DQ7))</f>
        <v/>
      </c>
    </row>
    <row r="7">
      <c r="A7" t="inlineStr">
        <is>
          <t>SKU-03</t>
        </is>
      </c>
      <c r="B7" t="inlineStr">
        <is>
          <t>On-Trade</t>
        </is>
      </c>
      <c r="C7" t="inlineStr">
        <is>
          <t>AU</t>
        </is>
      </c>
      <c r="D7" s="14" t="n">
        <v>95000</v>
      </c>
      <c r="E7" s="30">
        <f>INDEX(Assumptions_Commercial!$B$5:$D$5,CONTROL!$B$5)</f>
        <v/>
      </c>
      <c r="F7" s="31">
        <f>$D7        *(1+$E7)^((YEAR(TIMELINE!B7)-2025)+(MONTH(TIMELINE!B7)-1)/12)        /12        *INDEX(Assumptions_Commercial!$B$22:$B$33,MONTH(TIMELINE!B7))</f>
        <v/>
      </c>
      <c r="G7" s="31">
        <f>$D7        *(1+$E7)^((YEAR(TIMELINE!C7)-2025)+(MONTH(TIMELINE!C7)-1)/12)        /12        *INDEX(Assumptions_Commercial!$B$22:$B$33,MONTH(TIMELINE!C7))</f>
        <v/>
      </c>
      <c r="H7" s="31">
        <f>$D7        *(1+$E7)^((YEAR(TIMELINE!D7)-2025)+(MONTH(TIMELINE!D7)-1)/12)        /12        *INDEX(Assumptions_Commercial!$B$22:$B$33,MONTH(TIMELINE!D7))</f>
        <v/>
      </c>
      <c r="I7" s="31">
        <f>$D7        *(1+$E7)^((YEAR(TIMELINE!E7)-2025)+(MONTH(TIMELINE!E7)-1)/12)        /12        *INDEX(Assumptions_Commercial!$B$22:$B$33,MONTH(TIMELINE!E7))</f>
        <v/>
      </c>
      <c r="J7" s="31">
        <f>$D7        *(1+$E7)^((YEAR(TIMELINE!F7)-2025)+(MONTH(TIMELINE!F7)-1)/12)        /12        *INDEX(Assumptions_Commercial!$B$22:$B$33,MONTH(TIMELINE!F7))</f>
        <v/>
      </c>
      <c r="K7" s="31">
        <f>$D7        *(1+$E7)^((YEAR(TIMELINE!G7)-2025)+(MONTH(TIMELINE!G7)-1)/12)        /12        *INDEX(Assumptions_Commercial!$B$22:$B$33,MONTH(TIMELINE!G7))</f>
        <v/>
      </c>
      <c r="L7" s="31">
        <f>$D7        *(1+$E7)^((YEAR(TIMELINE!H7)-2025)+(MONTH(TIMELINE!H7)-1)/12)        /12        *INDEX(Assumptions_Commercial!$B$22:$B$33,MONTH(TIMELINE!H7))</f>
        <v/>
      </c>
      <c r="M7" s="31">
        <f>$D7        *(1+$E7)^((YEAR(TIMELINE!I7)-2025)+(MONTH(TIMELINE!I7)-1)/12)        /12        *INDEX(Assumptions_Commercial!$B$22:$B$33,MONTH(TIMELINE!I7))</f>
        <v/>
      </c>
      <c r="N7" s="31">
        <f>$D7        *(1+$E7)^((YEAR(TIMELINE!J7)-2025)+(MONTH(TIMELINE!J7)-1)/12)        /12        *INDEX(Assumptions_Commercial!$B$22:$B$33,MONTH(TIMELINE!J7))</f>
        <v/>
      </c>
      <c r="O7" s="31">
        <f>$D7        *(1+$E7)^((YEAR(TIMELINE!K7)-2025)+(MONTH(TIMELINE!K7)-1)/12)        /12        *INDEX(Assumptions_Commercial!$B$22:$B$33,MONTH(TIMELINE!K7))</f>
        <v/>
      </c>
      <c r="P7" s="31">
        <f>$D7        *(1+$E7)^((YEAR(TIMELINE!L7)-2025)+(MONTH(TIMELINE!L7)-1)/12)        /12        *INDEX(Assumptions_Commercial!$B$22:$B$33,MONTH(TIMELINE!L7))</f>
        <v/>
      </c>
      <c r="Q7" s="31">
        <f>$D7        *(1+$E7)^((YEAR(TIMELINE!M7)-2025)+(MONTH(TIMELINE!M7)-1)/12)        /12        *INDEX(Assumptions_Commercial!$B$22:$B$33,MONTH(TIMELINE!M7))</f>
        <v/>
      </c>
      <c r="R7" s="31">
        <f>$D7        *(1+$E7)^((YEAR(TIMELINE!N7)-2025)+(MONTH(TIMELINE!N7)-1)/12)        /12        *INDEX(Assumptions_Commercial!$B$22:$B$33,MONTH(TIMELINE!N7))</f>
        <v/>
      </c>
      <c r="S7" s="31">
        <f>$D7        *(1+$E7)^((YEAR(TIMELINE!O7)-2025)+(MONTH(TIMELINE!O7)-1)/12)        /12        *INDEX(Assumptions_Commercial!$B$22:$B$33,MONTH(TIMELINE!O7))</f>
        <v/>
      </c>
      <c r="T7" s="31">
        <f>$D7        *(1+$E7)^((YEAR(TIMELINE!P7)-2025)+(MONTH(TIMELINE!P7)-1)/12)        /12        *INDEX(Assumptions_Commercial!$B$22:$B$33,MONTH(TIMELINE!P7))</f>
        <v/>
      </c>
      <c r="U7" s="31">
        <f>$D7        *(1+$E7)^((YEAR(TIMELINE!Q7)-2025)+(MONTH(TIMELINE!Q7)-1)/12)        /12        *INDEX(Assumptions_Commercial!$B$22:$B$33,MONTH(TIMELINE!Q7))</f>
        <v/>
      </c>
      <c r="V7" s="31">
        <f>$D7        *(1+$E7)^((YEAR(TIMELINE!R7)-2025)+(MONTH(TIMELINE!R7)-1)/12)        /12        *INDEX(Assumptions_Commercial!$B$22:$B$33,MONTH(TIMELINE!R7))</f>
        <v/>
      </c>
      <c r="W7" s="31">
        <f>$D7        *(1+$E7)^((YEAR(TIMELINE!S7)-2025)+(MONTH(TIMELINE!S7)-1)/12)        /12        *INDEX(Assumptions_Commercial!$B$22:$B$33,MONTH(TIMELINE!S7))</f>
        <v/>
      </c>
      <c r="X7" s="31">
        <f>$D7        *(1+$E7)^((YEAR(TIMELINE!T7)-2025)+(MONTH(TIMELINE!T7)-1)/12)        /12        *INDEX(Assumptions_Commercial!$B$22:$B$33,MONTH(TIMELINE!T7))</f>
        <v/>
      </c>
      <c r="Y7" s="31">
        <f>$D7        *(1+$E7)^((YEAR(TIMELINE!U7)-2025)+(MONTH(TIMELINE!U7)-1)/12)        /12        *INDEX(Assumptions_Commercial!$B$22:$B$33,MONTH(TIMELINE!U7))</f>
        <v/>
      </c>
      <c r="Z7" s="31">
        <f>$D7        *(1+$E7)^((YEAR(TIMELINE!V7)-2025)+(MONTH(TIMELINE!V7)-1)/12)        /12        *INDEX(Assumptions_Commercial!$B$22:$B$33,MONTH(TIMELINE!V7))</f>
        <v/>
      </c>
      <c r="AA7" s="31">
        <f>$D7        *(1+$E7)^((YEAR(TIMELINE!W7)-2025)+(MONTH(TIMELINE!W7)-1)/12)        /12        *INDEX(Assumptions_Commercial!$B$22:$B$33,MONTH(TIMELINE!W7))</f>
        <v/>
      </c>
      <c r="AB7" s="31">
        <f>$D7        *(1+$E7)^((YEAR(TIMELINE!X7)-2025)+(MONTH(TIMELINE!X7)-1)/12)        /12        *INDEX(Assumptions_Commercial!$B$22:$B$33,MONTH(TIMELINE!X7))</f>
        <v/>
      </c>
      <c r="AC7" s="31">
        <f>$D7        *(1+$E7)^((YEAR(TIMELINE!Y7)-2025)+(MONTH(TIMELINE!Y7)-1)/12)        /12        *INDEX(Assumptions_Commercial!$B$22:$B$33,MONTH(TIMELINE!Y7))</f>
        <v/>
      </c>
      <c r="AD7" s="31">
        <f>$D7        *(1+$E7)^((YEAR(TIMELINE!Z7)-2025)+(MONTH(TIMELINE!Z7)-1)/12)        /12        *INDEX(Assumptions_Commercial!$B$22:$B$33,MONTH(TIMELINE!Z7))</f>
        <v/>
      </c>
      <c r="AE7" s="31">
        <f>$D7        *(1+$E7)^((YEAR(TIMELINE!AA7)-2025)+(MONTH(TIMELINE!AA7)-1)/12)        /12        *INDEX(Assumptions_Commercial!$B$22:$B$33,MONTH(TIMELINE!AA7))</f>
        <v/>
      </c>
      <c r="AF7" s="31">
        <f>$D7        *(1+$E7)^((YEAR(TIMELINE!AB7)-2025)+(MONTH(TIMELINE!AB7)-1)/12)        /12        *INDEX(Assumptions_Commercial!$B$22:$B$33,MONTH(TIMELINE!AB7))</f>
        <v/>
      </c>
      <c r="AG7" s="31">
        <f>$D7        *(1+$E7)^((YEAR(TIMELINE!AC7)-2025)+(MONTH(TIMELINE!AC7)-1)/12)        /12        *INDEX(Assumptions_Commercial!$B$22:$B$33,MONTH(TIMELINE!AC7))</f>
        <v/>
      </c>
      <c r="AH7" s="31">
        <f>$D7        *(1+$E7)^((YEAR(TIMELINE!AD7)-2025)+(MONTH(TIMELINE!AD7)-1)/12)        /12        *INDEX(Assumptions_Commercial!$B$22:$B$33,MONTH(TIMELINE!AD7))</f>
        <v/>
      </c>
      <c r="AI7" s="31">
        <f>$D7        *(1+$E7)^((YEAR(TIMELINE!AE7)-2025)+(MONTH(TIMELINE!AE7)-1)/12)        /12        *INDEX(Assumptions_Commercial!$B$22:$B$33,MONTH(TIMELINE!AE7))</f>
        <v/>
      </c>
      <c r="AJ7" s="31">
        <f>$D7        *(1+$E7)^((YEAR(TIMELINE!AF7)-2025)+(MONTH(TIMELINE!AF7)-1)/12)        /12        *INDEX(Assumptions_Commercial!$B$22:$B$33,MONTH(TIMELINE!AF7))</f>
        <v/>
      </c>
      <c r="AK7" s="31">
        <f>$D7        *(1+$E7)^((YEAR(TIMELINE!AG7)-2025)+(MONTH(TIMELINE!AG7)-1)/12)        /12        *INDEX(Assumptions_Commercial!$B$22:$B$33,MONTH(TIMELINE!AG7))</f>
        <v/>
      </c>
      <c r="AL7" s="31">
        <f>$D7        *(1+$E7)^((YEAR(TIMELINE!AH7)-2025)+(MONTH(TIMELINE!AH7)-1)/12)        /12        *INDEX(Assumptions_Commercial!$B$22:$B$33,MONTH(TIMELINE!AH7))</f>
        <v/>
      </c>
      <c r="AM7" s="31">
        <f>$D7        *(1+$E7)^((YEAR(TIMELINE!AI7)-2025)+(MONTH(TIMELINE!AI7)-1)/12)        /12        *INDEX(Assumptions_Commercial!$B$22:$B$33,MONTH(TIMELINE!AI7))</f>
        <v/>
      </c>
      <c r="AN7" s="31">
        <f>$D7        *(1+$E7)^((YEAR(TIMELINE!AJ7)-2025)+(MONTH(TIMELINE!AJ7)-1)/12)        /12        *INDEX(Assumptions_Commercial!$B$22:$B$33,MONTH(TIMELINE!AJ7))</f>
        <v/>
      </c>
      <c r="AO7" s="31">
        <f>$D7        *(1+$E7)^((YEAR(TIMELINE!AK7)-2025)+(MONTH(TIMELINE!AK7)-1)/12)        /12        *INDEX(Assumptions_Commercial!$B$22:$B$33,MONTH(TIMELINE!AK7))</f>
        <v/>
      </c>
      <c r="AP7" s="31">
        <f>$D7        *(1+$E7)^((YEAR(TIMELINE!AL7)-2025)+(MONTH(TIMELINE!AL7)-1)/12)        /12        *INDEX(Assumptions_Commercial!$B$22:$B$33,MONTH(TIMELINE!AL7))</f>
        <v/>
      </c>
      <c r="AQ7" s="31">
        <f>$D7        *(1+$E7)^((YEAR(TIMELINE!AM7)-2025)+(MONTH(TIMELINE!AM7)-1)/12)        /12        *INDEX(Assumptions_Commercial!$B$22:$B$33,MONTH(TIMELINE!AM7))</f>
        <v/>
      </c>
      <c r="AR7" s="31">
        <f>$D7        *(1+$E7)^((YEAR(TIMELINE!AN7)-2025)+(MONTH(TIMELINE!AN7)-1)/12)        /12        *INDEX(Assumptions_Commercial!$B$22:$B$33,MONTH(TIMELINE!AN7))</f>
        <v/>
      </c>
      <c r="AS7" s="31">
        <f>$D7        *(1+$E7)^((YEAR(TIMELINE!AO7)-2025)+(MONTH(TIMELINE!AO7)-1)/12)        /12        *INDEX(Assumptions_Commercial!$B$22:$B$33,MONTH(TIMELINE!AO7))</f>
        <v/>
      </c>
      <c r="AT7" s="31">
        <f>$D7        *(1+$E7)^((YEAR(TIMELINE!AP7)-2025)+(MONTH(TIMELINE!AP7)-1)/12)        /12        *INDEX(Assumptions_Commercial!$B$22:$B$33,MONTH(TIMELINE!AP7))</f>
        <v/>
      </c>
      <c r="AU7" s="31">
        <f>$D7        *(1+$E7)^((YEAR(TIMELINE!AQ7)-2025)+(MONTH(TIMELINE!AQ7)-1)/12)        /12        *INDEX(Assumptions_Commercial!$B$22:$B$33,MONTH(TIMELINE!AQ7))</f>
        <v/>
      </c>
      <c r="AV7" s="31">
        <f>$D7        *(1+$E7)^((YEAR(TIMELINE!AR7)-2025)+(MONTH(TIMELINE!AR7)-1)/12)        /12        *INDEX(Assumptions_Commercial!$B$22:$B$33,MONTH(TIMELINE!AR7))</f>
        <v/>
      </c>
      <c r="AW7" s="31">
        <f>$D7        *(1+$E7)^((YEAR(TIMELINE!AS7)-2025)+(MONTH(TIMELINE!AS7)-1)/12)        /12        *INDEX(Assumptions_Commercial!$B$22:$B$33,MONTH(TIMELINE!AS7))</f>
        <v/>
      </c>
      <c r="AX7" s="31">
        <f>$D7        *(1+$E7)^((YEAR(TIMELINE!AT7)-2025)+(MONTH(TIMELINE!AT7)-1)/12)        /12        *INDEX(Assumptions_Commercial!$B$22:$B$33,MONTH(TIMELINE!AT7))</f>
        <v/>
      </c>
      <c r="AY7" s="31">
        <f>$D7        *(1+$E7)^((YEAR(TIMELINE!AU7)-2025)+(MONTH(TIMELINE!AU7)-1)/12)        /12        *INDEX(Assumptions_Commercial!$B$22:$B$33,MONTH(TIMELINE!AU7))</f>
        <v/>
      </c>
      <c r="AZ7" s="31">
        <f>$D7        *(1+$E7)^((YEAR(TIMELINE!AV7)-2025)+(MONTH(TIMELINE!AV7)-1)/12)        /12        *INDEX(Assumptions_Commercial!$B$22:$B$33,MONTH(TIMELINE!AV7))</f>
        <v/>
      </c>
      <c r="BA7" s="31">
        <f>$D7        *(1+$E7)^((YEAR(TIMELINE!AW7)-2025)+(MONTH(TIMELINE!AW7)-1)/12)        /12        *INDEX(Assumptions_Commercial!$B$22:$B$33,MONTH(TIMELINE!AW7))</f>
        <v/>
      </c>
      <c r="BB7" s="31">
        <f>$D7        *(1+$E7)^((YEAR(TIMELINE!AX7)-2025)+(MONTH(TIMELINE!AX7)-1)/12)        /12        *INDEX(Assumptions_Commercial!$B$22:$B$33,MONTH(TIMELINE!AX7))</f>
        <v/>
      </c>
      <c r="BC7" s="31">
        <f>$D7        *(1+$E7)^((YEAR(TIMELINE!AY7)-2025)+(MONTH(TIMELINE!AY7)-1)/12)        /12        *INDEX(Assumptions_Commercial!$B$22:$B$33,MONTH(TIMELINE!AY7))</f>
        <v/>
      </c>
      <c r="BD7" s="31">
        <f>$D7        *(1+$E7)^((YEAR(TIMELINE!AZ7)-2025)+(MONTH(TIMELINE!AZ7)-1)/12)        /12        *INDEX(Assumptions_Commercial!$B$22:$B$33,MONTH(TIMELINE!AZ7))</f>
        <v/>
      </c>
      <c r="BE7" s="31">
        <f>$D7        *(1+$E7)^((YEAR(TIMELINE!BA7)-2025)+(MONTH(TIMELINE!BA7)-1)/12)        /12        *INDEX(Assumptions_Commercial!$B$22:$B$33,MONTH(TIMELINE!BA7))</f>
        <v/>
      </c>
      <c r="BF7" s="31">
        <f>$D7        *(1+$E7)^((YEAR(TIMELINE!BB7)-2025)+(MONTH(TIMELINE!BB7)-1)/12)        /12        *INDEX(Assumptions_Commercial!$B$22:$B$33,MONTH(TIMELINE!BB7))</f>
        <v/>
      </c>
      <c r="BG7" s="31">
        <f>$D7        *(1+$E7)^((YEAR(TIMELINE!BC7)-2025)+(MONTH(TIMELINE!BC7)-1)/12)        /12        *INDEX(Assumptions_Commercial!$B$22:$B$33,MONTH(TIMELINE!BC7))</f>
        <v/>
      </c>
      <c r="BH7" s="31">
        <f>$D7        *(1+$E7)^((YEAR(TIMELINE!BD7)-2025)+(MONTH(TIMELINE!BD7)-1)/12)        /12        *INDEX(Assumptions_Commercial!$B$22:$B$33,MONTH(TIMELINE!BD7))</f>
        <v/>
      </c>
      <c r="BI7" s="31">
        <f>$D7        *(1+$E7)^((YEAR(TIMELINE!BE7)-2025)+(MONTH(TIMELINE!BE7)-1)/12)        /12        *INDEX(Assumptions_Commercial!$B$22:$B$33,MONTH(TIMELINE!BE7))</f>
        <v/>
      </c>
      <c r="BJ7" s="31">
        <f>$D7        *(1+$E7)^((YEAR(TIMELINE!BF7)-2025)+(MONTH(TIMELINE!BF7)-1)/12)        /12        *INDEX(Assumptions_Commercial!$B$22:$B$33,MONTH(TIMELINE!BF7))</f>
        <v/>
      </c>
      <c r="BK7" s="31">
        <f>$D7        *(1+$E7)^((YEAR(TIMELINE!BG7)-2025)+(MONTH(TIMELINE!BG7)-1)/12)        /12        *INDEX(Assumptions_Commercial!$B$22:$B$33,MONTH(TIMELINE!BG7))</f>
        <v/>
      </c>
      <c r="BL7" s="31">
        <f>$D7        *(1+$E7)^((YEAR(TIMELINE!BH7)-2025)+(MONTH(TIMELINE!BH7)-1)/12)        /12        *INDEX(Assumptions_Commercial!$B$22:$B$33,MONTH(TIMELINE!BH7))</f>
        <v/>
      </c>
      <c r="BM7" s="31">
        <f>$D7        *(1+$E7)^((YEAR(TIMELINE!BI7)-2025)+(MONTH(TIMELINE!BI7)-1)/12)        /12        *INDEX(Assumptions_Commercial!$B$22:$B$33,MONTH(TIMELINE!BI7))</f>
        <v/>
      </c>
      <c r="BN7" s="31">
        <f>$D7        *(1+$E7)^((YEAR(TIMELINE!BJ7)-2025)+(MONTH(TIMELINE!BJ7)-1)/12)        /12        *INDEX(Assumptions_Commercial!$B$22:$B$33,MONTH(TIMELINE!BJ7))</f>
        <v/>
      </c>
      <c r="BO7" s="31">
        <f>$D7        *(1+$E7)^((YEAR(TIMELINE!BK7)-2025)+(MONTH(TIMELINE!BK7)-1)/12)        /12        *INDEX(Assumptions_Commercial!$B$22:$B$33,MONTH(TIMELINE!BK7))</f>
        <v/>
      </c>
      <c r="BP7" s="31">
        <f>$D7        *(1+$E7)^((YEAR(TIMELINE!BL7)-2025)+(MONTH(TIMELINE!BL7)-1)/12)        /12        *INDEX(Assumptions_Commercial!$B$22:$B$33,MONTH(TIMELINE!BL7))</f>
        <v/>
      </c>
      <c r="BQ7" s="31">
        <f>$D7        *(1+$E7)^((YEAR(TIMELINE!BM7)-2025)+(MONTH(TIMELINE!BM7)-1)/12)        /12        *INDEX(Assumptions_Commercial!$B$22:$B$33,MONTH(TIMELINE!BM7))</f>
        <v/>
      </c>
      <c r="BR7" s="31">
        <f>$D7        *(1+$E7)^((YEAR(TIMELINE!BN7)-2025)+(MONTH(TIMELINE!BN7)-1)/12)        /12        *INDEX(Assumptions_Commercial!$B$22:$B$33,MONTH(TIMELINE!BN7))</f>
        <v/>
      </c>
      <c r="BS7" s="31">
        <f>$D7        *(1+$E7)^((YEAR(TIMELINE!BO7)-2025)+(MONTH(TIMELINE!BO7)-1)/12)        /12        *INDEX(Assumptions_Commercial!$B$22:$B$33,MONTH(TIMELINE!BO7))</f>
        <v/>
      </c>
      <c r="BT7" s="31">
        <f>$D7        *(1+$E7)^((YEAR(TIMELINE!BP7)-2025)+(MONTH(TIMELINE!BP7)-1)/12)        /12        *INDEX(Assumptions_Commercial!$B$22:$B$33,MONTH(TIMELINE!BP7))</f>
        <v/>
      </c>
      <c r="BU7" s="31">
        <f>$D7        *(1+$E7)^((YEAR(TIMELINE!BQ7)-2025)+(MONTH(TIMELINE!BQ7)-1)/12)        /12        *INDEX(Assumptions_Commercial!$B$22:$B$33,MONTH(TIMELINE!BQ7))</f>
        <v/>
      </c>
      <c r="BV7" s="31">
        <f>$D7        *(1+$E7)^((YEAR(TIMELINE!BR7)-2025)+(MONTH(TIMELINE!BR7)-1)/12)        /12        *INDEX(Assumptions_Commercial!$B$22:$B$33,MONTH(TIMELINE!BR7))</f>
        <v/>
      </c>
      <c r="BW7" s="31">
        <f>$D7        *(1+$E7)^((YEAR(TIMELINE!BS7)-2025)+(MONTH(TIMELINE!BS7)-1)/12)        /12        *INDEX(Assumptions_Commercial!$B$22:$B$33,MONTH(TIMELINE!BS7))</f>
        <v/>
      </c>
      <c r="BX7" s="31">
        <f>$D7        *(1+$E7)^((YEAR(TIMELINE!BT7)-2025)+(MONTH(TIMELINE!BT7)-1)/12)        /12        *INDEX(Assumptions_Commercial!$B$22:$B$33,MONTH(TIMELINE!BT7))</f>
        <v/>
      </c>
      <c r="BY7" s="31">
        <f>$D7        *(1+$E7)^((YEAR(TIMELINE!BU7)-2025)+(MONTH(TIMELINE!BU7)-1)/12)        /12        *INDEX(Assumptions_Commercial!$B$22:$B$33,MONTH(TIMELINE!BU7))</f>
        <v/>
      </c>
      <c r="BZ7" s="31">
        <f>$D7        *(1+$E7)^((YEAR(TIMELINE!BV7)-2025)+(MONTH(TIMELINE!BV7)-1)/12)        /12        *INDEX(Assumptions_Commercial!$B$22:$B$33,MONTH(TIMELINE!BV7))</f>
        <v/>
      </c>
      <c r="CA7" s="31">
        <f>$D7        *(1+$E7)^((YEAR(TIMELINE!BW7)-2025)+(MONTH(TIMELINE!BW7)-1)/12)        /12        *INDEX(Assumptions_Commercial!$B$22:$B$33,MONTH(TIMELINE!BW7))</f>
        <v/>
      </c>
      <c r="CB7" s="31">
        <f>$D7        *(1+$E7)^((YEAR(TIMELINE!BX7)-2025)+(MONTH(TIMELINE!BX7)-1)/12)        /12        *INDEX(Assumptions_Commercial!$B$22:$B$33,MONTH(TIMELINE!BX7))</f>
        <v/>
      </c>
      <c r="CC7" s="31">
        <f>$D7        *(1+$E7)^((YEAR(TIMELINE!BY7)-2025)+(MONTH(TIMELINE!BY7)-1)/12)        /12        *INDEX(Assumptions_Commercial!$B$22:$B$33,MONTH(TIMELINE!BY7))</f>
        <v/>
      </c>
      <c r="CD7" s="31">
        <f>$D7        *(1+$E7)^((YEAR(TIMELINE!BZ7)-2025)+(MONTH(TIMELINE!BZ7)-1)/12)        /12        *INDEX(Assumptions_Commercial!$B$22:$B$33,MONTH(TIMELINE!BZ7))</f>
        <v/>
      </c>
      <c r="CE7" s="31">
        <f>$D7        *(1+$E7)^((YEAR(TIMELINE!CA7)-2025)+(MONTH(TIMELINE!CA7)-1)/12)        /12        *INDEX(Assumptions_Commercial!$B$22:$B$33,MONTH(TIMELINE!CA7))</f>
        <v/>
      </c>
      <c r="CF7" s="31">
        <f>$D7        *(1+$E7)^((YEAR(TIMELINE!CB7)-2025)+(MONTH(TIMELINE!CB7)-1)/12)        /12        *INDEX(Assumptions_Commercial!$B$22:$B$33,MONTH(TIMELINE!CB7))</f>
        <v/>
      </c>
      <c r="CG7" s="31">
        <f>$D7        *(1+$E7)^((YEAR(TIMELINE!CC7)-2025)+(MONTH(TIMELINE!CC7)-1)/12)        /12        *INDEX(Assumptions_Commercial!$B$22:$B$33,MONTH(TIMELINE!CC7))</f>
        <v/>
      </c>
      <c r="CH7" s="31">
        <f>$D7        *(1+$E7)^((YEAR(TIMELINE!CD7)-2025)+(MONTH(TIMELINE!CD7)-1)/12)        /12        *INDEX(Assumptions_Commercial!$B$22:$B$33,MONTH(TIMELINE!CD7))</f>
        <v/>
      </c>
      <c r="CI7" s="31">
        <f>$D7        *(1+$E7)^((YEAR(TIMELINE!CE7)-2025)+(MONTH(TIMELINE!CE7)-1)/12)        /12        *INDEX(Assumptions_Commercial!$B$22:$B$33,MONTH(TIMELINE!CE7))</f>
        <v/>
      </c>
      <c r="CJ7" s="31">
        <f>$D7        *(1+$E7)^((YEAR(TIMELINE!CF7)-2025)+(MONTH(TIMELINE!CF7)-1)/12)        /12        *INDEX(Assumptions_Commercial!$B$22:$B$33,MONTH(TIMELINE!CF7))</f>
        <v/>
      </c>
      <c r="CK7" s="31">
        <f>$D7        *(1+$E7)^((YEAR(TIMELINE!CG7)-2025)+(MONTH(TIMELINE!CG7)-1)/12)        /12        *INDEX(Assumptions_Commercial!$B$22:$B$33,MONTH(TIMELINE!CG7))</f>
        <v/>
      </c>
      <c r="CL7" s="31">
        <f>$D7        *(1+$E7)^((YEAR(TIMELINE!CH7)-2025)+(MONTH(TIMELINE!CH7)-1)/12)        /12        *INDEX(Assumptions_Commercial!$B$22:$B$33,MONTH(TIMELINE!CH7))</f>
        <v/>
      </c>
      <c r="CM7" s="31">
        <f>$D7        *(1+$E7)^((YEAR(TIMELINE!CI7)-2025)+(MONTH(TIMELINE!CI7)-1)/12)        /12        *INDEX(Assumptions_Commercial!$B$22:$B$33,MONTH(TIMELINE!CI7))</f>
        <v/>
      </c>
      <c r="CN7" s="31">
        <f>$D7        *(1+$E7)^((YEAR(TIMELINE!CJ7)-2025)+(MONTH(TIMELINE!CJ7)-1)/12)        /12        *INDEX(Assumptions_Commercial!$B$22:$B$33,MONTH(TIMELINE!CJ7))</f>
        <v/>
      </c>
      <c r="CO7" s="31">
        <f>$D7        *(1+$E7)^((YEAR(TIMELINE!CK7)-2025)+(MONTH(TIMELINE!CK7)-1)/12)        /12        *INDEX(Assumptions_Commercial!$B$22:$B$33,MONTH(TIMELINE!CK7))</f>
        <v/>
      </c>
      <c r="CP7" s="31">
        <f>$D7        *(1+$E7)^((YEAR(TIMELINE!CL7)-2025)+(MONTH(TIMELINE!CL7)-1)/12)        /12        *INDEX(Assumptions_Commercial!$B$22:$B$33,MONTH(TIMELINE!CL7))</f>
        <v/>
      </c>
      <c r="CQ7" s="31">
        <f>$D7        *(1+$E7)^((YEAR(TIMELINE!CM7)-2025)+(MONTH(TIMELINE!CM7)-1)/12)        /12        *INDEX(Assumptions_Commercial!$B$22:$B$33,MONTH(TIMELINE!CM7))</f>
        <v/>
      </c>
      <c r="CR7" s="31">
        <f>$D7        *(1+$E7)^((YEAR(TIMELINE!CN7)-2025)+(MONTH(TIMELINE!CN7)-1)/12)        /12        *INDEX(Assumptions_Commercial!$B$22:$B$33,MONTH(TIMELINE!CN7))</f>
        <v/>
      </c>
      <c r="CS7" s="31">
        <f>$D7        *(1+$E7)^((YEAR(TIMELINE!CO7)-2025)+(MONTH(TIMELINE!CO7)-1)/12)        /12        *INDEX(Assumptions_Commercial!$B$22:$B$33,MONTH(TIMELINE!CO7))</f>
        <v/>
      </c>
      <c r="CT7" s="31">
        <f>$D7        *(1+$E7)^((YEAR(TIMELINE!CP7)-2025)+(MONTH(TIMELINE!CP7)-1)/12)        /12        *INDEX(Assumptions_Commercial!$B$22:$B$33,MONTH(TIMELINE!CP7))</f>
        <v/>
      </c>
      <c r="CU7" s="31">
        <f>$D7        *(1+$E7)^((YEAR(TIMELINE!CQ7)-2025)+(MONTH(TIMELINE!CQ7)-1)/12)        /12        *INDEX(Assumptions_Commercial!$B$22:$B$33,MONTH(TIMELINE!CQ7))</f>
        <v/>
      </c>
      <c r="CV7" s="31">
        <f>$D7        *(1+$E7)^((YEAR(TIMELINE!CR7)-2025)+(MONTH(TIMELINE!CR7)-1)/12)        /12        *INDEX(Assumptions_Commercial!$B$22:$B$33,MONTH(TIMELINE!CR7))</f>
        <v/>
      </c>
      <c r="CW7" s="31">
        <f>$D7        *(1+$E7)^((YEAR(TIMELINE!CS7)-2025)+(MONTH(TIMELINE!CS7)-1)/12)        /12        *INDEX(Assumptions_Commercial!$B$22:$B$33,MONTH(TIMELINE!CS7))</f>
        <v/>
      </c>
      <c r="CX7" s="31">
        <f>$D7        *(1+$E7)^((YEAR(TIMELINE!CT7)-2025)+(MONTH(TIMELINE!CT7)-1)/12)        /12        *INDEX(Assumptions_Commercial!$B$22:$B$33,MONTH(TIMELINE!CT7))</f>
        <v/>
      </c>
      <c r="CY7" s="31">
        <f>$D7        *(1+$E7)^((YEAR(TIMELINE!CU7)-2025)+(MONTH(TIMELINE!CU7)-1)/12)        /12        *INDEX(Assumptions_Commercial!$B$22:$B$33,MONTH(TIMELINE!CU7))</f>
        <v/>
      </c>
      <c r="CZ7" s="31">
        <f>$D7        *(1+$E7)^((YEAR(TIMELINE!CV7)-2025)+(MONTH(TIMELINE!CV7)-1)/12)        /12        *INDEX(Assumptions_Commercial!$B$22:$B$33,MONTH(TIMELINE!CV7))</f>
        <v/>
      </c>
      <c r="DA7" s="31">
        <f>$D7        *(1+$E7)^((YEAR(TIMELINE!CW7)-2025)+(MONTH(TIMELINE!CW7)-1)/12)        /12        *INDEX(Assumptions_Commercial!$B$22:$B$33,MONTH(TIMELINE!CW7))</f>
        <v/>
      </c>
      <c r="DB7" s="31">
        <f>$D7        *(1+$E7)^((YEAR(TIMELINE!CX7)-2025)+(MONTH(TIMELINE!CX7)-1)/12)        /12        *INDEX(Assumptions_Commercial!$B$22:$B$33,MONTH(TIMELINE!CX7))</f>
        <v/>
      </c>
      <c r="DC7" s="31">
        <f>$D7        *(1+$E7)^((YEAR(TIMELINE!CY7)-2025)+(MONTH(TIMELINE!CY7)-1)/12)        /12        *INDEX(Assumptions_Commercial!$B$22:$B$33,MONTH(TIMELINE!CY7))</f>
        <v/>
      </c>
      <c r="DD7" s="31">
        <f>$D7        *(1+$E7)^((YEAR(TIMELINE!CZ7)-2025)+(MONTH(TIMELINE!CZ7)-1)/12)        /12        *INDEX(Assumptions_Commercial!$B$22:$B$33,MONTH(TIMELINE!CZ7))</f>
        <v/>
      </c>
      <c r="DE7" s="31">
        <f>$D7        *(1+$E7)^((YEAR(TIMELINE!DA7)-2025)+(MONTH(TIMELINE!DA7)-1)/12)        /12        *INDEX(Assumptions_Commercial!$B$22:$B$33,MONTH(TIMELINE!DA7))</f>
        <v/>
      </c>
      <c r="DF7" s="31">
        <f>$D7        *(1+$E7)^((YEAR(TIMELINE!DB7)-2025)+(MONTH(TIMELINE!DB7)-1)/12)        /12        *INDEX(Assumptions_Commercial!$B$22:$B$33,MONTH(TIMELINE!DB7))</f>
        <v/>
      </c>
      <c r="DG7" s="31">
        <f>$D7        *(1+$E7)^((YEAR(TIMELINE!DC7)-2025)+(MONTH(TIMELINE!DC7)-1)/12)        /12        *INDEX(Assumptions_Commercial!$B$22:$B$33,MONTH(TIMELINE!DC7))</f>
        <v/>
      </c>
      <c r="DH7" s="31">
        <f>$D7        *(1+$E7)^((YEAR(TIMELINE!DD7)-2025)+(MONTH(TIMELINE!DD7)-1)/12)        /12        *INDEX(Assumptions_Commercial!$B$22:$B$33,MONTH(TIMELINE!DD7))</f>
        <v/>
      </c>
      <c r="DI7" s="31">
        <f>$D7        *(1+$E7)^((YEAR(TIMELINE!DE7)-2025)+(MONTH(TIMELINE!DE7)-1)/12)        /12        *INDEX(Assumptions_Commercial!$B$22:$B$33,MONTH(TIMELINE!DE7))</f>
        <v/>
      </c>
      <c r="DJ7" s="31">
        <f>$D7        *(1+$E7)^((YEAR(TIMELINE!DF7)-2025)+(MONTH(TIMELINE!DF7)-1)/12)        /12        *INDEX(Assumptions_Commercial!$B$22:$B$33,MONTH(TIMELINE!DF7))</f>
        <v/>
      </c>
      <c r="DK7" s="31">
        <f>$D7        *(1+$E7)^((YEAR(TIMELINE!DG7)-2025)+(MONTH(TIMELINE!DG7)-1)/12)        /12        *INDEX(Assumptions_Commercial!$B$22:$B$33,MONTH(TIMELINE!DG7))</f>
        <v/>
      </c>
      <c r="DL7" s="31">
        <f>$D7        *(1+$E7)^((YEAR(TIMELINE!DH7)-2025)+(MONTH(TIMELINE!DH7)-1)/12)        /12        *INDEX(Assumptions_Commercial!$B$22:$B$33,MONTH(TIMELINE!DH7))</f>
        <v/>
      </c>
      <c r="DM7" s="31">
        <f>$D7        *(1+$E7)^((YEAR(TIMELINE!DI7)-2025)+(MONTH(TIMELINE!DI7)-1)/12)        /12        *INDEX(Assumptions_Commercial!$B$22:$B$33,MONTH(TIMELINE!DI7))</f>
        <v/>
      </c>
      <c r="DN7" s="31">
        <f>$D7        *(1+$E7)^((YEAR(TIMELINE!DJ7)-2025)+(MONTH(TIMELINE!DJ7)-1)/12)        /12        *INDEX(Assumptions_Commercial!$B$22:$B$33,MONTH(TIMELINE!DJ7))</f>
        <v/>
      </c>
      <c r="DO7" s="31">
        <f>$D7        *(1+$E7)^((YEAR(TIMELINE!DK7)-2025)+(MONTH(TIMELINE!DK7)-1)/12)        /12        *INDEX(Assumptions_Commercial!$B$22:$B$33,MONTH(TIMELINE!DK7))</f>
        <v/>
      </c>
      <c r="DP7" s="31">
        <f>$D7        *(1+$E7)^((YEAR(TIMELINE!DL7)-2025)+(MONTH(TIMELINE!DL7)-1)/12)        /12        *INDEX(Assumptions_Commercial!$B$22:$B$33,MONTH(TIMELINE!DL7))</f>
        <v/>
      </c>
      <c r="DQ7" s="31">
        <f>$D7        *(1+$E7)^((YEAR(TIMELINE!DM7)-2025)+(MONTH(TIMELINE!DM7)-1)/12)        /12        *INDEX(Assumptions_Commercial!$B$22:$B$33,MONTH(TIMELINE!DM7))</f>
        <v/>
      </c>
      <c r="DR7" s="31">
        <f>$D7        *(1+$E7)^((YEAR(TIMELINE!DN7)-2025)+(MONTH(TIMELINE!DN7)-1)/12)        /12        *INDEX(Assumptions_Commercial!$B$22:$B$33,MONTH(TIMELINE!DN7))</f>
        <v/>
      </c>
      <c r="DS7" s="31">
        <f>$D7        *(1+$E7)^((YEAR(TIMELINE!DO7)-2025)+(MONTH(TIMELINE!DO7)-1)/12)        /12        *INDEX(Assumptions_Commercial!$B$22:$B$33,MONTH(TIMELINE!DO7))</f>
        <v/>
      </c>
      <c r="DT7" s="31">
        <f>$D7        *(1+$E7)^((YEAR(TIMELINE!DP7)-2025)+(MONTH(TIMELINE!DP7)-1)/12)        /12        *INDEX(Assumptions_Commercial!$B$22:$B$33,MONTH(TIMELINE!DP7))</f>
        <v/>
      </c>
      <c r="DU7" s="31">
        <f>$D7        *(1+$E7)^((YEAR(TIMELINE!DQ7)-2025)+(MONTH(TIMELINE!DQ7)-1)/12)        /12        *INDEX(Assumptions_Commercial!$B$22:$B$33,MONTH(TIMELINE!DQ7))</f>
        <v/>
      </c>
    </row>
    <row r="8">
      <c r="A8" t="inlineStr">
        <is>
          <t>SKU-04</t>
        </is>
      </c>
      <c r="B8" t="inlineStr">
        <is>
          <t>On-Trade</t>
        </is>
      </c>
      <c r="C8" t="inlineStr">
        <is>
          <t>AU</t>
        </is>
      </c>
      <c r="D8" s="14" t="n">
        <v>20000</v>
      </c>
      <c r="E8" s="30">
        <f>INDEX(Assumptions_Commercial!$B$5:$D$5,CONTROL!$B$5)</f>
        <v/>
      </c>
      <c r="F8" s="31">
        <f>$D8        *(1+$E8)^((YEAR(TIMELINE!B7)-2025)+(MONTH(TIMELINE!B7)-1)/12)        /12        *INDEX(Assumptions_Commercial!$B$22:$B$33,MONTH(TIMELINE!B7))</f>
        <v/>
      </c>
      <c r="G8" s="31">
        <f>$D8        *(1+$E8)^((YEAR(TIMELINE!C7)-2025)+(MONTH(TIMELINE!C7)-1)/12)        /12        *INDEX(Assumptions_Commercial!$B$22:$B$33,MONTH(TIMELINE!C7))</f>
        <v/>
      </c>
      <c r="H8" s="31">
        <f>$D8        *(1+$E8)^((YEAR(TIMELINE!D7)-2025)+(MONTH(TIMELINE!D7)-1)/12)        /12        *INDEX(Assumptions_Commercial!$B$22:$B$33,MONTH(TIMELINE!D7))</f>
        <v/>
      </c>
      <c r="I8" s="31">
        <f>$D8        *(1+$E8)^((YEAR(TIMELINE!E7)-2025)+(MONTH(TIMELINE!E7)-1)/12)        /12        *INDEX(Assumptions_Commercial!$B$22:$B$33,MONTH(TIMELINE!E7))</f>
        <v/>
      </c>
      <c r="J8" s="31">
        <f>$D8        *(1+$E8)^((YEAR(TIMELINE!F7)-2025)+(MONTH(TIMELINE!F7)-1)/12)        /12        *INDEX(Assumptions_Commercial!$B$22:$B$33,MONTH(TIMELINE!F7))</f>
        <v/>
      </c>
      <c r="K8" s="31">
        <f>$D8        *(1+$E8)^((YEAR(TIMELINE!G7)-2025)+(MONTH(TIMELINE!G7)-1)/12)        /12        *INDEX(Assumptions_Commercial!$B$22:$B$33,MONTH(TIMELINE!G7))</f>
        <v/>
      </c>
      <c r="L8" s="31">
        <f>$D8        *(1+$E8)^((YEAR(TIMELINE!H7)-2025)+(MONTH(TIMELINE!H7)-1)/12)        /12        *INDEX(Assumptions_Commercial!$B$22:$B$33,MONTH(TIMELINE!H7))</f>
        <v/>
      </c>
      <c r="M8" s="31">
        <f>$D8        *(1+$E8)^((YEAR(TIMELINE!I7)-2025)+(MONTH(TIMELINE!I7)-1)/12)        /12        *INDEX(Assumptions_Commercial!$B$22:$B$33,MONTH(TIMELINE!I7))</f>
        <v/>
      </c>
      <c r="N8" s="31">
        <f>$D8        *(1+$E8)^((YEAR(TIMELINE!J7)-2025)+(MONTH(TIMELINE!J7)-1)/12)        /12        *INDEX(Assumptions_Commercial!$B$22:$B$33,MONTH(TIMELINE!J7))</f>
        <v/>
      </c>
      <c r="O8" s="31">
        <f>$D8        *(1+$E8)^((YEAR(TIMELINE!K7)-2025)+(MONTH(TIMELINE!K7)-1)/12)        /12        *INDEX(Assumptions_Commercial!$B$22:$B$33,MONTH(TIMELINE!K7))</f>
        <v/>
      </c>
      <c r="P8" s="31">
        <f>$D8        *(1+$E8)^((YEAR(TIMELINE!L7)-2025)+(MONTH(TIMELINE!L7)-1)/12)        /12        *INDEX(Assumptions_Commercial!$B$22:$B$33,MONTH(TIMELINE!L7))</f>
        <v/>
      </c>
      <c r="Q8" s="31">
        <f>$D8        *(1+$E8)^((YEAR(TIMELINE!M7)-2025)+(MONTH(TIMELINE!M7)-1)/12)        /12        *INDEX(Assumptions_Commercial!$B$22:$B$33,MONTH(TIMELINE!M7))</f>
        <v/>
      </c>
      <c r="R8" s="31">
        <f>$D8        *(1+$E8)^((YEAR(TIMELINE!N7)-2025)+(MONTH(TIMELINE!N7)-1)/12)        /12        *INDEX(Assumptions_Commercial!$B$22:$B$33,MONTH(TIMELINE!N7))</f>
        <v/>
      </c>
      <c r="S8" s="31">
        <f>$D8        *(1+$E8)^((YEAR(TIMELINE!O7)-2025)+(MONTH(TIMELINE!O7)-1)/12)        /12        *INDEX(Assumptions_Commercial!$B$22:$B$33,MONTH(TIMELINE!O7))</f>
        <v/>
      </c>
      <c r="T8" s="31">
        <f>$D8        *(1+$E8)^((YEAR(TIMELINE!P7)-2025)+(MONTH(TIMELINE!P7)-1)/12)        /12        *INDEX(Assumptions_Commercial!$B$22:$B$33,MONTH(TIMELINE!P7))</f>
        <v/>
      </c>
      <c r="U8" s="31">
        <f>$D8        *(1+$E8)^((YEAR(TIMELINE!Q7)-2025)+(MONTH(TIMELINE!Q7)-1)/12)        /12        *INDEX(Assumptions_Commercial!$B$22:$B$33,MONTH(TIMELINE!Q7))</f>
        <v/>
      </c>
      <c r="V8" s="31">
        <f>$D8        *(1+$E8)^((YEAR(TIMELINE!R7)-2025)+(MONTH(TIMELINE!R7)-1)/12)        /12        *INDEX(Assumptions_Commercial!$B$22:$B$33,MONTH(TIMELINE!R7))</f>
        <v/>
      </c>
      <c r="W8" s="31">
        <f>$D8        *(1+$E8)^((YEAR(TIMELINE!S7)-2025)+(MONTH(TIMELINE!S7)-1)/12)        /12        *INDEX(Assumptions_Commercial!$B$22:$B$33,MONTH(TIMELINE!S7))</f>
        <v/>
      </c>
      <c r="X8" s="31">
        <f>$D8        *(1+$E8)^((YEAR(TIMELINE!T7)-2025)+(MONTH(TIMELINE!T7)-1)/12)        /12        *INDEX(Assumptions_Commercial!$B$22:$B$33,MONTH(TIMELINE!T7))</f>
        <v/>
      </c>
      <c r="Y8" s="31">
        <f>$D8        *(1+$E8)^((YEAR(TIMELINE!U7)-2025)+(MONTH(TIMELINE!U7)-1)/12)        /12        *INDEX(Assumptions_Commercial!$B$22:$B$33,MONTH(TIMELINE!U7))</f>
        <v/>
      </c>
      <c r="Z8" s="31">
        <f>$D8        *(1+$E8)^((YEAR(TIMELINE!V7)-2025)+(MONTH(TIMELINE!V7)-1)/12)        /12        *INDEX(Assumptions_Commercial!$B$22:$B$33,MONTH(TIMELINE!V7))</f>
        <v/>
      </c>
      <c r="AA8" s="31">
        <f>$D8        *(1+$E8)^((YEAR(TIMELINE!W7)-2025)+(MONTH(TIMELINE!W7)-1)/12)        /12        *INDEX(Assumptions_Commercial!$B$22:$B$33,MONTH(TIMELINE!W7))</f>
        <v/>
      </c>
      <c r="AB8" s="31">
        <f>$D8        *(1+$E8)^((YEAR(TIMELINE!X7)-2025)+(MONTH(TIMELINE!X7)-1)/12)        /12        *INDEX(Assumptions_Commercial!$B$22:$B$33,MONTH(TIMELINE!X7))</f>
        <v/>
      </c>
      <c r="AC8" s="31">
        <f>$D8        *(1+$E8)^((YEAR(TIMELINE!Y7)-2025)+(MONTH(TIMELINE!Y7)-1)/12)        /12        *INDEX(Assumptions_Commercial!$B$22:$B$33,MONTH(TIMELINE!Y7))</f>
        <v/>
      </c>
      <c r="AD8" s="31">
        <f>$D8        *(1+$E8)^((YEAR(TIMELINE!Z7)-2025)+(MONTH(TIMELINE!Z7)-1)/12)        /12        *INDEX(Assumptions_Commercial!$B$22:$B$33,MONTH(TIMELINE!Z7))</f>
        <v/>
      </c>
      <c r="AE8" s="31">
        <f>$D8        *(1+$E8)^((YEAR(TIMELINE!AA7)-2025)+(MONTH(TIMELINE!AA7)-1)/12)        /12        *INDEX(Assumptions_Commercial!$B$22:$B$33,MONTH(TIMELINE!AA7))</f>
        <v/>
      </c>
      <c r="AF8" s="31">
        <f>$D8        *(1+$E8)^((YEAR(TIMELINE!AB7)-2025)+(MONTH(TIMELINE!AB7)-1)/12)        /12        *INDEX(Assumptions_Commercial!$B$22:$B$33,MONTH(TIMELINE!AB7))</f>
        <v/>
      </c>
      <c r="AG8" s="31">
        <f>$D8        *(1+$E8)^((YEAR(TIMELINE!AC7)-2025)+(MONTH(TIMELINE!AC7)-1)/12)        /12        *INDEX(Assumptions_Commercial!$B$22:$B$33,MONTH(TIMELINE!AC7))</f>
        <v/>
      </c>
      <c r="AH8" s="31">
        <f>$D8        *(1+$E8)^((YEAR(TIMELINE!AD7)-2025)+(MONTH(TIMELINE!AD7)-1)/12)        /12        *INDEX(Assumptions_Commercial!$B$22:$B$33,MONTH(TIMELINE!AD7))</f>
        <v/>
      </c>
      <c r="AI8" s="31">
        <f>$D8        *(1+$E8)^((YEAR(TIMELINE!AE7)-2025)+(MONTH(TIMELINE!AE7)-1)/12)        /12        *INDEX(Assumptions_Commercial!$B$22:$B$33,MONTH(TIMELINE!AE7))</f>
        <v/>
      </c>
      <c r="AJ8" s="31">
        <f>$D8        *(1+$E8)^((YEAR(TIMELINE!AF7)-2025)+(MONTH(TIMELINE!AF7)-1)/12)        /12        *INDEX(Assumptions_Commercial!$B$22:$B$33,MONTH(TIMELINE!AF7))</f>
        <v/>
      </c>
      <c r="AK8" s="31">
        <f>$D8        *(1+$E8)^((YEAR(TIMELINE!AG7)-2025)+(MONTH(TIMELINE!AG7)-1)/12)        /12        *INDEX(Assumptions_Commercial!$B$22:$B$33,MONTH(TIMELINE!AG7))</f>
        <v/>
      </c>
      <c r="AL8" s="31">
        <f>$D8        *(1+$E8)^((YEAR(TIMELINE!AH7)-2025)+(MONTH(TIMELINE!AH7)-1)/12)        /12        *INDEX(Assumptions_Commercial!$B$22:$B$33,MONTH(TIMELINE!AH7))</f>
        <v/>
      </c>
      <c r="AM8" s="31">
        <f>$D8        *(1+$E8)^((YEAR(TIMELINE!AI7)-2025)+(MONTH(TIMELINE!AI7)-1)/12)        /12        *INDEX(Assumptions_Commercial!$B$22:$B$33,MONTH(TIMELINE!AI7))</f>
        <v/>
      </c>
      <c r="AN8" s="31">
        <f>$D8        *(1+$E8)^((YEAR(TIMELINE!AJ7)-2025)+(MONTH(TIMELINE!AJ7)-1)/12)        /12        *INDEX(Assumptions_Commercial!$B$22:$B$33,MONTH(TIMELINE!AJ7))</f>
        <v/>
      </c>
      <c r="AO8" s="31">
        <f>$D8        *(1+$E8)^((YEAR(TIMELINE!AK7)-2025)+(MONTH(TIMELINE!AK7)-1)/12)        /12        *INDEX(Assumptions_Commercial!$B$22:$B$33,MONTH(TIMELINE!AK7))</f>
        <v/>
      </c>
      <c r="AP8" s="31">
        <f>$D8        *(1+$E8)^((YEAR(TIMELINE!AL7)-2025)+(MONTH(TIMELINE!AL7)-1)/12)        /12        *INDEX(Assumptions_Commercial!$B$22:$B$33,MONTH(TIMELINE!AL7))</f>
        <v/>
      </c>
      <c r="AQ8" s="31">
        <f>$D8        *(1+$E8)^((YEAR(TIMELINE!AM7)-2025)+(MONTH(TIMELINE!AM7)-1)/12)        /12        *INDEX(Assumptions_Commercial!$B$22:$B$33,MONTH(TIMELINE!AM7))</f>
        <v/>
      </c>
      <c r="AR8" s="31">
        <f>$D8        *(1+$E8)^((YEAR(TIMELINE!AN7)-2025)+(MONTH(TIMELINE!AN7)-1)/12)        /12        *INDEX(Assumptions_Commercial!$B$22:$B$33,MONTH(TIMELINE!AN7))</f>
        <v/>
      </c>
      <c r="AS8" s="31">
        <f>$D8        *(1+$E8)^((YEAR(TIMELINE!AO7)-2025)+(MONTH(TIMELINE!AO7)-1)/12)        /12        *INDEX(Assumptions_Commercial!$B$22:$B$33,MONTH(TIMELINE!AO7))</f>
        <v/>
      </c>
      <c r="AT8" s="31">
        <f>$D8        *(1+$E8)^((YEAR(TIMELINE!AP7)-2025)+(MONTH(TIMELINE!AP7)-1)/12)        /12        *INDEX(Assumptions_Commercial!$B$22:$B$33,MONTH(TIMELINE!AP7))</f>
        <v/>
      </c>
      <c r="AU8" s="31">
        <f>$D8        *(1+$E8)^((YEAR(TIMELINE!AQ7)-2025)+(MONTH(TIMELINE!AQ7)-1)/12)        /12        *INDEX(Assumptions_Commercial!$B$22:$B$33,MONTH(TIMELINE!AQ7))</f>
        <v/>
      </c>
      <c r="AV8" s="31">
        <f>$D8        *(1+$E8)^((YEAR(TIMELINE!AR7)-2025)+(MONTH(TIMELINE!AR7)-1)/12)        /12        *INDEX(Assumptions_Commercial!$B$22:$B$33,MONTH(TIMELINE!AR7))</f>
        <v/>
      </c>
      <c r="AW8" s="31">
        <f>$D8        *(1+$E8)^((YEAR(TIMELINE!AS7)-2025)+(MONTH(TIMELINE!AS7)-1)/12)        /12        *INDEX(Assumptions_Commercial!$B$22:$B$33,MONTH(TIMELINE!AS7))</f>
        <v/>
      </c>
      <c r="AX8" s="31">
        <f>$D8        *(1+$E8)^((YEAR(TIMELINE!AT7)-2025)+(MONTH(TIMELINE!AT7)-1)/12)        /12        *INDEX(Assumptions_Commercial!$B$22:$B$33,MONTH(TIMELINE!AT7))</f>
        <v/>
      </c>
      <c r="AY8" s="31">
        <f>$D8        *(1+$E8)^((YEAR(TIMELINE!AU7)-2025)+(MONTH(TIMELINE!AU7)-1)/12)        /12        *INDEX(Assumptions_Commercial!$B$22:$B$33,MONTH(TIMELINE!AU7))</f>
        <v/>
      </c>
      <c r="AZ8" s="31">
        <f>$D8        *(1+$E8)^((YEAR(TIMELINE!AV7)-2025)+(MONTH(TIMELINE!AV7)-1)/12)        /12        *INDEX(Assumptions_Commercial!$B$22:$B$33,MONTH(TIMELINE!AV7))</f>
        <v/>
      </c>
      <c r="BA8" s="31">
        <f>$D8        *(1+$E8)^((YEAR(TIMELINE!AW7)-2025)+(MONTH(TIMELINE!AW7)-1)/12)        /12        *INDEX(Assumptions_Commercial!$B$22:$B$33,MONTH(TIMELINE!AW7))</f>
        <v/>
      </c>
      <c r="BB8" s="31">
        <f>$D8        *(1+$E8)^((YEAR(TIMELINE!AX7)-2025)+(MONTH(TIMELINE!AX7)-1)/12)        /12        *INDEX(Assumptions_Commercial!$B$22:$B$33,MONTH(TIMELINE!AX7))</f>
        <v/>
      </c>
      <c r="BC8" s="31">
        <f>$D8        *(1+$E8)^((YEAR(TIMELINE!AY7)-2025)+(MONTH(TIMELINE!AY7)-1)/12)        /12        *INDEX(Assumptions_Commercial!$B$22:$B$33,MONTH(TIMELINE!AY7))</f>
        <v/>
      </c>
      <c r="BD8" s="31">
        <f>$D8        *(1+$E8)^((YEAR(TIMELINE!AZ7)-2025)+(MONTH(TIMELINE!AZ7)-1)/12)        /12        *INDEX(Assumptions_Commercial!$B$22:$B$33,MONTH(TIMELINE!AZ7))</f>
        <v/>
      </c>
      <c r="BE8" s="31">
        <f>$D8        *(1+$E8)^((YEAR(TIMELINE!BA7)-2025)+(MONTH(TIMELINE!BA7)-1)/12)        /12        *INDEX(Assumptions_Commercial!$B$22:$B$33,MONTH(TIMELINE!BA7))</f>
        <v/>
      </c>
      <c r="BF8" s="31">
        <f>$D8        *(1+$E8)^((YEAR(TIMELINE!BB7)-2025)+(MONTH(TIMELINE!BB7)-1)/12)        /12        *INDEX(Assumptions_Commercial!$B$22:$B$33,MONTH(TIMELINE!BB7))</f>
        <v/>
      </c>
      <c r="BG8" s="31">
        <f>$D8        *(1+$E8)^((YEAR(TIMELINE!BC7)-2025)+(MONTH(TIMELINE!BC7)-1)/12)        /12        *INDEX(Assumptions_Commercial!$B$22:$B$33,MONTH(TIMELINE!BC7))</f>
        <v/>
      </c>
      <c r="BH8" s="31">
        <f>$D8        *(1+$E8)^((YEAR(TIMELINE!BD7)-2025)+(MONTH(TIMELINE!BD7)-1)/12)        /12        *INDEX(Assumptions_Commercial!$B$22:$B$33,MONTH(TIMELINE!BD7))</f>
        <v/>
      </c>
      <c r="BI8" s="31">
        <f>$D8        *(1+$E8)^((YEAR(TIMELINE!BE7)-2025)+(MONTH(TIMELINE!BE7)-1)/12)        /12        *INDEX(Assumptions_Commercial!$B$22:$B$33,MONTH(TIMELINE!BE7))</f>
        <v/>
      </c>
      <c r="BJ8" s="31">
        <f>$D8        *(1+$E8)^((YEAR(TIMELINE!BF7)-2025)+(MONTH(TIMELINE!BF7)-1)/12)        /12        *INDEX(Assumptions_Commercial!$B$22:$B$33,MONTH(TIMELINE!BF7))</f>
        <v/>
      </c>
      <c r="BK8" s="31">
        <f>$D8        *(1+$E8)^((YEAR(TIMELINE!BG7)-2025)+(MONTH(TIMELINE!BG7)-1)/12)        /12        *INDEX(Assumptions_Commercial!$B$22:$B$33,MONTH(TIMELINE!BG7))</f>
        <v/>
      </c>
      <c r="BL8" s="31">
        <f>$D8        *(1+$E8)^((YEAR(TIMELINE!BH7)-2025)+(MONTH(TIMELINE!BH7)-1)/12)        /12        *INDEX(Assumptions_Commercial!$B$22:$B$33,MONTH(TIMELINE!BH7))</f>
        <v/>
      </c>
      <c r="BM8" s="31">
        <f>$D8        *(1+$E8)^((YEAR(TIMELINE!BI7)-2025)+(MONTH(TIMELINE!BI7)-1)/12)        /12        *INDEX(Assumptions_Commercial!$B$22:$B$33,MONTH(TIMELINE!BI7))</f>
        <v/>
      </c>
      <c r="BN8" s="31">
        <f>$D8        *(1+$E8)^((YEAR(TIMELINE!BJ7)-2025)+(MONTH(TIMELINE!BJ7)-1)/12)        /12        *INDEX(Assumptions_Commercial!$B$22:$B$33,MONTH(TIMELINE!BJ7))</f>
        <v/>
      </c>
      <c r="BO8" s="31">
        <f>$D8        *(1+$E8)^((YEAR(TIMELINE!BK7)-2025)+(MONTH(TIMELINE!BK7)-1)/12)        /12        *INDEX(Assumptions_Commercial!$B$22:$B$33,MONTH(TIMELINE!BK7))</f>
        <v/>
      </c>
      <c r="BP8" s="31">
        <f>$D8        *(1+$E8)^((YEAR(TIMELINE!BL7)-2025)+(MONTH(TIMELINE!BL7)-1)/12)        /12        *INDEX(Assumptions_Commercial!$B$22:$B$33,MONTH(TIMELINE!BL7))</f>
        <v/>
      </c>
      <c r="BQ8" s="31">
        <f>$D8        *(1+$E8)^((YEAR(TIMELINE!BM7)-2025)+(MONTH(TIMELINE!BM7)-1)/12)        /12        *INDEX(Assumptions_Commercial!$B$22:$B$33,MONTH(TIMELINE!BM7))</f>
        <v/>
      </c>
      <c r="BR8" s="31">
        <f>$D8        *(1+$E8)^((YEAR(TIMELINE!BN7)-2025)+(MONTH(TIMELINE!BN7)-1)/12)        /12        *INDEX(Assumptions_Commercial!$B$22:$B$33,MONTH(TIMELINE!BN7))</f>
        <v/>
      </c>
      <c r="BS8" s="31">
        <f>$D8        *(1+$E8)^((YEAR(TIMELINE!BO7)-2025)+(MONTH(TIMELINE!BO7)-1)/12)        /12        *INDEX(Assumptions_Commercial!$B$22:$B$33,MONTH(TIMELINE!BO7))</f>
        <v/>
      </c>
      <c r="BT8" s="31">
        <f>$D8        *(1+$E8)^((YEAR(TIMELINE!BP7)-2025)+(MONTH(TIMELINE!BP7)-1)/12)        /12        *INDEX(Assumptions_Commercial!$B$22:$B$33,MONTH(TIMELINE!BP7))</f>
        <v/>
      </c>
      <c r="BU8" s="31">
        <f>$D8        *(1+$E8)^((YEAR(TIMELINE!BQ7)-2025)+(MONTH(TIMELINE!BQ7)-1)/12)        /12        *INDEX(Assumptions_Commercial!$B$22:$B$33,MONTH(TIMELINE!BQ7))</f>
        <v/>
      </c>
      <c r="BV8" s="31">
        <f>$D8        *(1+$E8)^((YEAR(TIMELINE!BR7)-2025)+(MONTH(TIMELINE!BR7)-1)/12)        /12        *INDEX(Assumptions_Commercial!$B$22:$B$33,MONTH(TIMELINE!BR7))</f>
        <v/>
      </c>
      <c r="BW8" s="31">
        <f>$D8        *(1+$E8)^((YEAR(TIMELINE!BS7)-2025)+(MONTH(TIMELINE!BS7)-1)/12)        /12        *INDEX(Assumptions_Commercial!$B$22:$B$33,MONTH(TIMELINE!BS7))</f>
        <v/>
      </c>
      <c r="BX8" s="31">
        <f>$D8        *(1+$E8)^((YEAR(TIMELINE!BT7)-2025)+(MONTH(TIMELINE!BT7)-1)/12)        /12        *INDEX(Assumptions_Commercial!$B$22:$B$33,MONTH(TIMELINE!BT7))</f>
        <v/>
      </c>
      <c r="BY8" s="31">
        <f>$D8        *(1+$E8)^((YEAR(TIMELINE!BU7)-2025)+(MONTH(TIMELINE!BU7)-1)/12)        /12        *INDEX(Assumptions_Commercial!$B$22:$B$33,MONTH(TIMELINE!BU7))</f>
        <v/>
      </c>
      <c r="BZ8" s="31">
        <f>$D8        *(1+$E8)^((YEAR(TIMELINE!BV7)-2025)+(MONTH(TIMELINE!BV7)-1)/12)        /12        *INDEX(Assumptions_Commercial!$B$22:$B$33,MONTH(TIMELINE!BV7))</f>
        <v/>
      </c>
      <c r="CA8" s="31">
        <f>$D8        *(1+$E8)^((YEAR(TIMELINE!BW7)-2025)+(MONTH(TIMELINE!BW7)-1)/12)        /12        *INDEX(Assumptions_Commercial!$B$22:$B$33,MONTH(TIMELINE!BW7))</f>
        <v/>
      </c>
      <c r="CB8" s="31">
        <f>$D8        *(1+$E8)^((YEAR(TIMELINE!BX7)-2025)+(MONTH(TIMELINE!BX7)-1)/12)        /12        *INDEX(Assumptions_Commercial!$B$22:$B$33,MONTH(TIMELINE!BX7))</f>
        <v/>
      </c>
      <c r="CC8" s="31">
        <f>$D8        *(1+$E8)^((YEAR(TIMELINE!BY7)-2025)+(MONTH(TIMELINE!BY7)-1)/12)        /12        *INDEX(Assumptions_Commercial!$B$22:$B$33,MONTH(TIMELINE!BY7))</f>
        <v/>
      </c>
      <c r="CD8" s="31">
        <f>$D8        *(1+$E8)^((YEAR(TIMELINE!BZ7)-2025)+(MONTH(TIMELINE!BZ7)-1)/12)        /12        *INDEX(Assumptions_Commercial!$B$22:$B$33,MONTH(TIMELINE!BZ7))</f>
        <v/>
      </c>
      <c r="CE8" s="31">
        <f>$D8        *(1+$E8)^((YEAR(TIMELINE!CA7)-2025)+(MONTH(TIMELINE!CA7)-1)/12)        /12        *INDEX(Assumptions_Commercial!$B$22:$B$33,MONTH(TIMELINE!CA7))</f>
        <v/>
      </c>
      <c r="CF8" s="31">
        <f>$D8        *(1+$E8)^((YEAR(TIMELINE!CB7)-2025)+(MONTH(TIMELINE!CB7)-1)/12)        /12        *INDEX(Assumptions_Commercial!$B$22:$B$33,MONTH(TIMELINE!CB7))</f>
        <v/>
      </c>
      <c r="CG8" s="31">
        <f>$D8        *(1+$E8)^((YEAR(TIMELINE!CC7)-2025)+(MONTH(TIMELINE!CC7)-1)/12)        /12        *INDEX(Assumptions_Commercial!$B$22:$B$33,MONTH(TIMELINE!CC7))</f>
        <v/>
      </c>
      <c r="CH8" s="31">
        <f>$D8        *(1+$E8)^((YEAR(TIMELINE!CD7)-2025)+(MONTH(TIMELINE!CD7)-1)/12)        /12        *INDEX(Assumptions_Commercial!$B$22:$B$33,MONTH(TIMELINE!CD7))</f>
        <v/>
      </c>
      <c r="CI8" s="31">
        <f>$D8        *(1+$E8)^((YEAR(TIMELINE!CE7)-2025)+(MONTH(TIMELINE!CE7)-1)/12)        /12        *INDEX(Assumptions_Commercial!$B$22:$B$33,MONTH(TIMELINE!CE7))</f>
        <v/>
      </c>
      <c r="CJ8" s="31">
        <f>$D8        *(1+$E8)^((YEAR(TIMELINE!CF7)-2025)+(MONTH(TIMELINE!CF7)-1)/12)        /12        *INDEX(Assumptions_Commercial!$B$22:$B$33,MONTH(TIMELINE!CF7))</f>
        <v/>
      </c>
      <c r="CK8" s="31">
        <f>$D8        *(1+$E8)^((YEAR(TIMELINE!CG7)-2025)+(MONTH(TIMELINE!CG7)-1)/12)        /12        *INDEX(Assumptions_Commercial!$B$22:$B$33,MONTH(TIMELINE!CG7))</f>
        <v/>
      </c>
      <c r="CL8" s="31">
        <f>$D8        *(1+$E8)^((YEAR(TIMELINE!CH7)-2025)+(MONTH(TIMELINE!CH7)-1)/12)        /12        *INDEX(Assumptions_Commercial!$B$22:$B$33,MONTH(TIMELINE!CH7))</f>
        <v/>
      </c>
      <c r="CM8" s="31">
        <f>$D8        *(1+$E8)^((YEAR(TIMELINE!CI7)-2025)+(MONTH(TIMELINE!CI7)-1)/12)        /12        *INDEX(Assumptions_Commercial!$B$22:$B$33,MONTH(TIMELINE!CI7))</f>
        <v/>
      </c>
      <c r="CN8" s="31">
        <f>$D8        *(1+$E8)^((YEAR(TIMELINE!CJ7)-2025)+(MONTH(TIMELINE!CJ7)-1)/12)        /12        *INDEX(Assumptions_Commercial!$B$22:$B$33,MONTH(TIMELINE!CJ7))</f>
        <v/>
      </c>
      <c r="CO8" s="31">
        <f>$D8        *(1+$E8)^((YEAR(TIMELINE!CK7)-2025)+(MONTH(TIMELINE!CK7)-1)/12)        /12        *INDEX(Assumptions_Commercial!$B$22:$B$33,MONTH(TIMELINE!CK7))</f>
        <v/>
      </c>
      <c r="CP8" s="31">
        <f>$D8        *(1+$E8)^((YEAR(TIMELINE!CL7)-2025)+(MONTH(TIMELINE!CL7)-1)/12)        /12        *INDEX(Assumptions_Commercial!$B$22:$B$33,MONTH(TIMELINE!CL7))</f>
        <v/>
      </c>
      <c r="CQ8" s="31">
        <f>$D8        *(1+$E8)^((YEAR(TIMELINE!CM7)-2025)+(MONTH(TIMELINE!CM7)-1)/12)        /12        *INDEX(Assumptions_Commercial!$B$22:$B$33,MONTH(TIMELINE!CM7))</f>
        <v/>
      </c>
      <c r="CR8" s="31">
        <f>$D8        *(1+$E8)^((YEAR(TIMELINE!CN7)-2025)+(MONTH(TIMELINE!CN7)-1)/12)        /12        *INDEX(Assumptions_Commercial!$B$22:$B$33,MONTH(TIMELINE!CN7))</f>
        <v/>
      </c>
      <c r="CS8" s="31">
        <f>$D8        *(1+$E8)^((YEAR(TIMELINE!CO7)-2025)+(MONTH(TIMELINE!CO7)-1)/12)        /12        *INDEX(Assumptions_Commercial!$B$22:$B$33,MONTH(TIMELINE!CO7))</f>
        <v/>
      </c>
      <c r="CT8" s="31">
        <f>$D8        *(1+$E8)^((YEAR(TIMELINE!CP7)-2025)+(MONTH(TIMELINE!CP7)-1)/12)        /12        *INDEX(Assumptions_Commercial!$B$22:$B$33,MONTH(TIMELINE!CP7))</f>
        <v/>
      </c>
      <c r="CU8" s="31">
        <f>$D8        *(1+$E8)^((YEAR(TIMELINE!CQ7)-2025)+(MONTH(TIMELINE!CQ7)-1)/12)        /12        *INDEX(Assumptions_Commercial!$B$22:$B$33,MONTH(TIMELINE!CQ7))</f>
        <v/>
      </c>
      <c r="CV8" s="31">
        <f>$D8        *(1+$E8)^((YEAR(TIMELINE!CR7)-2025)+(MONTH(TIMELINE!CR7)-1)/12)        /12        *INDEX(Assumptions_Commercial!$B$22:$B$33,MONTH(TIMELINE!CR7))</f>
        <v/>
      </c>
      <c r="CW8" s="31">
        <f>$D8        *(1+$E8)^((YEAR(TIMELINE!CS7)-2025)+(MONTH(TIMELINE!CS7)-1)/12)        /12        *INDEX(Assumptions_Commercial!$B$22:$B$33,MONTH(TIMELINE!CS7))</f>
        <v/>
      </c>
      <c r="CX8" s="31">
        <f>$D8        *(1+$E8)^((YEAR(TIMELINE!CT7)-2025)+(MONTH(TIMELINE!CT7)-1)/12)        /12        *INDEX(Assumptions_Commercial!$B$22:$B$33,MONTH(TIMELINE!CT7))</f>
        <v/>
      </c>
      <c r="CY8" s="31">
        <f>$D8        *(1+$E8)^((YEAR(TIMELINE!CU7)-2025)+(MONTH(TIMELINE!CU7)-1)/12)        /12        *INDEX(Assumptions_Commercial!$B$22:$B$33,MONTH(TIMELINE!CU7))</f>
        <v/>
      </c>
      <c r="CZ8" s="31">
        <f>$D8        *(1+$E8)^((YEAR(TIMELINE!CV7)-2025)+(MONTH(TIMELINE!CV7)-1)/12)        /12        *INDEX(Assumptions_Commercial!$B$22:$B$33,MONTH(TIMELINE!CV7))</f>
        <v/>
      </c>
      <c r="DA8" s="31">
        <f>$D8        *(1+$E8)^((YEAR(TIMELINE!CW7)-2025)+(MONTH(TIMELINE!CW7)-1)/12)        /12        *INDEX(Assumptions_Commercial!$B$22:$B$33,MONTH(TIMELINE!CW7))</f>
        <v/>
      </c>
      <c r="DB8" s="31">
        <f>$D8        *(1+$E8)^((YEAR(TIMELINE!CX7)-2025)+(MONTH(TIMELINE!CX7)-1)/12)        /12        *INDEX(Assumptions_Commercial!$B$22:$B$33,MONTH(TIMELINE!CX7))</f>
        <v/>
      </c>
      <c r="DC8" s="31">
        <f>$D8        *(1+$E8)^((YEAR(TIMELINE!CY7)-2025)+(MONTH(TIMELINE!CY7)-1)/12)        /12        *INDEX(Assumptions_Commercial!$B$22:$B$33,MONTH(TIMELINE!CY7))</f>
        <v/>
      </c>
      <c r="DD8" s="31">
        <f>$D8        *(1+$E8)^((YEAR(TIMELINE!CZ7)-2025)+(MONTH(TIMELINE!CZ7)-1)/12)        /12        *INDEX(Assumptions_Commercial!$B$22:$B$33,MONTH(TIMELINE!CZ7))</f>
        <v/>
      </c>
      <c r="DE8" s="31">
        <f>$D8        *(1+$E8)^((YEAR(TIMELINE!DA7)-2025)+(MONTH(TIMELINE!DA7)-1)/12)        /12        *INDEX(Assumptions_Commercial!$B$22:$B$33,MONTH(TIMELINE!DA7))</f>
        <v/>
      </c>
      <c r="DF8" s="31">
        <f>$D8        *(1+$E8)^((YEAR(TIMELINE!DB7)-2025)+(MONTH(TIMELINE!DB7)-1)/12)        /12        *INDEX(Assumptions_Commercial!$B$22:$B$33,MONTH(TIMELINE!DB7))</f>
        <v/>
      </c>
      <c r="DG8" s="31">
        <f>$D8        *(1+$E8)^((YEAR(TIMELINE!DC7)-2025)+(MONTH(TIMELINE!DC7)-1)/12)        /12        *INDEX(Assumptions_Commercial!$B$22:$B$33,MONTH(TIMELINE!DC7))</f>
        <v/>
      </c>
      <c r="DH8" s="31">
        <f>$D8        *(1+$E8)^((YEAR(TIMELINE!DD7)-2025)+(MONTH(TIMELINE!DD7)-1)/12)        /12        *INDEX(Assumptions_Commercial!$B$22:$B$33,MONTH(TIMELINE!DD7))</f>
        <v/>
      </c>
      <c r="DI8" s="31">
        <f>$D8        *(1+$E8)^((YEAR(TIMELINE!DE7)-2025)+(MONTH(TIMELINE!DE7)-1)/12)        /12        *INDEX(Assumptions_Commercial!$B$22:$B$33,MONTH(TIMELINE!DE7))</f>
        <v/>
      </c>
      <c r="DJ8" s="31">
        <f>$D8        *(1+$E8)^((YEAR(TIMELINE!DF7)-2025)+(MONTH(TIMELINE!DF7)-1)/12)        /12        *INDEX(Assumptions_Commercial!$B$22:$B$33,MONTH(TIMELINE!DF7))</f>
        <v/>
      </c>
      <c r="DK8" s="31">
        <f>$D8        *(1+$E8)^((YEAR(TIMELINE!DG7)-2025)+(MONTH(TIMELINE!DG7)-1)/12)        /12        *INDEX(Assumptions_Commercial!$B$22:$B$33,MONTH(TIMELINE!DG7))</f>
        <v/>
      </c>
      <c r="DL8" s="31">
        <f>$D8        *(1+$E8)^((YEAR(TIMELINE!DH7)-2025)+(MONTH(TIMELINE!DH7)-1)/12)        /12        *INDEX(Assumptions_Commercial!$B$22:$B$33,MONTH(TIMELINE!DH7))</f>
        <v/>
      </c>
      <c r="DM8" s="31">
        <f>$D8        *(1+$E8)^((YEAR(TIMELINE!DI7)-2025)+(MONTH(TIMELINE!DI7)-1)/12)        /12        *INDEX(Assumptions_Commercial!$B$22:$B$33,MONTH(TIMELINE!DI7))</f>
        <v/>
      </c>
      <c r="DN8" s="31">
        <f>$D8        *(1+$E8)^((YEAR(TIMELINE!DJ7)-2025)+(MONTH(TIMELINE!DJ7)-1)/12)        /12        *INDEX(Assumptions_Commercial!$B$22:$B$33,MONTH(TIMELINE!DJ7))</f>
        <v/>
      </c>
      <c r="DO8" s="31">
        <f>$D8        *(1+$E8)^((YEAR(TIMELINE!DK7)-2025)+(MONTH(TIMELINE!DK7)-1)/12)        /12        *INDEX(Assumptions_Commercial!$B$22:$B$33,MONTH(TIMELINE!DK7))</f>
        <v/>
      </c>
      <c r="DP8" s="31">
        <f>$D8        *(1+$E8)^((YEAR(TIMELINE!DL7)-2025)+(MONTH(TIMELINE!DL7)-1)/12)        /12        *INDEX(Assumptions_Commercial!$B$22:$B$33,MONTH(TIMELINE!DL7))</f>
        <v/>
      </c>
      <c r="DQ8" s="31">
        <f>$D8        *(1+$E8)^((YEAR(TIMELINE!DM7)-2025)+(MONTH(TIMELINE!DM7)-1)/12)        /12        *INDEX(Assumptions_Commercial!$B$22:$B$33,MONTH(TIMELINE!DM7))</f>
        <v/>
      </c>
      <c r="DR8" s="31">
        <f>$D8        *(1+$E8)^((YEAR(TIMELINE!DN7)-2025)+(MONTH(TIMELINE!DN7)-1)/12)        /12        *INDEX(Assumptions_Commercial!$B$22:$B$33,MONTH(TIMELINE!DN7))</f>
        <v/>
      </c>
      <c r="DS8" s="31">
        <f>$D8        *(1+$E8)^((YEAR(TIMELINE!DO7)-2025)+(MONTH(TIMELINE!DO7)-1)/12)        /12        *INDEX(Assumptions_Commercial!$B$22:$B$33,MONTH(TIMELINE!DO7))</f>
        <v/>
      </c>
      <c r="DT8" s="31">
        <f>$D8        *(1+$E8)^((YEAR(TIMELINE!DP7)-2025)+(MONTH(TIMELINE!DP7)-1)/12)        /12        *INDEX(Assumptions_Commercial!$B$22:$B$33,MONTH(TIMELINE!DP7))</f>
        <v/>
      </c>
      <c r="DU8" s="31">
        <f>$D8        *(1+$E8)^((YEAR(TIMELINE!DQ7)-2025)+(MONTH(TIMELINE!DQ7)-1)/12)        /12        *INDEX(Assumptions_Commercial!$B$22:$B$33,MONTH(TIMELINE!DQ7))</f>
        <v/>
      </c>
    </row>
    <row r="9">
      <c r="A9" t="inlineStr">
        <is>
          <t>SKU-04</t>
        </is>
      </c>
      <c r="B9" t="inlineStr">
        <is>
          <t>Off-Trade</t>
        </is>
      </c>
      <c r="C9" t="inlineStr">
        <is>
          <t>AU</t>
        </is>
      </c>
      <c r="D9" s="14" t="n">
        <v>30000</v>
      </c>
      <c r="E9" s="30">
        <f>INDEX(Assumptions_Commercial!$B$5:$D$5,CONTROL!$B$5)</f>
        <v/>
      </c>
      <c r="F9" s="31">
        <f>$D9        *(1+$E9)^((YEAR(TIMELINE!B7)-2025)+(MONTH(TIMELINE!B7)-1)/12)        /12        *INDEX(Assumptions_Commercial!$B$22:$B$33,MONTH(TIMELINE!B7))</f>
        <v/>
      </c>
      <c r="G9" s="31">
        <f>$D9        *(1+$E9)^((YEAR(TIMELINE!C7)-2025)+(MONTH(TIMELINE!C7)-1)/12)        /12        *INDEX(Assumptions_Commercial!$B$22:$B$33,MONTH(TIMELINE!C7))</f>
        <v/>
      </c>
      <c r="H9" s="31">
        <f>$D9        *(1+$E9)^((YEAR(TIMELINE!D7)-2025)+(MONTH(TIMELINE!D7)-1)/12)        /12        *INDEX(Assumptions_Commercial!$B$22:$B$33,MONTH(TIMELINE!D7))</f>
        <v/>
      </c>
      <c r="I9" s="31">
        <f>$D9        *(1+$E9)^((YEAR(TIMELINE!E7)-2025)+(MONTH(TIMELINE!E7)-1)/12)        /12        *INDEX(Assumptions_Commercial!$B$22:$B$33,MONTH(TIMELINE!E7))</f>
        <v/>
      </c>
      <c r="J9" s="31">
        <f>$D9        *(1+$E9)^((YEAR(TIMELINE!F7)-2025)+(MONTH(TIMELINE!F7)-1)/12)        /12        *INDEX(Assumptions_Commercial!$B$22:$B$33,MONTH(TIMELINE!F7))</f>
        <v/>
      </c>
      <c r="K9" s="31">
        <f>$D9        *(1+$E9)^((YEAR(TIMELINE!G7)-2025)+(MONTH(TIMELINE!G7)-1)/12)        /12        *INDEX(Assumptions_Commercial!$B$22:$B$33,MONTH(TIMELINE!G7))</f>
        <v/>
      </c>
      <c r="L9" s="31">
        <f>$D9        *(1+$E9)^((YEAR(TIMELINE!H7)-2025)+(MONTH(TIMELINE!H7)-1)/12)        /12        *INDEX(Assumptions_Commercial!$B$22:$B$33,MONTH(TIMELINE!H7))</f>
        <v/>
      </c>
      <c r="M9" s="31">
        <f>$D9        *(1+$E9)^((YEAR(TIMELINE!I7)-2025)+(MONTH(TIMELINE!I7)-1)/12)        /12        *INDEX(Assumptions_Commercial!$B$22:$B$33,MONTH(TIMELINE!I7))</f>
        <v/>
      </c>
      <c r="N9" s="31">
        <f>$D9        *(1+$E9)^((YEAR(TIMELINE!J7)-2025)+(MONTH(TIMELINE!J7)-1)/12)        /12        *INDEX(Assumptions_Commercial!$B$22:$B$33,MONTH(TIMELINE!J7))</f>
        <v/>
      </c>
      <c r="O9" s="31">
        <f>$D9        *(1+$E9)^((YEAR(TIMELINE!K7)-2025)+(MONTH(TIMELINE!K7)-1)/12)        /12        *INDEX(Assumptions_Commercial!$B$22:$B$33,MONTH(TIMELINE!K7))</f>
        <v/>
      </c>
      <c r="P9" s="31">
        <f>$D9        *(1+$E9)^((YEAR(TIMELINE!L7)-2025)+(MONTH(TIMELINE!L7)-1)/12)        /12        *INDEX(Assumptions_Commercial!$B$22:$B$33,MONTH(TIMELINE!L7))</f>
        <v/>
      </c>
      <c r="Q9" s="31">
        <f>$D9        *(1+$E9)^((YEAR(TIMELINE!M7)-2025)+(MONTH(TIMELINE!M7)-1)/12)        /12        *INDEX(Assumptions_Commercial!$B$22:$B$33,MONTH(TIMELINE!M7))</f>
        <v/>
      </c>
      <c r="R9" s="31">
        <f>$D9        *(1+$E9)^((YEAR(TIMELINE!N7)-2025)+(MONTH(TIMELINE!N7)-1)/12)        /12        *INDEX(Assumptions_Commercial!$B$22:$B$33,MONTH(TIMELINE!N7))</f>
        <v/>
      </c>
      <c r="S9" s="31">
        <f>$D9        *(1+$E9)^((YEAR(TIMELINE!O7)-2025)+(MONTH(TIMELINE!O7)-1)/12)        /12        *INDEX(Assumptions_Commercial!$B$22:$B$33,MONTH(TIMELINE!O7))</f>
        <v/>
      </c>
      <c r="T9" s="31">
        <f>$D9        *(1+$E9)^((YEAR(TIMELINE!P7)-2025)+(MONTH(TIMELINE!P7)-1)/12)        /12        *INDEX(Assumptions_Commercial!$B$22:$B$33,MONTH(TIMELINE!P7))</f>
        <v/>
      </c>
      <c r="U9" s="31">
        <f>$D9        *(1+$E9)^((YEAR(TIMELINE!Q7)-2025)+(MONTH(TIMELINE!Q7)-1)/12)        /12        *INDEX(Assumptions_Commercial!$B$22:$B$33,MONTH(TIMELINE!Q7))</f>
        <v/>
      </c>
      <c r="V9" s="31">
        <f>$D9        *(1+$E9)^((YEAR(TIMELINE!R7)-2025)+(MONTH(TIMELINE!R7)-1)/12)        /12        *INDEX(Assumptions_Commercial!$B$22:$B$33,MONTH(TIMELINE!R7))</f>
        <v/>
      </c>
      <c r="W9" s="31">
        <f>$D9        *(1+$E9)^((YEAR(TIMELINE!S7)-2025)+(MONTH(TIMELINE!S7)-1)/12)        /12        *INDEX(Assumptions_Commercial!$B$22:$B$33,MONTH(TIMELINE!S7))</f>
        <v/>
      </c>
      <c r="X9" s="31">
        <f>$D9        *(1+$E9)^((YEAR(TIMELINE!T7)-2025)+(MONTH(TIMELINE!T7)-1)/12)        /12        *INDEX(Assumptions_Commercial!$B$22:$B$33,MONTH(TIMELINE!T7))</f>
        <v/>
      </c>
      <c r="Y9" s="31">
        <f>$D9        *(1+$E9)^((YEAR(TIMELINE!U7)-2025)+(MONTH(TIMELINE!U7)-1)/12)        /12        *INDEX(Assumptions_Commercial!$B$22:$B$33,MONTH(TIMELINE!U7))</f>
        <v/>
      </c>
      <c r="Z9" s="31">
        <f>$D9        *(1+$E9)^((YEAR(TIMELINE!V7)-2025)+(MONTH(TIMELINE!V7)-1)/12)        /12        *INDEX(Assumptions_Commercial!$B$22:$B$33,MONTH(TIMELINE!V7))</f>
        <v/>
      </c>
      <c r="AA9" s="31">
        <f>$D9        *(1+$E9)^((YEAR(TIMELINE!W7)-2025)+(MONTH(TIMELINE!W7)-1)/12)        /12        *INDEX(Assumptions_Commercial!$B$22:$B$33,MONTH(TIMELINE!W7))</f>
        <v/>
      </c>
      <c r="AB9" s="31">
        <f>$D9        *(1+$E9)^((YEAR(TIMELINE!X7)-2025)+(MONTH(TIMELINE!X7)-1)/12)        /12        *INDEX(Assumptions_Commercial!$B$22:$B$33,MONTH(TIMELINE!X7))</f>
        <v/>
      </c>
      <c r="AC9" s="31">
        <f>$D9        *(1+$E9)^((YEAR(TIMELINE!Y7)-2025)+(MONTH(TIMELINE!Y7)-1)/12)        /12        *INDEX(Assumptions_Commercial!$B$22:$B$33,MONTH(TIMELINE!Y7))</f>
        <v/>
      </c>
      <c r="AD9" s="31">
        <f>$D9        *(1+$E9)^((YEAR(TIMELINE!Z7)-2025)+(MONTH(TIMELINE!Z7)-1)/12)        /12        *INDEX(Assumptions_Commercial!$B$22:$B$33,MONTH(TIMELINE!Z7))</f>
        <v/>
      </c>
      <c r="AE9" s="31">
        <f>$D9        *(1+$E9)^((YEAR(TIMELINE!AA7)-2025)+(MONTH(TIMELINE!AA7)-1)/12)        /12        *INDEX(Assumptions_Commercial!$B$22:$B$33,MONTH(TIMELINE!AA7))</f>
        <v/>
      </c>
      <c r="AF9" s="31">
        <f>$D9        *(1+$E9)^((YEAR(TIMELINE!AB7)-2025)+(MONTH(TIMELINE!AB7)-1)/12)        /12        *INDEX(Assumptions_Commercial!$B$22:$B$33,MONTH(TIMELINE!AB7))</f>
        <v/>
      </c>
      <c r="AG9" s="31">
        <f>$D9        *(1+$E9)^((YEAR(TIMELINE!AC7)-2025)+(MONTH(TIMELINE!AC7)-1)/12)        /12        *INDEX(Assumptions_Commercial!$B$22:$B$33,MONTH(TIMELINE!AC7))</f>
        <v/>
      </c>
      <c r="AH9" s="31">
        <f>$D9        *(1+$E9)^((YEAR(TIMELINE!AD7)-2025)+(MONTH(TIMELINE!AD7)-1)/12)        /12        *INDEX(Assumptions_Commercial!$B$22:$B$33,MONTH(TIMELINE!AD7))</f>
        <v/>
      </c>
      <c r="AI9" s="31">
        <f>$D9        *(1+$E9)^((YEAR(TIMELINE!AE7)-2025)+(MONTH(TIMELINE!AE7)-1)/12)        /12        *INDEX(Assumptions_Commercial!$B$22:$B$33,MONTH(TIMELINE!AE7))</f>
        <v/>
      </c>
      <c r="AJ9" s="31">
        <f>$D9        *(1+$E9)^((YEAR(TIMELINE!AF7)-2025)+(MONTH(TIMELINE!AF7)-1)/12)        /12        *INDEX(Assumptions_Commercial!$B$22:$B$33,MONTH(TIMELINE!AF7))</f>
        <v/>
      </c>
      <c r="AK9" s="31">
        <f>$D9        *(1+$E9)^((YEAR(TIMELINE!AG7)-2025)+(MONTH(TIMELINE!AG7)-1)/12)        /12        *INDEX(Assumptions_Commercial!$B$22:$B$33,MONTH(TIMELINE!AG7))</f>
        <v/>
      </c>
      <c r="AL9" s="31">
        <f>$D9        *(1+$E9)^((YEAR(TIMELINE!AH7)-2025)+(MONTH(TIMELINE!AH7)-1)/12)        /12        *INDEX(Assumptions_Commercial!$B$22:$B$33,MONTH(TIMELINE!AH7))</f>
        <v/>
      </c>
      <c r="AM9" s="31">
        <f>$D9        *(1+$E9)^((YEAR(TIMELINE!AI7)-2025)+(MONTH(TIMELINE!AI7)-1)/12)        /12        *INDEX(Assumptions_Commercial!$B$22:$B$33,MONTH(TIMELINE!AI7))</f>
        <v/>
      </c>
      <c r="AN9" s="31">
        <f>$D9        *(1+$E9)^((YEAR(TIMELINE!AJ7)-2025)+(MONTH(TIMELINE!AJ7)-1)/12)        /12        *INDEX(Assumptions_Commercial!$B$22:$B$33,MONTH(TIMELINE!AJ7))</f>
        <v/>
      </c>
      <c r="AO9" s="31">
        <f>$D9        *(1+$E9)^((YEAR(TIMELINE!AK7)-2025)+(MONTH(TIMELINE!AK7)-1)/12)        /12        *INDEX(Assumptions_Commercial!$B$22:$B$33,MONTH(TIMELINE!AK7))</f>
        <v/>
      </c>
      <c r="AP9" s="31">
        <f>$D9        *(1+$E9)^((YEAR(TIMELINE!AL7)-2025)+(MONTH(TIMELINE!AL7)-1)/12)        /12        *INDEX(Assumptions_Commercial!$B$22:$B$33,MONTH(TIMELINE!AL7))</f>
        <v/>
      </c>
      <c r="AQ9" s="31">
        <f>$D9        *(1+$E9)^((YEAR(TIMELINE!AM7)-2025)+(MONTH(TIMELINE!AM7)-1)/12)        /12        *INDEX(Assumptions_Commercial!$B$22:$B$33,MONTH(TIMELINE!AM7))</f>
        <v/>
      </c>
      <c r="AR9" s="31">
        <f>$D9        *(1+$E9)^((YEAR(TIMELINE!AN7)-2025)+(MONTH(TIMELINE!AN7)-1)/12)        /12        *INDEX(Assumptions_Commercial!$B$22:$B$33,MONTH(TIMELINE!AN7))</f>
        <v/>
      </c>
      <c r="AS9" s="31">
        <f>$D9        *(1+$E9)^((YEAR(TIMELINE!AO7)-2025)+(MONTH(TIMELINE!AO7)-1)/12)        /12        *INDEX(Assumptions_Commercial!$B$22:$B$33,MONTH(TIMELINE!AO7))</f>
        <v/>
      </c>
      <c r="AT9" s="31">
        <f>$D9        *(1+$E9)^((YEAR(TIMELINE!AP7)-2025)+(MONTH(TIMELINE!AP7)-1)/12)        /12        *INDEX(Assumptions_Commercial!$B$22:$B$33,MONTH(TIMELINE!AP7))</f>
        <v/>
      </c>
      <c r="AU9" s="31">
        <f>$D9        *(1+$E9)^((YEAR(TIMELINE!AQ7)-2025)+(MONTH(TIMELINE!AQ7)-1)/12)        /12        *INDEX(Assumptions_Commercial!$B$22:$B$33,MONTH(TIMELINE!AQ7))</f>
        <v/>
      </c>
      <c r="AV9" s="31">
        <f>$D9        *(1+$E9)^((YEAR(TIMELINE!AR7)-2025)+(MONTH(TIMELINE!AR7)-1)/12)        /12        *INDEX(Assumptions_Commercial!$B$22:$B$33,MONTH(TIMELINE!AR7))</f>
        <v/>
      </c>
      <c r="AW9" s="31">
        <f>$D9        *(1+$E9)^((YEAR(TIMELINE!AS7)-2025)+(MONTH(TIMELINE!AS7)-1)/12)        /12        *INDEX(Assumptions_Commercial!$B$22:$B$33,MONTH(TIMELINE!AS7))</f>
        <v/>
      </c>
      <c r="AX9" s="31">
        <f>$D9        *(1+$E9)^((YEAR(TIMELINE!AT7)-2025)+(MONTH(TIMELINE!AT7)-1)/12)        /12        *INDEX(Assumptions_Commercial!$B$22:$B$33,MONTH(TIMELINE!AT7))</f>
        <v/>
      </c>
      <c r="AY9" s="31">
        <f>$D9        *(1+$E9)^((YEAR(TIMELINE!AU7)-2025)+(MONTH(TIMELINE!AU7)-1)/12)        /12        *INDEX(Assumptions_Commercial!$B$22:$B$33,MONTH(TIMELINE!AU7))</f>
        <v/>
      </c>
      <c r="AZ9" s="31">
        <f>$D9        *(1+$E9)^((YEAR(TIMELINE!AV7)-2025)+(MONTH(TIMELINE!AV7)-1)/12)        /12        *INDEX(Assumptions_Commercial!$B$22:$B$33,MONTH(TIMELINE!AV7))</f>
        <v/>
      </c>
      <c r="BA9" s="31">
        <f>$D9        *(1+$E9)^((YEAR(TIMELINE!AW7)-2025)+(MONTH(TIMELINE!AW7)-1)/12)        /12        *INDEX(Assumptions_Commercial!$B$22:$B$33,MONTH(TIMELINE!AW7))</f>
        <v/>
      </c>
      <c r="BB9" s="31">
        <f>$D9        *(1+$E9)^((YEAR(TIMELINE!AX7)-2025)+(MONTH(TIMELINE!AX7)-1)/12)        /12        *INDEX(Assumptions_Commercial!$B$22:$B$33,MONTH(TIMELINE!AX7))</f>
        <v/>
      </c>
      <c r="BC9" s="31">
        <f>$D9        *(1+$E9)^((YEAR(TIMELINE!AY7)-2025)+(MONTH(TIMELINE!AY7)-1)/12)        /12        *INDEX(Assumptions_Commercial!$B$22:$B$33,MONTH(TIMELINE!AY7))</f>
        <v/>
      </c>
      <c r="BD9" s="31">
        <f>$D9        *(1+$E9)^((YEAR(TIMELINE!AZ7)-2025)+(MONTH(TIMELINE!AZ7)-1)/12)        /12        *INDEX(Assumptions_Commercial!$B$22:$B$33,MONTH(TIMELINE!AZ7))</f>
        <v/>
      </c>
      <c r="BE9" s="31">
        <f>$D9        *(1+$E9)^((YEAR(TIMELINE!BA7)-2025)+(MONTH(TIMELINE!BA7)-1)/12)        /12        *INDEX(Assumptions_Commercial!$B$22:$B$33,MONTH(TIMELINE!BA7))</f>
        <v/>
      </c>
      <c r="BF9" s="31">
        <f>$D9        *(1+$E9)^((YEAR(TIMELINE!BB7)-2025)+(MONTH(TIMELINE!BB7)-1)/12)        /12        *INDEX(Assumptions_Commercial!$B$22:$B$33,MONTH(TIMELINE!BB7))</f>
        <v/>
      </c>
      <c r="BG9" s="31">
        <f>$D9        *(1+$E9)^((YEAR(TIMELINE!BC7)-2025)+(MONTH(TIMELINE!BC7)-1)/12)        /12        *INDEX(Assumptions_Commercial!$B$22:$B$33,MONTH(TIMELINE!BC7))</f>
        <v/>
      </c>
      <c r="BH9" s="31">
        <f>$D9        *(1+$E9)^((YEAR(TIMELINE!BD7)-2025)+(MONTH(TIMELINE!BD7)-1)/12)        /12        *INDEX(Assumptions_Commercial!$B$22:$B$33,MONTH(TIMELINE!BD7))</f>
        <v/>
      </c>
      <c r="BI9" s="31">
        <f>$D9        *(1+$E9)^((YEAR(TIMELINE!BE7)-2025)+(MONTH(TIMELINE!BE7)-1)/12)        /12        *INDEX(Assumptions_Commercial!$B$22:$B$33,MONTH(TIMELINE!BE7))</f>
        <v/>
      </c>
      <c r="BJ9" s="31">
        <f>$D9        *(1+$E9)^((YEAR(TIMELINE!BF7)-2025)+(MONTH(TIMELINE!BF7)-1)/12)        /12        *INDEX(Assumptions_Commercial!$B$22:$B$33,MONTH(TIMELINE!BF7))</f>
        <v/>
      </c>
      <c r="BK9" s="31">
        <f>$D9        *(1+$E9)^((YEAR(TIMELINE!BG7)-2025)+(MONTH(TIMELINE!BG7)-1)/12)        /12        *INDEX(Assumptions_Commercial!$B$22:$B$33,MONTH(TIMELINE!BG7))</f>
        <v/>
      </c>
      <c r="BL9" s="31">
        <f>$D9        *(1+$E9)^((YEAR(TIMELINE!BH7)-2025)+(MONTH(TIMELINE!BH7)-1)/12)        /12        *INDEX(Assumptions_Commercial!$B$22:$B$33,MONTH(TIMELINE!BH7))</f>
        <v/>
      </c>
      <c r="BM9" s="31">
        <f>$D9        *(1+$E9)^((YEAR(TIMELINE!BI7)-2025)+(MONTH(TIMELINE!BI7)-1)/12)        /12        *INDEX(Assumptions_Commercial!$B$22:$B$33,MONTH(TIMELINE!BI7))</f>
        <v/>
      </c>
      <c r="BN9" s="31">
        <f>$D9        *(1+$E9)^((YEAR(TIMELINE!BJ7)-2025)+(MONTH(TIMELINE!BJ7)-1)/12)        /12        *INDEX(Assumptions_Commercial!$B$22:$B$33,MONTH(TIMELINE!BJ7))</f>
        <v/>
      </c>
      <c r="BO9" s="31">
        <f>$D9        *(1+$E9)^((YEAR(TIMELINE!BK7)-2025)+(MONTH(TIMELINE!BK7)-1)/12)        /12        *INDEX(Assumptions_Commercial!$B$22:$B$33,MONTH(TIMELINE!BK7))</f>
        <v/>
      </c>
      <c r="BP9" s="31">
        <f>$D9        *(1+$E9)^((YEAR(TIMELINE!BL7)-2025)+(MONTH(TIMELINE!BL7)-1)/12)        /12        *INDEX(Assumptions_Commercial!$B$22:$B$33,MONTH(TIMELINE!BL7))</f>
        <v/>
      </c>
      <c r="BQ9" s="31">
        <f>$D9        *(1+$E9)^((YEAR(TIMELINE!BM7)-2025)+(MONTH(TIMELINE!BM7)-1)/12)        /12        *INDEX(Assumptions_Commercial!$B$22:$B$33,MONTH(TIMELINE!BM7))</f>
        <v/>
      </c>
      <c r="BR9" s="31">
        <f>$D9        *(1+$E9)^((YEAR(TIMELINE!BN7)-2025)+(MONTH(TIMELINE!BN7)-1)/12)        /12        *INDEX(Assumptions_Commercial!$B$22:$B$33,MONTH(TIMELINE!BN7))</f>
        <v/>
      </c>
      <c r="BS9" s="31">
        <f>$D9        *(1+$E9)^((YEAR(TIMELINE!BO7)-2025)+(MONTH(TIMELINE!BO7)-1)/12)        /12        *INDEX(Assumptions_Commercial!$B$22:$B$33,MONTH(TIMELINE!BO7))</f>
        <v/>
      </c>
      <c r="BT9" s="31">
        <f>$D9        *(1+$E9)^((YEAR(TIMELINE!BP7)-2025)+(MONTH(TIMELINE!BP7)-1)/12)        /12        *INDEX(Assumptions_Commercial!$B$22:$B$33,MONTH(TIMELINE!BP7))</f>
        <v/>
      </c>
      <c r="BU9" s="31">
        <f>$D9        *(1+$E9)^((YEAR(TIMELINE!BQ7)-2025)+(MONTH(TIMELINE!BQ7)-1)/12)        /12        *INDEX(Assumptions_Commercial!$B$22:$B$33,MONTH(TIMELINE!BQ7))</f>
        <v/>
      </c>
      <c r="BV9" s="31">
        <f>$D9        *(1+$E9)^((YEAR(TIMELINE!BR7)-2025)+(MONTH(TIMELINE!BR7)-1)/12)        /12        *INDEX(Assumptions_Commercial!$B$22:$B$33,MONTH(TIMELINE!BR7))</f>
        <v/>
      </c>
      <c r="BW9" s="31">
        <f>$D9        *(1+$E9)^((YEAR(TIMELINE!BS7)-2025)+(MONTH(TIMELINE!BS7)-1)/12)        /12        *INDEX(Assumptions_Commercial!$B$22:$B$33,MONTH(TIMELINE!BS7))</f>
        <v/>
      </c>
      <c r="BX9" s="31">
        <f>$D9        *(1+$E9)^((YEAR(TIMELINE!BT7)-2025)+(MONTH(TIMELINE!BT7)-1)/12)        /12        *INDEX(Assumptions_Commercial!$B$22:$B$33,MONTH(TIMELINE!BT7))</f>
        <v/>
      </c>
      <c r="BY9" s="31">
        <f>$D9        *(1+$E9)^((YEAR(TIMELINE!BU7)-2025)+(MONTH(TIMELINE!BU7)-1)/12)        /12        *INDEX(Assumptions_Commercial!$B$22:$B$33,MONTH(TIMELINE!BU7))</f>
        <v/>
      </c>
      <c r="BZ9" s="31">
        <f>$D9        *(1+$E9)^((YEAR(TIMELINE!BV7)-2025)+(MONTH(TIMELINE!BV7)-1)/12)        /12        *INDEX(Assumptions_Commercial!$B$22:$B$33,MONTH(TIMELINE!BV7))</f>
        <v/>
      </c>
      <c r="CA9" s="31">
        <f>$D9        *(1+$E9)^((YEAR(TIMELINE!BW7)-2025)+(MONTH(TIMELINE!BW7)-1)/12)        /12        *INDEX(Assumptions_Commercial!$B$22:$B$33,MONTH(TIMELINE!BW7))</f>
        <v/>
      </c>
      <c r="CB9" s="31">
        <f>$D9        *(1+$E9)^((YEAR(TIMELINE!BX7)-2025)+(MONTH(TIMELINE!BX7)-1)/12)        /12        *INDEX(Assumptions_Commercial!$B$22:$B$33,MONTH(TIMELINE!BX7))</f>
        <v/>
      </c>
      <c r="CC9" s="31">
        <f>$D9        *(1+$E9)^((YEAR(TIMELINE!BY7)-2025)+(MONTH(TIMELINE!BY7)-1)/12)        /12        *INDEX(Assumptions_Commercial!$B$22:$B$33,MONTH(TIMELINE!BY7))</f>
        <v/>
      </c>
      <c r="CD9" s="31">
        <f>$D9        *(1+$E9)^((YEAR(TIMELINE!BZ7)-2025)+(MONTH(TIMELINE!BZ7)-1)/12)        /12        *INDEX(Assumptions_Commercial!$B$22:$B$33,MONTH(TIMELINE!BZ7))</f>
        <v/>
      </c>
      <c r="CE9" s="31">
        <f>$D9        *(1+$E9)^((YEAR(TIMELINE!CA7)-2025)+(MONTH(TIMELINE!CA7)-1)/12)        /12        *INDEX(Assumptions_Commercial!$B$22:$B$33,MONTH(TIMELINE!CA7))</f>
        <v/>
      </c>
      <c r="CF9" s="31">
        <f>$D9        *(1+$E9)^((YEAR(TIMELINE!CB7)-2025)+(MONTH(TIMELINE!CB7)-1)/12)        /12        *INDEX(Assumptions_Commercial!$B$22:$B$33,MONTH(TIMELINE!CB7))</f>
        <v/>
      </c>
      <c r="CG9" s="31">
        <f>$D9        *(1+$E9)^((YEAR(TIMELINE!CC7)-2025)+(MONTH(TIMELINE!CC7)-1)/12)        /12        *INDEX(Assumptions_Commercial!$B$22:$B$33,MONTH(TIMELINE!CC7))</f>
        <v/>
      </c>
      <c r="CH9" s="31">
        <f>$D9        *(1+$E9)^((YEAR(TIMELINE!CD7)-2025)+(MONTH(TIMELINE!CD7)-1)/12)        /12        *INDEX(Assumptions_Commercial!$B$22:$B$33,MONTH(TIMELINE!CD7))</f>
        <v/>
      </c>
      <c r="CI9" s="31">
        <f>$D9        *(1+$E9)^((YEAR(TIMELINE!CE7)-2025)+(MONTH(TIMELINE!CE7)-1)/12)        /12        *INDEX(Assumptions_Commercial!$B$22:$B$33,MONTH(TIMELINE!CE7))</f>
        <v/>
      </c>
      <c r="CJ9" s="31">
        <f>$D9        *(1+$E9)^((YEAR(TIMELINE!CF7)-2025)+(MONTH(TIMELINE!CF7)-1)/12)        /12        *INDEX(Assumptions_Commercial!$B$22:$B$33,MONTH(TIMELINE!CF7))</f>
        <v/>
      </c>
      <c r="CK9" s="31">
        <f>$D9        *(1+$E9)^((YEAR(TIMELINE!CG7)-2025)+(MONTH(TIMELINE!CG7)-1)/12)        /12        *INDEX(Assumptions_Commercial!$B$22:$B$33,MONTH(TIMELINE!CG7))</f>
        <v/>
      </c>
      <c r="CL9" s="31">
        <f>$D9        *(1+$E9)^((YEAR(TIMELINE!CH7)-2025)+(MONTH(TIMELINE!CH7)-1)/12)        /12        *INDEX(Assumptions_Commercial!$B$22:$B$33,MONTH(TIMELINE!CH7))</f>
        <v/>
      </c>
      <c r="CM9" s="31">
        <f>$D9        *(1+$E9)^((YEAR(TIMELINE!CI7)-2025)+(MONTH(TIMELINE!CI7)-1)/12)        /12        *INDEX(Assumptions_Commercial!$B$22:$B$33,MONTH(TIMELINE!CI7))</f>
        <v/>
      </c>
      <c r="CN9" s="31">
        <f>$D9        *(1+$E9)^((YEAR(TIMELINE!CJ7)-2025)+(MONTH(TIMELINE!CJ7)-1)/12)        /12        *INDEX(Assumptions_Commercial!$B$22:$B$33,MONTH(TIMELINE!CJ7))</f>
        <v/>
      </c>
      <c r="CO9" s="31">
        <f>$D9        *(1+$E9)^((YEAR(TIMELINE!CK7)-2025)+(MONTH(TIMELINE!CK7)-1)/12)        /12        *INDEX(Assumptions_Commercial!$B$22:$B$33,MONTH(TIMELINE!CK7))</f>
        <v/>
      </c>
      <c r="CP9" s="31">
        <f>$D9        *(1+$E9)^((YEAR(TIMELINE!CL7)-2025)+(MONTH(TIMELINE!CL7)-1)/12)        /12        *INDEX(Assumptions_Commercial!$B$22:$B$33,MONTH(TIMELINE!CL7))</f>
        <v/>
      </c>
      <c r="CQ9" s="31">
        <f>$D9        *(1+$E9)^((YEAR(TIMELINE!CM7)-2025)+(MONTH(TIMELINE!CM7)-1)/12)        /12        *INDEX(Assumptions_Commercial!$B$22:$B$33,MONTH(TIMELINE!CM7))</f>
        <v/>
      </c>
      <c r="CR9" s="31">
        <f>$D9        *(1+$E9)^((YEAR(TIMELINE!CN7)-2025)+(MONTH(TIMELINE!CN7)-1)/12)        /12        *INDEX(Assumptions_Commercial!$B$22:$B$33,MONTH(TIMELINE!CN7))</f>
        <v/>
      </c>
      <c r="CS9" s="31">
        <f>$D9        *(1+$E9)^((YEAR(TIMELINE!CO7)-2025)+(MONTH(TIMELINE!CO7)-1)/12)        /12        *INDEX(Assumptions_Commercial!$B$22:$B$33,MONTH(TIMELINE!CO7))</f>
        <v/>
      </c>
      <c r="CT9" s="31">
        <f>$D9        *(1+$E9)^((YEAR(TIMELINE!CP7)-2025)+(MONTH(TIMELINE!CP7)-1)/12)        /12        *INDEX(Assumptions_Commercial!$B$22:$B$33,MONTH(TIMELINE!CP7))</f>
        <v/>
      </c>
      <c r="CU9" s="31">
        <f>$D9        *(1+$E9)^((YEAR(TIMELINE!CQ7)-2025)+(MONTH(TIMELINE!CQ7)-1)/12)        /12        *INDEX(Assumptions_Commercial!$B$22:$B$33,MONTH(TIMELINE!CQ7))</f>
        <v/>
      </c>
      <c r="CV9" s="31">
        <f>$D9        *(1+$E9)^((YEAR(TIMELINE!CR7)-2025)+(MONTH(TIMELINE!CR7)-1)/12)        /12        *INDEX(Assumptions_Commercial!$B$22:$B$33,MONTH(TIMELINE!CR7))</f>
        <v/>
      </c>
      <c r="CW9" s="31">
        <f>$D9        *(1+$E9)^((YEAR(TIMELINE!CS7)-2025)+(MONTH(TIMELINE!CS7)-1)/12)        /12        *INDEX(Assumptions_Commercial!$B$22:$B$33,MONTH(TIMELINE!CS7))</f>
        <v/>
      </c>
      <c r="CX9" s="31">
        <f>$D9        *(1+$E9)^((YEAR(TIMELINE!CT7)-2025)+(MONTH(TIMELINE!CT7)-1)/12)        /12        *INDEX(Assumptions_Commercial!$B$22:$B$33,MONTH(TIMELINE!CT7))</f>
        <v/>
      </c>
      <c r="CY9" s="31">
        <f>$D9        *(1+$E9)^((YEAR(TIMELINE!CU7)-2025)+(MONTH(TIMELINE!CU7)-1)/12)        /12        *INDEX(Assumptions_Commercial!$B$22:$B$33,MONTH(TIMELINE!CU7))</f>
        <v/>
      </c>
      <c r="CZ9" s="31">
        <f>$D9        *(1+$E9)^((YEAR(TIMELINE!CV7)-2025)+(MONTH(TIMELINE!CV7)-1)/12)        /12        *INDEX(Assumptions_Commercial!$B$22:$B$33,MONTH(TIMELINE!CV7))</f>
        <v/>
      </c>
      <c r="DA9" s="31">
        <f>$D9        *(1+$E9)^((YEAR(TIMELINE!CW7)-2025)+(MONTH(TIMELINE!CW7)-1)/12)        /12        *INDEX(Assumptions_Commercial!$B$22:$B$33,MONTH(TIMELINE!CW7))</f>
        <v/>
      </c>
      <c r="DB9" s="31">
        <f>$D9        *(1+$E9)^((YEAR(TIMELINE!CX7)-2025)+(MONTH(TIMELINE!CX7)-1)/12)        /12        *INDEX(Assumptions_Commercial!$B$22:$B$33,MONTH(TIMELINE!CX7))</f>
        <v/>
      </c>
      <c r="DC9" s="31">
        <f>$D9        *(1+$E9)^((YEAR(TIMELINE!CY7)-2025)+(MONTH(TIMELINE!CY7)-1)/12)        /12        *INDEX(Assumptions_Commercial!$B$22:$B$33,MONTH(TIMELINE!CY7))</f>
        <v/>
      </c>
      <c r="DD9" s="31">
        <f>$D9        *(1+$E9)^((YEAR(TIMELINE!CZ7)-2025)+(MONTH(TIMELINE!CZ7)-1)/12)        /12        *INDEX(Assumptions_Commercial!$B$22:$B$33,MONTH(TIMELINE!CZ7))</f>
        <v/>
      </c>
      <c r="DE9" s="31">
        <f>$D9        *(1+$E9)^((YEAR(TIMELINE!DA7)-2025)+(MONTH(TIMELINE!DA7)-1)/12)        /12        *INDEX(Assumptions_Commercial!$B$22:$B$33,MONTH(TIMELINE!DA7))</f>
        <v/>
      </c>
      <c r="DF9" s="31">
        <f>$D9        *(1+$E9)^((YEAR(TIMELINE!DB7)-2025)+(MONTH(TIMELINE!DB7)-1)/12)        /12        *INDEX(Assumptions_Commercial!$B$22:$B$33,MONTH(TIMELINE!DB7))</f>
        <v/>
      </c>
      <c r="DG9" s="31">
        <f>$D9        *(1+$E9)^((YEAR(TIMELINE!DC7)-2025)+(MONTH(TIMELINE!DC7)-1)/12)        /12        *INDEX(Assumptions_Commercial!$B$22:$B$33,MONTH(TIMELINE!DC7))</f>
        <v/>
      </c>
      <c r="DH9" s="31">
        <f>$D9        *(1+$E9)^((YEAR(TIMELINE!DD7)-2025)+(MONTH(TIMELINE!DD7)-1)/12)        /12        *INDEX(Assumptions_Commercial!$B$22:$B$33,MONTH(TIMELINE!DD7))</f>
        <v/>
      </c>
      <c r="DI9" s="31">
        <f>$D9        *(1+$E9)^((YEAR(TIMELINE!DE7)-2025)+(MONTH(TIMELINE!DE7)-1)/12)        /12        *INDEX(Assumptions_Commercial!$B$22:$B$33,MONTH(TIMELINE!DE7))</f>
        <v/>
      </c>
      <c r="DJ9" s="31">
        <f>$D9        *(1+$E9)^((YEAR(TIMELINE!DF7)-2025)+(MONTH(TIMELINE!DF7)-1)/12)        /12        *INDEX(Assumptions_Commercial!$B$22:$B$33,MONTH(TIMELINE!DF7))</f>
        <v/>
      </c>
      <c r="DK9" s="31">
        <f>$D9        *(1+$E9)^((YEAR(TIMELINE!DG7)-2025)+(MONTH(TIMELINE!DG7)-1)/12)        /12        *INDEX(Assumptions_Commercial!$B$22:$B$33,MONTH(TIMELINE!DG7))</f>
        <v/>
      </c>
      <c r="DL9" s="31">
        <f>$D9        *(1+$E9)^((YEAR(TIMELINE!DH7)-2025)+(MONTH(TIMELINE!DH7)-1)/12)        /12        *INDEX(Assumptions_Commercial!$B$22:$B$33,MONTH(TIMELINE!DH7))</f>
        <v/>
      </c>
      <c r="DM9" s="31">
        <f>$D9        *(1+$E9)^((YEAR(TIMELINE!DI7)-2025)+(MONTH(TIMELINE!DI7)-1)/12)        /12        *INDEX(Assumptions_Commercial!$B$22:$B$33,MONTH(TIMELINE!DI7))</f>
        <v/>
      </c>
      <c r="DN9" s="31">
        <f>$D9        *(1+$E9)^((YEAR(TIMELINE!DJ7)-2025)+(MONTH(TIMELINE!DJ7)-1)/12)        /12        *INDEX(Assumptions_Commercial!$B$22:$B$33,MONTH(TIMELINE!DJ7))</f>
        <v/>
      </c>
      <c r="DO9" s="31">
        <f>$D9        *(1+$E9)^((YEAR(TIMELINE!DK7)-2025)+(MONTH(TIMELINE!DK7)-1)/12)        /12        *INDEX(Assumptions_Commercial!$B$22:$B$33,MONTH(TIMELINE!DK7))</f>
        <v/>
      </c>
      <c r="DP9" s="31">
        <f>$D9        *(1+$E9)^((YEAR(TIMELINE!DL7)-2025)+(MONTH(TIMELINE!DL7)-1)/12)        /12        *INDEX(Assumptions_Commercial!$B$22:$B$33,MONTH(TIMELINE!DL7))</f>
        <v/>
      </c>
      <c r="DQ9" s="31">
        <f>$D9        *(1+$E9)^((YEAR(TIMELINE!DM7)-2025)+(MONTH(TIMELINE!DM7)-1)/12)        /12        *INDEX(Assumptions_Commercial!$B$22:$B$33,MONTH(TIMELINE!DM7))</f>
        <v/>
      </c>
      <c r="DR9" s="31">
        <f>$D9        *(1+$E9)^((YEAR(TIMELINE!DN7)-2025)+(MONTH(TIMELINE!DN7)-1)/12)        /12        *INDEX(Assumptions_Commercial!$B$22:$B$33,MONTH(TIMELINE!DN7))</f>
        <v/>
      </c>
      <c r="DS9" s="31">
        <f>$D9        *(1+$E9)^((YEAR(TIMELINE!DO7)-2025)+(MONTH(TIMELINE!DO7)-1)/12)        /12        *INDEX(Assumptions_Commercial!$B$22:$B$33,MONTH(TIMELINE!DO7))</f>
        <v/>
      </c>
      <c r="DT9" s="31">
        <f>$D9        *(1+$E9)^((YEAR(TIMELINE!DP7)-2025)+(MONTH(TIMELINE!DP7)-1)/12)        /12        *INDEX(Assumptions_Commercial!$B$22:$B$33,MONTH(TIMELINE!DP7))</f>
        <v/>
      </c>
      <c r="DU9" s="31">
        <f>$D9        *(1+$E9)^((YEAR(TIMELINE!DQ7)-2025)+(MONTH(TIMELINE!DQ7)-1)/12)        /12        *INDEX(Assumptions_Commercial!$B$22:$B$33,MONTH(TIMELINE!DQ7))</f>
        <v/>
      </c>
    </row>
    <row r="10">
      <c r="A10" t="inlineStr">
        <is>
          <t>SKU-05</t>
        </is>
      </c>
      <c r="B10" t="inlineStr">
        <is>
          <t>Off-Trade</t>
        </is>
      </c>
      <c r="C10" t="inlineStr">
        <is>
          <t>AU</t>
        </is>
      </c>
      <c r="D10" s="14" t="n">
        <v>35000</v>
      </c>
      <c r="E10" s="30">
        <f>INDEX(Assumptions_Commercial!$B$5:$D$5,CONTROL!$B$5)</f>
        <v/>
      </c>
      <c r="F10" s="31">
        <f>$D10        *(1+$E10)^((YEAR(TIMELINE!B7)-2025)+(MONTH(TIMELINE!B7)-1)/12)        /12        *INDEX(Assumptions_Commercial!$B$22:$B$33,MONTH(TIMELINE!B7))</f>
        <v/>
      </c>
      <c r="G10" s="31">
        <f>$D10        *(1+$E10)^((YEAR(TIMELINE!C7)-2025)+(MONTH(TIMELINE!C7)-1)/12)        /12        *INDEX(Assumptions_Commercial!$B$22:$B$33,MONTH(TIMELINE!C7))</f>
        <v/>
      </c>
      <c r="H10" s="31">
        <f>$D10        *(1+$E10)^((YEAR(TIMELINE!D7)-2025)+(MONTH(TIMELINE!D7)-1)/12)        /12        *INDEX(Assumptions_Commercial!$B$22:$B$33,MONTH(TIMELINE!D7))</f>
        <v/>
      </c>
      <c r="I10" s="31">
        <f>$D10        *(1+$E10)^((YEAR(TIMELINE!E7)-2025)+(MONTH(TIMELINE!E7)-1)/12)        /12        *INDEX(Assumptions_Commercial!$B$22:$B$33,MONTH(TIMELINE!E7))</f>
        <v/>
      </c>
      <c r="J10" s="31">
        <f>$D10        *(1+$E10)^((YEAR(TIMELINE!F7)-2025)+(MONTH(TIMELINE!F7)-1)/12)        /12        *INDEX(Assumptions_Commercial!$B$22:$B$33,MONTH(TIMELINE!F7))</f>
        <v/>
      </c>
      <c r="K10" s="31">
        <f>$D10        *(1+$E10)^((YEAR(TIMELINE!G7)-2025)+(MONTH(TIMELINE!G7)-1)/12)        /12        *INDEX(Assumptions_Commercial!$B$22:$B$33,MONTH(TIMELINE!G7))</f>
        <v/>
      </c>
      <c r="L10" s="31">
        <f>$D10        *(1+$E10)^((YEAR(TIMELINE!H7)-2025)+(MONTH(TIMELINE!H7)-1)/12)        /12        *INDEX(Assumptions_Commercial!$B$22:$B$33,MONTH(TIMELINE!H7))</f>
        <v/>
      </c>
      <c r="M10" s="31">
        <f>$D10        *(1+$E10)^((YEAR(TIMELINE!I7)-2025)+(MONTH(TIMELINE!I7)-1)/12)        /12        *INDEX(Assumptions_Commercial!$B$22:$B$33,MONTH(TIMELINE!I7))</f>
        <v/>
      </c>
      <c r="N10" s="31">
        <f>$D10        *(1+$E10)^((YEAR(TIMELINE!J7)-2025)+(MONTH(TIMELINE!J7)-1)/12)        /12        *INDEX(Assumptions_Commercial!$B$22:$B$33,MONTH(TIMELINE!J7))</f>
        <v/>
      </c>
      <c r="O10" s="31">
        <f>$D10        *(1+$E10)^((YEAR(TIMELINE!K7)-2025)+(MONTH(TIMELINE!K7)-1)/12)        /12        *INDEX(Assumptions_Commercial!$B$22:$B$33,MONTH(TIMELINE!K7))</f>
        <v/>
      </c>
      <c r="P10" s="31">
        <f>$D10        *(1+$E10)^((YEAR(TIMELINE!L7)-2025)+(MONTH(TIMELINE!L7)-1)/12)        /12        *INDEX(Assumptions_Commercial!$B$22:$B$33,MONTH(TIMELINE!L7))</f>
        <v/>
      </c>
      <c r="Q10" s="31">
        <f>$D10        *(1+$E10)^((YEAR(TIMELINE!M7)-2025)+(MONTH(TIMELINE!M7)-1)/12)        /12        *INDEX(Assumptions_Commercial!$B$22:$B$33,MONTH(TIMELINE!M7))</f>
        <v/>
      </c>
      <c r="R10" s="31">
        <f>$D10        *(1+$E10)^((YEAR(TIMELINE!N7)-2025)+(MONTH(TIMELINE!N7)-1)/12)        /12        *INDEX(Assumptions_Commercial!$B$22:$B$33,MONTH(TIMELINE!N7))</f>
        <v/>
      </c>
      <c r="S10" s="31">
        <f>$D10        *(1+$E10)^((YEAR(TIMELINE!O7)-2025)+(MONTH(TIMELINE!O7)-1)/12)        /12        *INDEX(Assumptions_Commercial!$B$22:$B$33,MONTH(TIMELINE!O7))</f>
        <v/>
      </c>
      <c r="T10" s="31">
        <f>$D10        *(1+$E10)^((YEAR(TIMELINE!P7)-2025)+(MONTH(TIMELINE!P7)-1)/12)        /12        *INDEX(Assumptions_Commercial!$B$22:$B$33,MONTH(TIMELINE!P7))</f>
        <v/>
      </c>
      <c r="U10" s="31">
        <f>$D10        *(1+$E10)^((YEAR(TIMELINE!Q7)-2025)+(MONTH(TIMELINE!Q7)-1)/12)        /12        *INDEX(Assumptions_Commercial!$B$22:$B$33,MONTH(TIMELINE!Q7))</f>
        <v/>
      </c>
      <c r="V10" s="31">
        <f>$D10        *(1+$E10)^((YEAR(TIMELINE!R7)-2025)+(MONTH(TIMELINE!R7)-1)/12)        /12        *INDEX(Assumptions_Commercial!$B$22:$B$33,MONTH(TIMELINE!R7))</f>
        <v/>
      </c>
      <c r="W10" s="31">
        <f>$D10        *(1+$E10)^((YEAR(TIMELINE!S7)-2025)+(MONTH(TIMELINE!S7)-1)/12)        /12        *INDEX(Assumptions_Commercial!$B$22:$B$33,MONTH(TIMELINE!S7))</f>
        <v/>
      </c>
      <c r="X10" s="31">
        <f>$D10        *(1+$E10)^((YEAR(TIMELINE!T7)-2025)+(MONTH(TIMELINE!T7)-1)/12)        /12        *INDEX(Assumptions_Commercial!$B$22:$B$33,MONTH(TIMELINE!T7))</f>
        <v/>
      </c>
      <c r="Y10" s="31">
        <f>$D10        *(1+$E10)^((YEAR(TIMELINE!U7)-2025)+(MONTH(TIMELINE!U7)-1)/12)        /12        *INDEX(Assumptions_Commercial!$B$22:$B$33,MONTH(TIMELINE!U7))</f>
        <v/>
      </c>
      <c r="Z10" s="31">
        <f>$D10        *(1+$E10)^((YEAR(TIMELINE!V7)-2025)+(MONTH(TIMELINE!V7)-1)/12)        /12        *INDEX(Assumptions_Commercial!$B$22:$B$33,MONTH(TIMELINE!V7))</f>
        <v/>
      </c>
      <c r="AA10" s="31">
        <f>$D10        *(1+$E10)^((YEAR(TIMELINE!W7)-2025)+(MONTH(TIMELINE!W7)-1)/12)        /12        *INDEX(Assumptions_Commercial!$B$22:$B$33,MONTH(TIMELINE!W7))</f>
        <v/>
      </c>
      <c r="AB10" s="31">
        <f>$D10        *(1+$E10)^((YEAR(TIMELINE!X7)-2025)+(MONTH(TIMELINE!X7)-1)/12)        /12        *INDEX(Assumptions_Commercial!$B$22:$B$33,MONTH(TIMELINE!X7))</f>
        <v/>
      </c>
      <c r="AC10" s="31">
        <f>$D10        *(1+$E10)^((YEAR(TIMELINE!Y7)-2025)+(MONTH(TIMELINE!Y7)-1)/12)        /12        *INDEX(Assumptions_Commercial!$B$22:$B$33,MONTH(TIMELINE!Y7))</f>
        <v/>
      </c>
      <c r="AD10" s="31">
        <f>$D10        *(1+$E10)^((YEAR(TIMELINE!Z7)-2025)+(MONTH(TIMELINE!Z7)-1)/12)        /12        *INDEX(Assumptions_Commercial!$B$22:$B$33,MONTH(TIMELINE!Z7))</f>
        <v/>
      </c>
      <c r="AE10" s="31">
        <f>$D10        *(1+$E10)^((YEAR(TIMELINE!AA7)-2025)+(MONTH(TIMELINE!AA7)-1)/12)        /12        *INDEX(Assumptions_Commercial!$B$22:$B$33,MONTH(TIMELINE!AA7))</f>
        <v/>
      </c>
      <c r="AF10" s="31">
        <f>$D10        *(1+$E10)^((YEAR(TIMELINE!AB7)-2025)+(MONTH(TIMELINE!AB7)-1)/12)        /12        *INDEX(Assumptions_Commercial!$B$22:$B$33,MONTH(TIMELINE!AB7))</f>
        <v/>
      </c>
      <c r="AG10" s="31">
        <f>$D10        *(1+$E10)^((YEAR(TIMELINE!AC7)-2025)+(MONTH(TIMELINE!AC7)-1)/12)        /12        *INDEX(Assumptions_Commercial!$B$22:$B$33,MONTH(TIMELINE!AC7))</f>
        <v/>
      </c>
      <c r="AH10" s="31">
        <f>$D10        *(1+$E10)^((YEAR(TIMELINE!AD7)-2025)+(MONTH(TIMELINE!AD7)-1)/12)        /12        *INDEX(Assumptions_Commercial!$B$22:$B$33,MONTH(TIMELINE!AD7))</f>
        <v/>
      </c>
      <c r="AI10" s="31">
        <f>$D10        *(1+$E10)^((YEAR(TIMELINE!AE7)-2025)+(MONTH(TIMELINE!AE7)-1)/12)        /12        *INDEX(Assumptions_Commercial!$B$22:$B$33,MONTH(TIMELINE!AE7))</f>
        <v/>
      </c>
      <c r="AJ10" s="31">
        <f>$D10        *(1+$E10)^((YEAR(TIMELINE!AF7)-2025)+(MONTH(TIMELINE!AF7)-1)/12)        /12        *INDEX(Assumptions_Commercial!$B$22:$B$33,MONTH(TIMELINE!AF7))</f>
        <v/>
      </c>
      <c r="AK10" s="31">
        <f>$D10        *(1+$E10)^((YEAR(TIMELINE!AG7)-2025)+(MONTH(TIMELINE!AG7)-1)/12)        /12        *INDEX(Assumptions_Commercial!$B$22:$B$33,MONTH(TIMELINE!AG7))</f>
        <v/>
      </c>
      <c r="AL10" s="31">
        <f>$D10        *(1+$E10)^((YEAR(TIMELINE!AH7)-2025)+(MONTH(TIMELINE!AH7)-1)/12)        /12        *INDEX(Assumptions_Commercial!$B$22:$B$33,MONTH(TIMELINE!AH7))</f>
        <v/>
      </c>
      <c r="AM10" s="31">
        <f>$D10        *(1+$E10)^((YEAR(TIMELINE!AI7)-2025)+(MONTH(TIMELINE!AI7)-1)/12)        /12        *INDEX(Assumptions_Commercial!$B$22:$B$33,MONTH(TIMELINE!AI7))</f>
        <v/>
      </c>
      <c r="AN10" s="31">
        <f>$D10        *(1+$E10)^((YEAR(TIMELINE!AJ7)-2025)+(MONTH(TIMELINE!AJ7)-1)/12)        /12        *INDEX(Assumptions_Commercial!$B$22:$B$33,MONTH(TIMELINE!AJ7))</f>
        <v/>
      </c>
      <c r="AO10" s="31">
        <f>$D10        *(1+$E10)^((YEAR(TIMELINE!AK7)-2025)+(MONTH(TIMELINE!AK7)-1)/12)        /12        *INDEX(Assumptions_Commercial!$B$22:$B$33,MONTH(TIMELINE!AK7))</f>
        <v/>
      </c>
      <c r="AP10" s="31">
        <f>$D10        *(1+$E10)^((YEAR(TIMELINE!AL7)-2025)+(MONTH(TIMELINE!AL7)-1)/12)        /12        *INDEX(Assumptions_Commercial!$B$22:$B$33,MONTH(TIMELINE!AL7))</f>
        <v/>
      </c>
      <c r="AQ10" s="31">
        <f>$D10        *(1+$E10)^((YEAR(TIMELINE!AM7)-2025)+(MONTH(TIMELINE!AM7)-1)/12)        /12        *INDEX(Assumptions_Commercial!$B$22:$B$33,MONTH(TIMELINE!AM7))</f>
        <v/>
      </c>
      <c r="AR10" s="31">
        <f>$D10        *(1+$E10)^((YEAR(TIMELINE!AN7)-2025)+(MONTH(TIMELINE!AN7)-1)/12)        /12        *INDEX(Assumptions_Commercial!$B$22:$B$33,MONTH(TIMELINE!AN7))</f>
        <v/>
      </c>
      <c r="AS10" s="31">
        <f>$D10        *(1+$E10)^((YEAR(TIMELINE!AO7)-2025)+(MONTH(TIMELINE!AO7)-1)/12)        /12        *INDEX(Assumptions_Commercial!$B$22:$B$33,MONTH(TIMELINE!AO7))</f>
        <v/>
      </c>
      <c r="AT10" s="31">
        <f>$D10        *(1+$E10)^((YEAR(TIMELINE!AP7)-2025)+(MONTH(TIMELINE!AP7)-1)/12)        /12        *INDEX(Assumptions_Commercial!$B$22:$B$33,MONTH(TIMELINE!AP7))</f>
        <v/>
      </c>
      <c r="AU10" s="31">
        <f>$D10        *(1+$E10)^((YEAR(TIMELINE!AQ7)-2025)+(MONTH(TIMELINE!AQ7)-1)/12)        /12        *INDEX(Assumptions_Commercial!$B$22:$B$33,MONTH(TIMELINE!AQ7))</f>
        <v/>
      </c>
      <c r="AV10" s="31">
        <f>$D10        *(1+$E10)^((YEAR(TIMELINE!AR7)-2025)+(MONTH(TIMELINE!AR7)-1)/12)        /12        *INDEX(Assumptions_Commercial!$B$22:$B$33,MONTH(TIMELINE!AR7))</f>
        <v/>
      </c>
      <c r="AW10" s="31">
        <f>$D10        *(1+$E10)^((YEAR(TIMELINE!AS7)-2025)+(MONTH(TIMELINE!AS7)-1)/12)        /12        *INDEX(Assumptions_Commercial!$B$22:$B$33,MONTH(TIMELINE!AS7))</f>
        <v/>
      </c>
      <c r="AX10" s="31">
        <f>$D10        *(1+$E10)^((YEAR(TIMELINE!AT7)-2025)+(MONTH(TIMELINE!AT7)-1)/12)        /12        *INDEX(Assumptions_Commercial!$B$22:$B$33,MONTH(TIMELINE!AT7))</f>
        <v/>
      </c>
      <c r="AY10" s="31">
        <f>$D10        *(1+$E10)^((YEAR(TIMELINE!AU7)-2025)+(MONTH(TIMELINE!AU7)-1)/12)        /12        *INDEX(Assumptions_Commercial!$B$22:$B$33,MONTH(TIMELINE!AU7))</f>
        <v/>
      </c>
      <c r="AZ10" s="31">
        <f>$D10        *(1+$E10)^((YEAR(TIMELINE!AV7)-2025)+(MONTH(TIMELINE!AV7)-1)/12)        /12        *INDEX(Assumptions_Commercial!$B$22:$B$33,MONTH(TIMELINE!AV7))</f>
        <v/>
      </c>
      <c r="BA10" s="31">
        <f>$D10        *(1+$E10)^((YEAR(TIMELINE!AW7)-2025)+(MONTH(TIMELINE!AW7)-1)/12)        /12        *INDEX(Assumptions_Commercial!$B$22:$B$33,MONTH(TIMELINE!AW7))</f>
        <v/>
      </c>
      <c r="BB10" s="31">
        <f>$D10        *(1+$E10)^((YEAR(TIMELINE!AX7)-2025)+(MONTH(TIMELINE!AX7)-1)/12)        /12        *INDEX(Assumptions_Commercial!$B$22:$B$33,MONTH(TIMELINE!AX7))</f>
        <v/>
      </c>
      <c r="BC10" s="31">
        <f>$D10        *(1+$E10)^((YEAR(TIMELINE!AY7)-2025)+(MONTH(TIMELINE!AY7)-1)/12)        /12        *INDEX(Assumptions_Commercial!$B$22:$B$33,MONTH(TIMELINE!AY7))</f>
        <v/>
      </c>
      <c r="BD10" s="31">
        <f>$D10        *(1+$E10)^((YEAR(TIMELINE!AZ7)-2025)+(MONTH(TIMELINE!AZ7)-1)/12)        /12        *INDEX(Assumptions_Commercial!$B$22:$B$33,MONTH(TIMELINE!AZ7))</f>
        <v/>
      </c>
      <c r="BE10" s="31">
        <f>$D10        *(1+$E10)^((YEAR(TIMELINE!BA7)-2025)+(MONTH(TIMELINE!BA7)-1)/12)        /12        *INDEX(Assumptions_Commercial!$B$22:$B$33,MONTH(TIMELINE!BA7))</f>
        <v/>
      </c>
      <c r="BF10" s="31">
        <f>$D10        *(1+$E10)^((YEAR(TIMELINE!BB7)-2025)+(MONTH(TIMELINE!BB7)-1)/12)        /12        *INDEX(Assumptions_Commercial!$B$22:$B$33,MONTH(TIMELINE!BB7))</f>
        <v/>
      </c>
      <c r="BG10" s="31">
        <f>$D10        *(1+$E10)^((YEAR(TIMELINE!BC7)-2025)+(MONTH(TIMELINE!BC7)-1)/12)        /12        *INDEX(Assumptions_Commercial!$B$22:$B$33,MONTH(TIMELINE!BC7))</f>
        <v/>
      </c>
      <c r="BH10" s="31">
        <f>$D10        *(1+$E10)^((YEAR(TIMELINE!BD7)-2025)+(MONTH(TIMELINE!BD7)-1)/12)        /12        *INDEX(Assumptions_Commercial!$B$22:$B$33,MONTH(TIMELINE!BD7))</f>
        <v/>
      </c>
      <c r="BI10" s="31">
        <f>$D10        *(1+$E10)^((YEAR(TIMELINE!BE7)-2025)+(MONTH(TIMELINE!BE7)-1)/12)        /12        *INDEX(Assumptions_Commercial!$B$22:$B$33,MONTH(TIMELINE!BE7))</f>
        <v/>
      </c>
      <c r="BJ10" s="31">
        <f>$D10        *(1+$E10)^((YEAR(TIMELINE!BF7)-2025)+(MONTH(TIMELINE!BF7)-1)/12)        /12        *INDEX(Assumptions_Commercial!$B$22:$B$33,MONTH(TIMELINE!BF7))</f>
        <v/>
      </c>
      <c r="BK10" s="31">
        <f>$D10        *(1+$E10)^((YEAR(TIMELINE!BG7)-2025)+(MONTH(TIMELINE!BG7)-1)/12)        /12        *INDEX(Assumptions_Commercial!$B$22:$B$33,MONTH(TIMELINE!BG7))</f>
        <v/>
      </c>
      <c r="BL10" s="31">
        <f>$D10        *(1+$E10)^((YEAR(TIMELINE!BH7)-2025)+(MONTH(TIMELINE!BH7)-1)/12)        /12        *INDEX(Assumptions_Commercial!$B$22:$B$33,MONTH(TIMELINE!BH7))</f>
        <v/>
      </c>
      <c r="BM10" s="31">
        <f>$D10        *(1+$E10)^((YEAR(TIMELINE!BI7)-2025)+(MONTH(TIMELINE!BI7)-1)/12)        /12        *INDEX(Assumptions_Commercial!$B$22:$B$33,MONTH(TIMELINE!BI7))</f>
        <v/>
      </c>
      <c r="BN10" s="31">
        <f>$D10        *(1+$E10)^((YEAR(TIMELINE!BJ7)-2025)+(MONTH(TIMELINE!BJ7)-1)/12)        /12        *INDEX(Assumptions_Commercial!$B$22:$B$33,MONTH(TIMELINE!BJ7))</f>
        <v/>
      </c>
      <c r="BO10" s="31">
        <f>$D10        *(1+$E10)^((YEAR(TIMELINE!BK7)-2025)+(MONTH(TIMELINE!BK7)-1)/12)        /12        *INDEX(Assumptions_Commercial!$B$22:$B$33,MONTH(TIMELINE!BK7))</f>
        <v/>
      </c>
      <c r="BP10" s="31">
        <f>$D10        *(1+$E10)^((YEAR(TIMELINE!BL7)-2025)+(MONTH(TIMELINE!BL7)-1)/12)        /12        *INDEX(Assumptions_Commercial!$B$22:$B$33,MONTH(TIMELINE!BL7))</f>
        <v/>
      </c>
      <c r="BQ10" s="31">
        <f>$D10        *(1+$E10)^((YEAR(TIMELINE!BM7)-2025)+(MONTH(TIMELINE!BM7)-1)/12)        /12        *INDEX(Assumptions_Commercial!$B$22:$B$33,MONTH(TIMELINE!BM7))</f>
        <v/>
      </c>
      <c r="BR10" s="31">
        <f>$D10        *(1+$E10)^((YEAR(TIMELINE!BN7)-2025)+(MONTH(TIMELINE!BN7)-1)/12)        /12        *INDEX(Assumptions_Commercial!$B$22:$B$33,MONTH(TIMELINE!BN7))</f>
        <v/>
      </c>
      <c r="BS10" s="31">
        <f>$D10        *(1+$E10)^((YEAR(TIMELINE!BO7)-2025)+(MONTH(TIMELINE!BO7)-1)/12)        /12        *INDEX(Assumptions_Commercial!$B$22:$B$33,MONTH(TIMELINE!BO7))</f>
        <v/>
      </c>
      <c r="BT10" s="31">
        <f>$D10        *(1+$E10)^((YEAR(TIMELINE!BP7)-2025)+(MONTH(TIMELINE!BP7)-1)/12)        /12        *INDEX(Assumptions_Commercial!$B$22:$B$33,MONTH(TIMELINE!BP7))</f>
        <v/>
      </c>
      <c r="BU10" s="31">
        <f>$D10        *(1+$E10)^((YEAR(TIMELINE!BQ7)-2025)+(MONTH(TIMELINE!BQ7)-1)/12)        /12        *INDEX(Assumptions_Commercial!$B$22:$B$33,MONTH(TIMELINE!BQ7))</f>
        <v/>
      </c>
      <c r="BV10" s="31">
        <f>$D10        *(1+$E10)^((YEAR(TIMELINE!BR7)-2025)+(MONTH(TIMELINE!BR7)-1)/12)        /12        *INDEX(Assumptions_Commercial!$B$22:$B$33,MONTH(TIMELINE!BR7))</f>
        <v/>
      </c>
      <c r="BW10" s="31">
        <f>$D10        *(1+$E10)^((YEAR(TIMELINE!BS7)-2025)+(MONTH(TIMELINE!BS7)-1)/12)        /12        *INDEX(Assumptions_Commercial!$B$22:$B$33,MONTH(TIMELINE!BS7))</f>
        <v/>
      </c>
      <c r="BX10" s="31">
        <f>$D10        *(1+$E10)^((YEAR(TIMELINE!BT7)-2025)+(MONTH(TIMELINE!BT7)-1)/12)        /12        *INDEX(Assumptions_Commercial!$B$22:$B$33,MONTH(TIMELINE!BT7))</f>
        <v/>
      </c>
      <c r="BY10" s="31">
        <f>$D10        *(1+$E10)^((YEAR(TIMELINE!BU7)-2025)+(MONTH(TIMELINE!BU7)-1)/12)        /12        *INDEX(Assumptions_Commercial!$B$22:$B$33,MONTH(TIMELINE!BU7))</f>
        <v/>
      </c>
      <c r="BZ10" s="31">
        <f>$D10        *(1+$E10)^((YEAR(TIMELINE!BV7)-2025)+(MONTH(TIMELINE!BV7)-1)/12)        /12        *INDEX(Assumptions_Commercial!$B$22:$B$33,MONTH(TIMELINE!BV7))</f>
        <v/>
      </c>
      <c r="CA10" s="31">
        <f>$D10        *(1+$E10)^((YEAR(TIMELINE!BW7)-2025)+(MONTH(TIMELINE!BW7)-1)/12)        /12        *INDEX(Assumptions_Commercial!$B$22:$B$33,MONTH(TIMELINE!BW7))</f>
        <v/>
      </c>
      <c r="CB10" s="31">
        <f>$D10        *(1+$E10)^((YEAR(TIMELINE!BX7)-2025)+(MONTH(TIMELINE!BX7)-1)/12)        /12        *INDEX(Assumptions_Commercial!$B$22:$B$33,MONTH(TIMELINE!BX7))</f>
        <v/>
      </c>
      <c r="CC10" s="31">
        <f>$D10        *(1+$E10)^((YEAR(TIMELINE!BY7)-2025)+(MONTH(TIMELINE!BY7)-1)/12)        /12        *INDEX(Assumptions_Commercial!$B$22:$B$33,MONTH(TIMELINE!BY7))</f>
        <v/>
      </c>
      <c r="CD10" s="31">
        <f>$D10        *(1+$E10)^((YEAR(TIMELINE!BZ7)-2025)+(MONTH(TIMELINE!BZ7)-1)/12)        /12        *INDEX(Assumptions_Commercial!$B$22:$B$33,MONTH(TIMELINE!BZ7))</f>
        <v/>
      </c>
      <c r="CE10" s="31">
        <f>$D10        *(1+$E10)^((YEAR(TIMELINE!CA7)-2025)+(MONTH(TIMELINE!CA7)-1)/12)        /12        *INDEX(Assumptions_Commercial!$B$22:$B$33,MONTH(TIMELINE!CA7))</f>
        <v/>
      </c>
      <c r="CF10" s="31">
        <f>$D10        *(1+$E10)^((YEAR(TIMELINE!CB7)-2025)+(MONTH(TIMELINE!CB7)-1)/12)        /12        *INDEX(Assumptions_Commercial!$B$22:$B$33,MONTH(TIMELINE!CB7))</f>
        <v/>
      </c>
      <c r="CG10" s="31">
        <f>$D10        *(1+$E10)^((YEAR(TIMELINE!CC7)-2025)+(MONTH(TIMELINE!CC7)-1)/12)        /12        *INDEX(Assumptions_Commercial!$B$22:$B$33,MONTH(TIMELINE!CC7))</f>
        <v/>
      </c>
      <c r="CH10" s="31">
        <f>$D10        *(1+$E10)^((YEAR(TIMELINE!CD7)-2025)+(MONTH(TIMELINE!CD7)-1)/12)        /12        *INDEX(Assumptions_Commercial!$B$22:$B$33,MONTH(TIMELINE!CD7))</f>
        <v/>
      </c>
      <c r="CI10" s="31">
        <f>$D10        *(1+$E10)^((YEAR(TIMELINE!CE7)-2025)+(MONTH(TIMELINE!CE7)-1)/12)        /12        *INDEX(Assumptions_Commercial!$B$22:$B$33,MONTH(TIMELINE!CE7))</f>
        <v/>
      </c>
      <c r="CJ10" s="31">
        <f>$D10        *(1+$E10)^((YEAR(TIMELINE!CF7)-2025)+(MONTH(TIMELINE!CF7)-1)/12)        /12        *INDEX(Assumptions_Commercial!$B$22:$B$33,MONTH(TIMELINE!CF7))</f>
        <v/>
      </c>
      <c r="CK10" s="31">
        <f>$D10        *(1+$E10)^((YEAR(TIMELINE!CG7)-2025)+(MONTH(TIMELINE!CG7)-1)/12)        /12        *INDEX(Assumptions_Commercial!$B$22:$B$33,MONTH(TIMELINE!CG7))</f>
        <v/>
      </c>
      <c r="CL10" s="31">
        <f>$D10        *(1+$E10)^((YEAR(TIMELINE!CH7)-2025)+(MONTH(TIMELINE!CH7)-1)/12)        /12        *INDEX(Assumptions_Commercial!$B$22:$B$33,MONTH(TIMELINE!CH7))</f>
        <v/>
      </c>
      <c r="CM10" s="31">
        <f>$D10        *(1+$E10)^((YEAR(TIMELINE!CI7)-2025)+(MONTH(TIMELINE!CI7)-1)/12)        /12        *INDEX(Assumptions_Commercial!$B$22:$B$33,MONTH(TIMELINE!CI7))</f>
        <v/>
      </c>
      <c r="CN10" s="31">
        <f>$D10        *(1+$E10)^((YEAR(TIMELINE!CJ7)-2025)+(MONTH(TIMELINE!CJ7)-1)/12)        /12        *INDEX(Assumptions_Commercial!$B$22:$B$33,MONTH(TIMELINE!CJ7))</f>
        <v/>
      </c>
      <c r="CO10" s="31">
        <f>$D10        *(1+$E10)^((YEAR(TIMELINE!CK7)-2025)+(MONTH(TIMELINE!CK7)-1)/12)        /12        *INDEX(Assumptions_Commercial!$B$22:$B$33,MONTH(TIMELINE!CK7))</f>
        <v/>
      </c>
      <c r="CP10" s="31">
        <f>$D10        *(1+$E10)^((YEAR(TIMELINE!CL7)-2025)+(MONTH(TIMELINE!CL7)-1)/12)        /12        *INDEX(Assumptions_Commercial!$B$22:$B$33,MONTH(TIMELINE!CL7))</f>
        <v/>
      </c>
      <c r="CQ10" s="31">
        <f>$D10        *(1+$E10)^((YEAR(TIMELINE!CM7)-2025)+(MONTH(TIMELINE!CM7)-1)/12)        /12        *INDEX(Assumptions_Commercial!$B$22:$B$33,MONTH(TIMELINE!CM7))</f>
        <v/>
      </c>
      <c r="CR10" s="31">
        <f>$D10        *(1+$E10)^((YEAR(TIMELINE!CN7)-2025)+(MONTH(TIMELINE!CN7)-1)/12)        /12        *INDEX(Assumptions_Commercial!$B$22:$B$33,MONTH(TIMELINE!CN7))</f>
        <v/>
      </c>
      <c r="CS10" s="31">
        <f>$D10        *(1+$E10)^((YEAR(TIMELINE!CO7)-2025)+(MONTH(TIMELINE!CO7)-1)/12)        /12        *INDEX(Assumptions_Commercial!$B$22:$B$33,MONTH(TIMELINE!CO7))</f>
        <v/>
      </c>
      <c r="CT10" s="31">
        <f>$D10        *(1+$E10)^((YEAR(TIMELINE!CP7)-2025)+(MONTH(TIMELINE!CP7)-1)/12)        /12        *INDEX(Assumptions_Commercial!$B$22:$B$33,MONTH(TIMELINE!CP7))</f>
        <v/>
      </c>
      <c r="CU10" s="31">
        <f>$D10        *(1+$E10)^((YEAR(TIMELINE!CQ7)-2025)+(MONTH(TIMELINE!CQ7)-1)/12)        /12        *INDEX(Assumptions_Commercial!$B$22:$B$33,MONTH(TIMELINE!CQ7))</f>
        <v/>
      </c>
      <c r="CV10" s="31">
        <f>$D10        *(1+$E10)^((YEAR(TIMELINE!CR7)-2025)+(MONTH(TIMELINE!CR7)-1)/12)        /12        *INDEX(Assumptions_Commercial!$B$22:$B$33,MONTH(TIMELINE!CR7))</f>
        <v/>
      </c>
      <c r="CW10" s="31">
        <f>$D10        *(1+$E10)^((YEAR(TIMELINE!CS7)-2025)+(MONTH(TIMELINE!CS7)-1)/12)        /12        *INDEX(Assumptions_Commercial!$B$22:$B$33,MONTH(TIMELINE!CS7))</f>
        <v/>
      </c>
      <c r="CX10" s="31">
        <f>$D10        *(1+$E10)^((YEAR(TIMELINE!CT7)-2025)+(MONTH(TIMELINE!CT7)-1)/12)        /12        *INDEX(Assumptions_Commercial!$B$22:$B$33,MONTH(TIMELINE!CT7))</f>
        <v/>
      </c>
      <c r="CY10" s="31">
        <f>$D10        *(1+$E10)^((YEAR(TIMELINE!CU7)-2025)+(MONTH(TIMELINE!CU7)-1)/12)        /12        *INDEX(Assumptions_Commercial!$B$22:$B$33,MONTH(TIMELINE!CU7))</f>
        <v/>
      </c>
      <c r="CZ10" s="31">
        <f>$D10        *(1+$E10)^((YEAR(TIMELINE!CV7)-2025)+(MONTH(TIMELINE!CV7)-1)/12)        /12        *INDEX(Assumptions_Commercial!$B$22:$B$33,MONTH(TIMELINE!CV7))</f>
        <v/>
      </c>
      <c r="DA10" s="31">
        <f>$D10        *(1+$E10)^((YEAR(TIMELINE!CW7)-2025)+(MONTH(TIMELINE!CW7)-1)/12)        /12        *INDEX(Assumptions_Commercial!$B$22:$B$33,MONTH(TIMELINE!CW7))</f>
        <v/>
      </c>
      <c r="DB10" s="31">
        <f>$D10        *(1+$E10)^((YEAR(TIMELINE!CX7)-2025)+(MONTH(TIMELINE!CX7)-1)/12)        /12        *INDEX(Assumptions_Commercial!$B$22:$B$33,MONTH(TIMELINE!CX7))</f>
        <v/>
      </c>
      <c r="DC10" s="31">
        <f>$D10        *(1+$E10)^((YEAR(TIMELINE!CY7)-2025)+(MONTH(TIMELINE!CY7)-1)/12)        /12        *INDEX(Assumptions_Commercial!$B$22:$B$33,MONTH(TIMELINE!CY7))</f>
        <v/>
      </c>
      <c r="DD10" s="31">
        <f>$D10        *(1+$E10)^((YEAR(TIMELINE!CZ7)-2025)+(MONTH(TIMELINE!CZ7)-1)/12)        /12        *INDEX(Assumptions_Commercial!$B$22:$B$33,MONTH(TIMELINE!CZ7))</f>
        <v/>
      </c>
      <c r="DE10" s="31">
        <f>$D10        *(1+$E10)^((YEAR(TIMELINE!DA7)-2025)+(MONTH(TIMELINE!DA7)-1)/12)        /12        *INDEX(Assumptions_Commercial!$B$22:$B$33,MONTH(TIMELINE!DA7))</f>
        <v/>
      </c>
      <c r="DF10" s="31">
        <f>$D10        *(1+$E10)^((YEAR(TIMELINE!DB7)-2025)+(MONTH(TIMELINE!DB7)-1)/12)        /12        *INDEX(Assumptions_Commercial!$B$22:$B$33,MONTH(TIMELINE!DB7))</f>
        <v/>
      </c>
      <c r="DG10" s="31">
        <f>$D10        *(1+$E10)^((YEAR(TIMELINE!DC7)-2025)+(MONTH(TIMELINE!DC7)-1)/12)        /12        *INDEX(Assumptions_Commercial!$B$22:$B$33,MONTH(TIMELINE!DC7))</f>
        <v/>
      </c>
      <c r="DH10" s="31">
        <f>$D10        *(1+$E10)^((YEAR(TIMELINE!DD7)-2025)+(MONTH(TIMELINE!DD7)-1)/12)        /12        *INDEX(Assumptions_Commercial!$B$22:$B$33,MONTH(TIMELINE!DD7))</f>
        <v/>
      </c>
      <c r="DI10" s="31">
        <f>$D10        *(1+$E10)^((YEAR(TIMELINE!DE7)-2025)+(MONTH(TIMELINE!DE7)-1)/12)        /12        *INDEX(Assumptions_Commercial!$B$22:$B$33,MONTH(TIMELINE!DE7))</f>
        <v/>
      </c>
      <c r="DJ10" s="31">
        <f>$D10        *(1+$E10)^((YEAR(TIMELINE!DF7)-2025)+(MONTH(TIMELINE!DF7)-1)/12)        /12        *INDEX(Assumptions_Commercial!$B$22:$B$33,MONTH(TIMELINE!DF7))</f>
        <v/>
      </c>
      <c r="DK10" s="31">
        <f>$D10        *(1+$E10)^((YEAR(TIMELINE!DG7)-2025)+(MONTH(TIMELINE!DG7)-1)/12)        /12        *INDEX(Assumptions_Commercial!$B$22:$B$33,MONTH(TIMELINE!DG7))</f>
        <v/>
      </c>
      <c r="DL10" s="31">
        <f>$D10        *(1+$E10)^((YEAR(TIMELINE!DH7)-2025)+(MONTH(TIMELINE!DH7)-1)/12)        /12        *INDEX(Assumptions_Commercial!$B$22:$B$33,MONTH(TIMELINE!DH7))</f>
        <v/>
      </c>
      <c r="DM10" s="31">
        <f>$D10        *(1+$E10)^((YEAR(TIMELINE!DI7)-2025)+(MONTH(TIMELINE!DI7)-1)/12)        /12        *INDEX(Assumptions_Commercial!$B$22:$B$33,MONTH(TIMELINE!DI7))</f>
        <v/>
      </c>
      <c r="DN10" s="31">
        <f>$D10        *(1+$E10)^((YEAR(TIMELINE!DJ7)-2025)+(MONTH(TIMELINE!DJ7)-1)/12)        /12        *INDEX(Assumptions_Commercial!$B$22:$B$33,MONTH(TIMELINE!DJ7))</f>
        <v/>
      </c>
      <c r="DO10" s="31">
        <f>$D10        *(1+$E10)^((YEAR(TIMELINE!DK7)-2025)+(MONTH(TIMELINE!DK7)-1)/12)        /12        *INDEX(Assumptions_Commercial!$B$22:$B$33,MONTH(TIMELINE!DK7))</f>
        <v/>
      </c>
      <c r="DP10" s="31">
        <f>$D10        *(1+$E10)^((YEAR(TIMELINE!DL7)-2025)+(MONTH(TIMELINE!DL7)-1)/12)        /12        *INDEX(Assumptions_Commercial!$B$22:$B$33,MONTH(TIMELINE!DL7))</f>
        <v/>
      </c>
      <c r="DQ10" s="31">
        <f>$D10        *(1+$E10)^((YEAR(TIMELINE!DM7)-2025)+(MONTH(TIMELINE!DM7)-1)/12)        /12        *INDEX(Assumptions_Commercial!$B$22:$B$33,MONTH(TIMELINE!DM7))</f>
        <v/>
      </c>
      <c r="DR10" s="31">
        <f>$D10        *(1+$E10)^((YEAR(TIMELINE!DN7)-2025)+(MONTH(TIMELINE!DN7)-1)/12)        /12        *INDEX(Assumptions_Commercial!$B$22:$B$33,MONTH(TIMELINE!DN7))</f>
        <v/>
      </c>
      <c r="DS10" s="31">
        <f>$D10        *(1+$E10)^((YEAR(TIMELINE!DO7)-2025)+(MONTH(TIMELINE!DO7)-1)/12)        /12        *INDEX(Assumptions_Commercial!$B$22:$B$33,MONTH(TIMELINE!DO7))</f>
        <v/>
      </c>
      <c r="DT10" s="31">
        <f>$D10        *(1+$E10)^((YEAR(TIMELINE!DP7)-2025)+(MONTH(TIMELINE!DP7)-1)/12)        /12        *INDEX(Assumptions_Commercial!$B$22:$B$33,MONTH(TIMELINE!DP7))</f>
        <v/>
      </c>
      <c r="DU10" s="31">
        <f>$D10        *(1+$E10)^((YEAR(TIMELINE!DQ7)-2025)+(MONTH(TIMELINE!DQ7)-1)/12)        /12        *INDEX(Assumptions_Commercial!$B$22:$B$33,MONTH(TIMELINE!DQ7))</f>
        <v/>
      </c>
    </row>
    <row r="11">
      <c r="A11" t="inlineStr">
        <is>
          <t>SKU-06</t>
        </is>
      </c>
      <c r="B11" t="inlineStr">
        <is>
          <t>On-Trade</t>
        </is>
      </c>
      <c r="C11" t="inlineStr">
        <is>
          <t>AU</t>
        </is>
      </c>
      <c r="D11" s="14" t="n">
        <v>38000</v>
      </c>
      <c r="E11" s="30">
        <f>INDEX(Assumptions_Commercial!$B$5:$D$5,CONTROL!$B$5)</f>
        <v/>
      </c>
      <c r="F11" s="31">
        <f>$D11        *(1+$E11)^((YEAR(TIMELINE!B7)-2025)+(MONTH(TIMELINE!B7)-1)/12)        /12        *INDEX(Assumptions_Commercial!$B$22:$B$33,MONTH(TIMELINE!B7))</f>
        <v/>
      </c>
      <c r="G11" s="31">
        <f>$D11        *(1+$E11)^((YEAR(TIMELINE!C7)-2025)+(MONTH(TIMELINE!C7)-1)/12)        /12        *INDEX(Assumptions_Commercial!$B$22:$B$33,MONTH(TIMELINE!C7))</f>
        <v/>
      </c>
      <c r="H11" s="31">
        <f>$D11        *(1+$E11)^((YEAR(TIMELINE!D7)-2025)+(MONTH(TIMELINE!D7)-1)/12)        /12        *INDEX(Assumptions_Commercial!$B$22:$B$33,MONTH(TIMELINE!D7))</f>
        <v/>
      </c>
      <c r="I11" s="31">
        <f>$D11        *(1+$E11)^((YEAR(TIMELINE!E7)-2025)+(MONTH(TIMELINE!E7)-1)/12)        /12        *INDEX(Assumptions_Commercial!$B$22:$B$33,MONTH(TIMELINE!E7))</f>
        <v/>
      </c>
      <c r="J11" s="31">
        <f>$D11        *(1+$E11)^((YEAR(TIMELINE!F7)-2025)+(MONTH(TIMELINE!F7)-1)/12)        /12        *INDEX(Assumptions_Commercial!$B$22:$B$33,MONTH(TIMELINE!F7))</f>
        <v/>
      </c>
      <c r="K11" s="31">
        <f>$D11        *(1+$E11)^((YEAR(TIMELINE!G7)-2025)+(MONTH(TIMELINE!G7)-1)/12)        /12        *INDEX(Assumptions_Commercial!$B$22:$B$33,MONTH(TIMELINE!G7))</f>
        <v/>
      </c>
      <c r="L11" s="31">
        <f>$D11        *(1+$E11)^((YEAR(TIMELINE!H7)-2025)+(MONTH(TIMELINE!H7)-1)/12)        /12        *INDEX(Assumptions_Commercial!$B$22:$B$33,MONTH(TIMELINE!H7))</f>
        <v/>
      </c>
      <c r="M11" s="31">
        <f>$D11        *(1+$E11)^((YEAR(TIMELINE!I7)-2025)+(MONTH(TIMELINE!I7)-1)/12)        /12        *INDEX(Assumptions_Commercial!$B$22:$B$33,MONTH(TIMELINE!I7))</f>
        <v/>
      </c>
      <c r="N11" s="31">
        <f>$D11        *(1+$E11)^((YEAR(TIMELINE!J7)-2025)+(MONTH(TIMELINE!J7)-1)/12)        /12        *INDEX(Assumptions_Commercial!$B$22:$B$33,MONTH(TIMELINE!J7))</f>
        <v/>
      </c>
      <c r="O11" s="31">
        <f>$D11        *(1+$E11)^((YEAR(TIMELINE!K7)-2025)+(MONTH(TIMELINE!K7)-1)/12)        /12        *INDEX(Assumptions_Commercial!$B$22:$B$33,MONTH(TIMELINE!K7))</f>
        <v/>
      </c>
      <c r="P11" s="31">
        <f>$D11        *(1+$E11)^((YEAR(TIMELINE!L7)-2025)+(MONTH(TIMELINE!L7)-1)/12)        /12        *INDEX(Assumptions_Commercial!$B$22:$B$33,MONTH(TIMELINE!L7))</f>
        <v/>
      </c>
      <c r="Q11" s="31">
        <f>$D11        *(1+$E11)^((YEAR(TIMELINE!M7)-2025)+(MONTH(TIMELINE!M7)-1)/12)        /12        *INDEX(Assumptions_Commercial!$B$22:$B$33,MONTH(TIMELINE!M7))</f>
        <v/>
      </c>
      <c r="R11" s="31">
        <f>$D11        *(1+$E11)^((YEAR(TIMELINE!N7)-2025)+(MONTH(TIMELINE!N7)-1)/12)        /12        *INDEX(Assumptions_Commercial!$B$22:$B$33,MONTH(TIMELINE!N7))</f>
        <v/>
      </c>
      <c r="S11" s="31">
        <f>$D11        *(1+$E11)^((YEAR(TIMELINE!O7)-2025)+(MONTH(TIMELINE!O7)-1)/12)        /12        *INDEX(Assumptions_Commercial!$B$22:$B$33,MONTH(TIMELINE!O7))</f>
        <v/>
      </c>
      <c r="T11" s="31">
        <f>$D11        *(1+$E11)^((YEAR(TIMELINE!P7)-2025)+(MONTH(TIMELINE!P7)-1)/12)        /12        *INDEX(Assumptions_Commercial!$B$22:$B$33,MONTH(TIMELINE!P7))</f>
        <v/>
      </c>
      <c r="U11" s="31">
        <f>$D11        *(1+$E11)^((YEAR(TIMELINE!Q7)-2025)+(MONTH(TIMELINE!Q7)-1)/12)        /12        *INDEX(Assumptions_Commercial!$B$22:$B$33,MONTH(TIMELINE!Q7))</f>
        <v/>
      </c>
      <c r="V11" s="31">
        <f>$D11        *(1+$E11)^((YEAR(TIMELINE!R7)-2025)+(MONTH(TIMELINE!R7)-1)/12)        /12        *INDEX(Assumptions_Commercial!$B$22:$B$33,MONTH(TIMELINE!R7))</f>
        <v/>
      </c>
      <c r="W11" s="31">
        <f>$D11        *(1+$E11)^((YEAR(TIMELINE!S7)-2025)+(MONTH(TIMELINE!S7)-1)/12)        /12        *INDEX(Assumptions_Commercial!$B$22:$B$33,MONTH(TIMELINE!S7))</f>
        <v/>
      </c>
      <c r="X11" s="31">
        <f>$D11        *(1+$E11)^((YEAR(TIMELINE!T7)-2025)+(MONTH(TIMELINE!T7)-1)/12)        /12        *INDEX(Assumptions_Commercial!$B$22:$B$33,MONTH(TIMELINE!T7))</f>
        <v/>
      </c>
      <c r="Y11" s="31">
        <f>$D11        *(1+$E11)^((YEAR(TIMELINE!U7)-2025)+(MONTH(TIMELINE!U7)-1)/12)        /12        *INDEX(Assumptions_Commercial!$B$22:$B$33,MONTH(TIMELINE!U7))</f>
        <v/>
      </c>
      <c r="Z11" s="31">
        <f>$D11        *(1+$E11)^((YEAR(TIMELINE!V7)-2025)+(MONTH(TIMELINE!V7)-1)/12)        /12        *INDEX(Assumptions_Commercial!$B$22:$B$33,MONTH(TIMELINE!V7))</f>
        <v/>
      </c>
      <c r="AA11" s="31">
        <f>$D11        *(1+$E11)^((YEAR(TIMELINE!W7)-2025)+(MONTH(TIMELINE!W7)-1)/12)        /12        *INDEX(Assumptions_Commercial!$B$22:$B$33,MONTH(TIMELINE!W7))</f>
        <v/>
      </c>
      <c r="AB11" s="31">
        <f>$D11        *(1+$E11)^((YEAR(TIMELINE!X7)-2025)+(MONTH(TIMELINE!X7)-1)/12)        /12        *INDEX(Assumptions_Commercial!$B$22:$B$33,MONTH(TIMELINE!X7))</f>
        <v/>
      </c>
      <c r="AC11" s="31">
        <f>$D11        *(1+$E11)^((YEAR(TIMELINE!Y7)-2025)+(MONTH(TIMELINE!Y7)-1)/12)        /12        *INDEX(Assumptions_Commercial!$B$22:$B$33,MONTH(TIMELINE!Y7))</f>
        <v/>
      </c>
      <c r="AD11" s="31">
        <f>$D11        *(1+$E11)^((YEAR(TIMELINE!Z7)-2025)+(MONTH(TIMELINE!Z7)-1)/12)        /12        *INDEX(Assumptions_Commercial!$B$22:$B$33,MONTH(TIMELINE!Z7))</f>
        <v/>
      </c>
      <c r="AE11" s="31">
        <f>$D11        *(1+$E11)^((YEAR(TIMELINE!AA7)-2025)+(MONTH(TIMELINE!AA7)-1)/12)        /12        *INDEX(Assumptions_Commercial!$B$22:$B$33,MONTH(TIMELINE!AA7))</f>
        <v/>
      </c>
      <c r="AF11" s="31">
        <f>$D11        *(1+$E11)^((YEAR(TIMELINE!AB7)-2025)+(MONTH(TIMELINE!AB7)-1)/12)        /12        *INDEX(Assumptions_Commercial!$B$22:$B$33,MONTH(TIMELINE!AB7))</f>
        <v/>
      </c>
      <c r="AG11" s="31">
        <f>$D11        *(1+$E11)^((YEAR(TIMELINE!AC7)-2025)+(MONTH(TIMELINE!AC7)-1)/12)        /12        *INDEX(Assumptions_Commercial!$B$22:$B$33,MONTH(TIMELINE!AC7))</f>
        <v/>
      </c>
      <c r="AH11" s="31">
        <f>$D11        *(1+$E11)^((YEAR(TIMELINE!AD7)-2025)+(MONTH(TIMELINE!AD7)-1)/12)        /12        *INDEX(Assumptions_Commercial!$B$22:$B$33,MONTH(TIMELINE!AD7))</f>
        <v/>
      </c>
      <c r="AI11" s="31">
        <f>$D11        *(1+$E11)^((YEAR(TIMELINE!AE7)-2025)+(MONTH(TIMELINE!AE7)-1)/12)        /12        *INDEX(Assumptions_Commercial!$B$22:$B$33,MONTH(TIMELINE!AE7))</f>
        <v/>
      </c>
      <c r="AJ11" s="31">
        <f>$D11        *(1+$E11)^((YEAR(TIMELINE!AF7)-2025)+(MONTH(TIMELINE!AF7)-1)/12)        /12        *INDEX(Assumptions_Commercial!$B$22:$B$33,MONTH(TIMELINE!AF7))</f>
        <v/>
      </c>
      <c r="AK11" s="31">
        <f>$D11        *(1+$E11)^((YEAR(TIMELINE!AG7)-2025)+(MONTH(TIMELINE!AG7)-1)/12)        /12        *INDEX(Assumptions_Commercial!$B$22:$B$33,MONTH(TIMELINE!AG7))</f>
        <v/>
      </c>
      <c r="AL11" s="31">
        <f>$D11        *(1+$E11)^((YEAR(TIMELINE!AH7)-2025)+(MONTH(TIMELINE!AH7)-1)/12)        /12        *INDEX(Assumptions_Commercial!$B$22:$B$33,MONTH(TIMELINE!AH7))</f>
        <v/>
      </c>
      <c r="AM11" s="31">
        <f>$D11        *(1+$E11)^((YEAR(TIMELINE!AI7)-2025)+(MONTH(TIMELINE!AI7)-1)/12)        /12        *INDEX(Assumptions_Commercial!$B$22:$B$33,MONTH(TIMELINE!AI7))</f>
        <v/>
      </c>
      <c r="AN11" s="31">
        <f>$D11        *(1+$E11)^((YEAR(TIMELINE!AJ7)-2025)+(MONTH(TIMELINE!AJ7)-1)/12)        /12        *INDEX(Assumptions_Commercial!$B$22:$B$33,MONTH(TIMELINE!AJ7))</f>
        <v/>
      </c>
      <c r="AO11" s="31">
        <f>$D11        *(1+$E11)^((YEAR(TIMELINE!AK7)-2025)+(MONTH(TIMELINE!AK7)-1)/12)        /12        *INDEX(Assumptions_Commercial!$B$22:$B$33,MONTH(TIMELINE!AK7))</f>
        <v/>
      </c>
      <c r="AP11" s="31">
        <f>$D11        *(1+$E11)^((YEAR(TIMELINE!AL7)-2025)+(MONTH(TIMELINE!AL7)-1)/12)        /12        *INDEX(Assumptions_Commercial!$B$22:$B$33,MONTH(TIMELINE!AL7))</f>
        <v/>
      </c>
      <c r="AQ11" s="31">
        <f>$D11        *(1+$E11)^((YEAR(TIMELINE!AM7)-2025)+(MONTH(TIMELINE!AM7)-1)/12)        /12        *INDEX(Assumptions_Commercial!$B$22:$B$33,MONTH(TIMELINE!AM7))</f>
        <v/>
      </c>
      <c r="AR11" s="31">
        <f>$D11        *(1+$E11)^((YEAR(TIMELINE!AN7)-2025)+(MONTH(TIMELINE!AN7)-1)/12)        /12        *INDEX(Assumptions_Commercial!$B$22:$B$33,MONTH(TIMELINE!AN7))</f>
        <v/>
      </c>
      <c r="AS11" s="31">
        <f>$D11        *(1+$E11)^((YEAR(TIMELINE!AO7)-2025)+(MONTH(TIMELINE!AO7)-1)/12)        /12        *INDEX(Assumptions_Commercial!$B$22:$B$33,MONTH(TIMELINE!AO7))</f>
        <v/>
      </c>
      <c r="AT11" s="31">
        <f>$D11        *(1+$E11)^((YEAR(TIMELINE!AP7)-2025)+(MONTH(TIMELINE!AP7)-1)/12)        /12        *INDEX(Assumptions_Commercial!$B$22:$B$33,MONTH(TIMELINE!AP7))</f>
        <v/>
      </c>
      <c r="AU11" s="31">
        <f>$D11        *(1+$E11)^((YEAR(TIMELINE!AQ7)-2025)+(MONTH(TIMELINE!AQ7)-1)/12)        /12        *INDEX(Assumptions_Commercial!$B$22:$B$33,MONTH(TIMELINE!AQ7))</f>
        <v/>
      </c>
      <c r="AV11" s="31">
        <f>$D11        *(1+$E11)^((YEAR(TIMELINE!AR7)-2025)+(MONTH(TIMELINE!AR7)-1)/12)        /12        *INDEX(Assumptions_Commercial!$B$22:$B$33,MONTH(TIMELINE!AR7))</f>
        <v/>
      </c>
      <c r="AW11" s="31">
        <f>$D11        *(1+$E11)^((YEAR(TIMELINE!AS7)-2025)+(MONTH(TIMELINE!AS7)-1)/12)        /12        *INDEX(Assumptions_Commercial!$B$22:$B$33,MONTH(TIMELINE!AS7))</f>
        <v/>
      </c>
      <c r="AX11" s="31">
        <f>$D11        *(1+$E11)^((YEAR(TIMELINE!AT7)-2025)+(MONTH(TIMELINE!AT7)-1)/12)        /12        *INDEX(Assumptions_Commercial!$B$22:$B$33,MONTH(TIMELINE!AT7))</f>
        <v/>
      </c>
      <c r="AY11" s="31">
        <f>$D11        *(1+$E11)^((YEAR(TIMELINE!AU7)-2025)+(MONTH(TIMELINE!AU7)-1)/12)        /12        *INDEX(Assumptions_Commercial!$B$22:$B$33,MONTH(TIMELINE!AU7))</f>
        <v/>
      </c>
      <c r="AZ11" s="31">
        <f>$D11        *(1+$E11)^((YEAR(TIMELINE!AV7)-2025)+(MONTH(TIMELINE!AV7)-1)/12)        /12        *INDEX(Assumptions_Commercial!$B$22:$B$33,MONTH(TIMELINE!AV7))</f>
        <v/>
      </c>
      <c r="BA11" s="31">
        <f>$D11        *(1+$E11)^((YEAR(TIMELINE!AW7)-2025)+(MONTH(TIMELINE!AW7)-1)/12)        /12        *INDEX(Assumptions_Commercial!$B$22:$B$33,MONTH(TIMELINE!AW7))</f>
        <v/>
      </c>
      <c r="BB11" s="31">
        <f>$D11        *(1+$E11)^((YEAR(TIMELINE!AX7)-2025)+(MONTH(TIMELINE!AX7)-1)/12)        /12        *INDEX(Assumptions_Commercial!$B$22:$B$33,MONTH(TIMELINE!AX7))</f>
        <v/>
      </c>
      <c r="BC11" s="31">
        <f>$D11        *(1+$E11)^((YEAR(TIMELINE!AY7)-2025)+(MONTH(TIMELINE!AY7)-1)/12)        /12        *INDEX(Assumptions_Commercial!$B$22:$B$33,MONTH(TIMELINE!AY7))</f>
        <v/>
      </c>
      <c r="BD11" s="31">
        <f>$D11        *(1+$E11)^((YEAR(TIMELINE!AZ7)-2025)+(MONTH(TIMELINE!AZ7)-1)/12)        /12        *INDEX(Assumptions_Commercial!$B$22:$B$33,MONTH(TIMELINE!AZ7))</f>
        <v/>
      </c>
      <c r="BE11" s="31">
        <f>$D11        *(1+$E11)^((YEAR(TIMELINE!BA7)-2025)+(MONTH(TIMELINE!BA7)-1)/12)        /12        *INDEX(Assumptions_Commercial!$B$22:$B$33,MONTH(TIMELINE!BA7))</f>
        <v/>
      </c>
      <c r="BF11" s="31">
        <f>$D11        *(1+$E11)^((YEAR(TIMELINE!BB7)-2025)+(MONTH(TIMELINE!BB7)-1)/12)        /12        *INDEX(Assumptions_Commercial!$B$22:$B$33,MONTH(TIMELINE!BB7))</f>
        <v/>
      </c>
      <c r="BG11" s="31">
        <f>$D11        *(1+$E11)^((YEAR(TIMELINE!BC7)-2025)+(MONTH(TIMELINE!BC7)-1)/12)        /12        *INDEX(Assumptions_Commercial!$B$22:$B$33,MONTH(TIMELINE!BC7))</f>
        <v/>
      </c>
      <c r="BH11" s="31">
        <f>$D11        *(1+$E11)^((YEAR(TIMELINE!BD7)-2025)+(MONTH(TIMELINE!BD7)-1)/12)        /12        *INDEX(Assumptions_Commercial!$B$22:$B$33,MONTH(TIMELINE!BD7))</f>
        <v/>
      </c>
      <c r="BI11" s="31">
        <f>$D11        *(1+$E11)^((YEAR(TIMELINE!BE7)-2025)+(MONTH(TIMELINE!BE7)-1)/12)        /12        *INDEX(Assumptions_Commercial!$B$22:$B$33,MONTH(TIMELINE!BE7))</f>
        <v/>
      </c>
      <c r="BJ11" s="31">
        <f>$D11        *(1+$E11)^((YEAR(TIMELINE!BF7)-2025)+(MONTH(TIMELINE!BF7)-1)/12)        /12        *INDEX(Assumptions_Commercial!$B$22:$B$33,MONTH(TIMELINE!BF7))</f>
        <v/>
      </c>
      <c r="BK11" s="31">
        <f>$D11        *(1+$E11)^((YEAR(TIMELINE!BG7)-2025)+(MONTH(TIMELINE!BG7)-1)/12)        /12        *INDEX(Assumptions_Commercial!$B$22:$B$33,MONTH(TIMELINE!BG7))</f>
        <v/>
      </c>
      <c r="BL11" s="31">
        <f>$D11        *(1+$E11)^((YEAR(TIMELINE!BH7)-2025)+(MONTH(TIMELINE!BH7)-1)/12)        /12        *INDEX(Assumptions_Commercial!$B$22:$B$33,MONTH(TIMELINE!BH7))</f>
        <v/>
      </c>
      <c r="BM11" s="31">
        <f>$D11        *(1+$E11)^((YEAR(TIMELINE!BI7)-2025)+(MONTH(TIMELINE!BI7)-1)/12)        /12        *INDEX(Assumptions_Commercial!$B$22:$B$33,MONTH(TIMELINE!BI7))</f>
        <v/>
      </c>
      <c r="BN11" s="31">
        <f>$D11        *(1+$E11)^((YEAR(TIMELINE!BJ7)-2025)+(MONTH(TIMELINE!BJ7)-1)/12)        /12        *INDEX(Assumptions_Commercial!$B$22:$B$33,MONTH(TIMELINE!BJ7))</f>
        <v/>
      </c>
      <c r="BO11" s="31">
        <f>$D11        *(1+$E11)^((YEAR(TIMELINE!BK7)-2025)+(MONTH(TIMELINE!BK7)-1)/12)        /12        *INDEX(Assumptions_Commercial!$B$22:$B$33,MONTH(TIMELINE!BK7))</f>
        <v/>
      </c>
      <c r="BP11" s="31">
        <f>$D11        *(1+$E11)^((YEAR(TIMELINE!BL7)-2025)+(MONTH(TIMELINE!BL7)-1)/12)        /12        *INDEX(Assumptions_Commercial!$B$22:$B$33,MONTH(TIMELINE!BL7))</f>
        <v/>
      </c>
      <c r="BQ11" s="31">
        <f>$D11        *(1+$E11)^((YEAR(TIMELINE!BM7)-2025)+(MONTH(TIMELINE!BM7)-1)/12)        /12        *INDEX(Assumptions_Commercial!$B$22:$B$33,MONTH(TIMELINE!BM7))</f>
        <v/>
      </c>
      <c r="BR11" s="31">
        <f>$D11        *(1+$E11)^((YEAR(TIMELINE!BN7)-2025)+(MONTH(TIMELINE!BN7)-1)/12)        /12        *INDEX(Assumptions_Commercial!$B$22:$B$33,MONTH(TIMELINE!BN7))</f>
        <v/>
      </c>
      <c r="BS11" s="31">
        <f>$D11        *(1+$E11)^((YEAR(TIMELINE!BO7)-2025)+(MONTH(TIMELINE!BO7)-1)/12)        /12        *INDEX(Assumptions_Commercial!$B$22:$B$33,MONTH(TIMELINE!BO7))</f>
        <v/>
      </c>
      <c r="BT11" s="31">
        <f>$D11        *(1+$E11)^((YEAR(TIMELINE!BP7)-2025)+(MONTH(TIMELINE!BP7)-1)/12)        /12        *INDEX(Assumptions_Commercial!$B$22:$B$33,MONTH(TIMELINE!BP7))</f>
        <v/>
      </c>
      <c r="BU11" s="31">
        <f>$D11        *(1+$E11)^((YEAR(TIMELINE!BQ7)-2025)+(MONTH(TIMELINE!BQ7)-1)/12)        /12        *INDEX(Assumptions_Commercial!$B$22:$B$33,MONTH(TIMELINE!BQ7))</f>
        <v/>
      </c>
      <c r="BV11" s="31">
        <f>$D11        *(1+$E11)^((YEAR(TIMELINE!BR7)-2025)+(MONTH(TIMELINE!BR7)-1)/12)        /12        *INDEX(Assumptions_Commercial!$B$22:$B$33,MONTH(TIMELINE!BR7))</f>
        <v/>
      </c>
      <c r="BW11" s="31">
        <f>$D11        *(1+$E11)^((YEAR(TIMELINE!BS7)-2025)+(MONTH(TIMELINE!BS7)-1)/12)        /12        *INDEX(Assumptions_Commercial!$B$22:$B$33,MONTH(TIMELINE!BS7))</f>
        <v/>
      </c>
      <c r="BX11" s="31">
        <f>$D11        *(1+$E11)^((YEAR(TIMELINE!BT7)-2025)+(MONTH(TIMELINE!BT7)-1)/12)        /12        *INDEX(Assumptions_Commercial!$B$22:$B$33,MONTH(TIMELINE!BT7))</f>
        <v/>
      </c>
      <c r="BY11" s="31">
        <f>$D11        *(1+$E11)^((YEAR(TIMELINE!BU7)-2025)+(MONTH(TIMELINE!BU7)-1)/12)        /12        *INDEX(Assumptions_Commercial!$B$22:$B$33,MONTH(TIMELINE!BU7))</f>
        <v/>
      </c>
      <c r="BZ11" s="31">
        <f>$D11        *(1+$E11)^((YEAR(TIMELINE!BV7)-2025)+(MONTH(TIMELINE!BV7)-1)/12)        /12        *INDEX(Assumptions_Commercial!$B$22:$B$33,MONTH(TIMELINE!BV7))</f>
        <v/>
      </c>
      <c r="CA11" s="31">
        <f>$D11        *(1+$E11)^((YEAR(TIMELINE!BW7)-2025)+(MONTH(TIMELINE!BW7)-1)/12)        /12        *INDEX(Assumptions_Commercial!$B$22:$B$33,MONTH(TIMELINE!BW7))</f>
        <v/>
      </c>
      <c r="CB11" s="31">
        <f>$D11        *(1+$E11)^((YEAR(TIMELINE!BX7)-2025)+(MONTH(TIMELINE!BX7)-1)/12)        /12        *INDEX(Assumptions_Commercial!$B$22:$B$33,MONTH(TIMELINE!BX7))</f>
        <v/>
      </c>
      <c r="CC11" s="31">
        <f>$D11        *(1+$E11)^((YEAR(TIMELINE!BY7)-2025)+(MONTH(TIMELINE!BY7)-1)/12)        /12        *INDEX(Assumptions_Commercial!$B$22:$B$33,MONTH(TIMELINE!BY7))</f>
        <v/>
      </c>
      <c r="CD11" s="31">
        <f>$D11        *(1+$E11)^((YEAR(TIMELINE!BZ7)-2025)+(MONTH(TIMELINE!BZ7)-1)/12)        /12        *INDEX(Assumptions_Commercial!$B$22:$B$33,MONTH(TIMELINE!BZ7))</f>
        <v/>
      </c>
      <c r="CE11" s="31">
        <f>$D11        *(1+$E11)^((YEAR(TIMELINE!CA7)-2025)+(MONTH(TIMELINE!CA7)-1)/12)        /12        *INDEX(Assumptions_Commercial!$B$22:$B$33,MONTH(TIMELINE!CA7))</f>
        <v/>
      </c>
      <c r="CF11" s="31">
        <f>$D11        *(1+$E11)^((YEAR(TIMELINE!CB7)-2025)+(MONTH(TIMELINE!CB7)-1)/12)        /12        *INDEX(Assumptions_Commercial!$B$22:$B$33,MONTH(TIMELINE!CB7))</f>
        <v/>
      </c>
      <c r="CG11" s="31">
        <f>$D11        *(1+$E11)^((YEAR(TIMELINE!CC7)-2025)+(MONTH(TIMELINE!CC7)-1)/12)        /12        *INDEX(Assumptions_Commercial!$B$22:$B$33,MONTH(TIMELINE!CC7))</f>
        <v/>
      </c>
      <c r="CH11" s="31">
        <f>$D11        *(1+$E11)^((YEAR(TIMELINE!CD7)-2025)+(MONTH(TIMELINE!CD7)-1)/12)        /12        *INDEX(Assumptions_Commercial!$B$22:$B$33,MONTH(TIMELINE!CD7))</f>
        <v/>
      </c>
      <c r="CI11" s="31">
        <f>$D11        *(1+$E11)^((YEAR(TIMELINE!CE7)-2025)+(MONTH(TIMELINE!CE7)-1)/12)        /12        *INDEX(Assumptions_Commercial!$B$22:$B$33,MONTH(TIMELINE!CE7))</f>
        <v/>
      </c>
      <c r="CJ11" s="31">
        <f>$D11        *(1+$E11)^((YEAR(TIMELINE!CF7)-2025)+(MONTH(TIMELINE!CF7)-1)/12)        /12        *INDEX(Assumptions_Commercial!$B$22:$B$33,MONTH(TIMELINE!CF7))</f>
        <v/>
      </c>
      <c r="CK11" s="31">
        <f>$D11        *(1+$E11)^((YEAR(TIMELINE!CG7)-2025)+(MONTH(TIMELINE!CG7)-1)/12)        /12        *INDEX(Assumptions_Commercial!$B$22:$B$33,MONTH(TIMELINE!CG7))</f>
        <v/>
      </c>
      <c r="CL11" s="31">
        <f>$D11        *(1+$E11)^((YEAR(TIMELINE!CH7)-2025)+(MONTH(TIMELINE!CH7)-1)/12)        /12        *INDEX(Assumptions_Commercial!$B$22:$B$33,MONTH(TIMELINE!CH7))</f>
        <v/>
      </c>
      <c r="CM11" s="31">
        <f>$D11        *(1+$E11)^((YEAR(TIMELINE!CI7)-2025)+(MONTH(TIMELINE!CI7)-1)/12)        /12        *INDEX(Assumptions_Commercial!$B$22:$B$33,MONTH(TIMELINE!CI7))</f>
        <v/>
      </c>
      <c r="CN11" s="31">
        <f>$D11        *(1+$E11)^((YEAR(TIMELINE!CJ7)-2025)+(MONTH(TIMELINE!CJ7)-1)/12)        /12        *INDEX(Assumptions_Commercial!$B$22:$B$33,MONTH(TIMELINE!CJ7))</f>
        <v/>
      </c>
      <c r="CO11" s="31">
        <f>$D11        *(1+$E11)^((YEAR(TIMELINE!CK7)-2025)+(MONTH(TIMELINE!CK7)-1)/12)        /12        *INDEX(Assumptions_Commercial!$B$22:$B$33,MONTH(TIMELINE!CK7))</f>
        <v/>
      </c>
      <c r="CP11" s="31">
        <f>$D11        *(1+$E11)^((YEAR(TIMELINE!CL7)-2025)+(MONTH(TIMELINE!CL7)-1)/12)        /12        *INDEX(Assumptions_Commercial!$B$22:$B$33,MONTH(TIMELINE!CL7))</f>
        <v/>
      </c>
      <c r="CQ11" s="31">
        <f>$D11        *(1+$E11)^((YEAR(TIMELINE!CM7)-2025)+(MONTH(TIMELINE!CM7)-1)/12)        /12        *INDEX(Assumptions_Commercial!$B$22:$B$33,MONTH(TIMELINE!CM7))</f>
        <v/>
      </c>
      <c r="CR11" s="31">
        <f>$D11        *(1+$E11)^((YEAR(TIMELINE!CN7)-2025)+(MONTH(TIMELINE!CN7)-1)/12)        /12        *INDEX(Assumptions_Commercial!$B$22:$B$33,MONTH(TIMELINE!CN7))</f>
        <v/>
      </c>
      <c r="CS11" s="31">
        <f>$D11        *(1+$E11)^((YEAR(TIMELINE!CO7)-2025)+(MONTH(TIMELINE!CO7)-1)/12)        /12        *INDEX(Assumptions_Commercial!$B$22:$B$33,MONTH(TIMELINE!CO7))</f>
        <v/>
      </c>
      <c r="CT11" s="31">
        <f>$D11        *(1+$E11)^((YEAR(TIMELINE!CP7)-2025)+(MONTH(TIMELINE!CP7)-1)/12)        /12        *INDEX(Assumptions_Commercial!$B$22:$B$33,MONTH(TIMELINE!CP7))</f>
        <v/>
      </c>
      <c r="CU11" s="31">
        <f>$D11        *(1+$E11)^((YEAR(TIMELINE!CQ7)-2025)+(MONTH(TIMELINE!CQ7)-1)/12)        /12        *INDEX(Assumptions_Commercial!$B$22:$B$33,MONTH(TIMELINE!CQ7))</f>
        <v/>
      </c>
      <c r="CV11" s="31">
        <f>$D11        *(1+$E11)^((YEAR(TIMELINE!CR7)-2025)+(MONTH(TIMELINE!CR7)-1)/12)        /12        *INDEX(Assumptions_Commercial!$B$22:$B$33,MONTH(TIMELINE!CR7))</f>
        <v/>
      </c>
      <c r="CW11" s="31">
        <f>$D11        *(1+$E11)^((YEAR(TIMELINE!CS7)-2025)+(MONTH(TIMELINE!CS7)-1)/12)        /12        *INDEX(Assumptions_Commercial!$B$22:$B$33,MONTH(TIMELINE!CS7))</f>
        <v/>
      </c>
      <c r="CX11" s="31">
        <f>$D11        *(1+$E11)^((YEAR(TIMELINE!CT7)-2025)+(MONTH(TIMELINE!CT7)-1)/12)        /12        *INDEX(Assumptions_Commercial!$B$22:$B$33,MONTH(TIMELINE!CT7))</f>
        <v/>
      </c>
      <c r="CY11" s="31">
        <f>$D11        *(1+$E11)^((YEAR(TIMELINE!CU7)-2025)+(MONTH(TIMELINE!CU7)-1)/12)        /12        *INDEX(Assumptions_Commercial!$B$22:$B$33,MONTH(TIMELINE!CU7))</f>
        <v/>
      </c>
      <c r="CZ11" s="31">
        <f>$D11        *(1+$E11)^((YEAR(TIMELINE!CV7)-2025)+(MONTH(TIMELINE!CV7)-1)/12)        /12        *INDEX(Assumptions_Commercial!$B$22:$B$33,MONTH(TIMELINE!CV7))</f>
        <v/>
      </c>
      <c r="DA11" s="31">
        <f>$D11        *(1+$E11)^((YEAR(TIMELINE!CW7)-2025)+(MONTH(TIMELINE!CW7)-1)/12)        /12        *INDEX(Assumptions_Commercial!$B$22:$B$33,MONTH(TIMELINE!CW7))</f>
        <v/>
      </c>
      <c r="DB11" s="31">
        <f>$D11        *(1+$E11)^((YEAR(TIMELINE!CX7)-2025)+(MONTH(TIMELINE!CX7)-1)/12)        /12        *INDEX(Assumptions_Commercial!$B$22:$B$33,MONTH(TIMELINE!CX7))</f>
        <v/>
      </c>
      <c r="DC11" s="31">
        <f>$D11        *(1+$E11)^((YEAR(TIMELINE!CY7)-2025)+(MONTH(TIMELINE!CY7)-1)/12)        /12        *INDEX(Assumptions_Commercial!$B$22:$B$33,MONTH(TIMELINE!CY7))</f>
        <v/>
      </c>
      <c r="DD11" s="31">
        <f>$D11        *(1+$E11)^((YEAR(TIMELINE!CZ7)-2025)+(MONTH(TIMELINE!CZ7)-1)/12)        /12        *INDEX(Assumptions_Commercial!$B$22:$B$33,MONTH(TIMELINE!CZ7))</f>
        <v/>
      </c>
      <c r="DE11" s="31">
        <f>$D11        *(1+$E11)^((YEAR(TIMELINE!DA7)-2025)+(MONTH(TIMELINE!DA7)-1)/12)        /12        *INDEX(Assumptions_Commercial!$B$22:$B$33,MONTH(TIMELINE!DA7))</f>
        <v/>
      </c>
      <c r="DF11" s="31">
        <f>$D11        *(1+$E11)^((YEAR(TIMELINE!DB7)-2025)+(MONTH(TIMELINE!DB7)-1)/12)        /12        *INDEX(Assumptions_Commercial!$B$22:$B$33,MONTH(TIMELINE!DB7))</f>
        <v/>
      </c>
      <c r="DG11" s="31">
        <f>$D11        *(1+$E11)^((YEAR(TIMELINE!DC7)-2025)+(MONTH(TIMELINE!DC7)-1)/12)        /12        *INDEX(Assumptions_Commercial!$B$22:$B$33,MONTH(TIMELINE!DC7))</f>
        <v/>
      </c>
      <c r="DH11" s="31">
        <f>$D11        *(1+$E11)^((YEAR(TIMELINE!DD7)-2025)+(MONTH(TIMELINE!DD7)-1)/12)        /12        *INDEX(Assumptions_Commercial!$B$22:$B$33,MONTH(TIMELINE!DD7))</f>
        <v/>
      </c>
      <c r="DI11" s="31">
        <f>$D11        *(1+$E11)^((YEAR(TIMELINE!DE7)-2025)+(MONTH(TIMELINE!DE7)-1)/12)        /12        *INDEX(Assumptions_Commercial!$B$22:$B$33,MONTH(TIMELINE!DE7))</f>
        <v/>
      </c>
      <c r="DJ11" s="31">
        <f>$D11        *(1+$E11)^((YEAR(TIMELINE!DF7)-2025)+(MONTH(TIMELINE!DF7)-1)/12)        /12        *INDEX(Assumptions_Commercial!$B$22:$B$33,MONTH(TIMELINE!DF7))</f>
        <v/>
      </c>
      <c r="DK11" s="31">
        <f>$D11        *(1+$E11)^((YEAR(TIMELINE!DG7)-2025)+(MONTH(TIMELINE!DG7)-1)/12)        /12        *INDEX(Assumptions_Commercial!$B$22:$B$33,MONTH(TIMELINE!DG7))</f>
        <v/>
      </c>
      <c r="DL11" s="31">
        <f>$D11        *(1+$E11)^((YEAR(TIMELINE!DH7)-2025)+(MONTH(TIMELINE!DH7)-1)/12)        /12        *INDEX(Assumptions_Commercial!$B$22:$B$33,MONTH(TIMELINE!DH7))</f>
        <v/>
      </c>
      <c r="DM11" s="31">
        <f>$D11        *(1+$E11)^((YEAR(TIMELINE!DI7)-2025)+(MONTH(TIMELINE!DI7)-1)/12)        /12        *INDEX(Assumptions_Commercial!$B$22:$B$33,MONTH(TIMELINE!DI7))</f>
        <v/>
      </c>
      <c r="DN11" s="31">
        <f>$D11        *(1+$E11)^((YEAR(TIMELINE!DJ7)-2025)+(MONTH(TIMELINE!DJ7)-1)/12)        /12        *INDEX(Assumptions_Commercial!$B$22:$B$33,MONTH(TIMELINE!DJ7))</f>
        <v/>
      </c>
      <c r="DO11" s="31">
        <f>$D11        *(1+$E11)^((YEAR(TIMELINE!DK7)-2025)+(MONTH(TIMELINE!DK7)-1)/12)        /12        *INDEX(Assumptions_Commercial!$B$22:$B$33,MONTH(TIMELINE!DK7))</f>
        <v/>
      </c>
      <c r="DP11" s="31">
        <f>$D11        *(1+$E11)^((YEAR(TIMELINE!DL7)-2025)+(MONTH(TIMELINE!DL7)-1)/12)        /12        *INDEX(Assumptions_Commercial!$B$22:$B$33,MONTH(TIMELINE!DL7))</f>
        <v/>
      </c>
      <c r="DQ11" s="31">
        <f>$D11        *(1+$E11)^((YEAR(TIMELINE!DM7)-2025)+(MONTH(TIMELINE!DM7)-1)/12)        /12        *INDEX(Assumptions_Commercial!$B$22:$B$33,MONTH(TIMELINE!DM7))</f>
        <v/>
      </c>
      <c r="DR11" s="31">
        <f>$D11        *(1+$E11)^((YEAR(TIMELINE!DN7)-2025)+(MONTH(TIMELINE!DN7)-1)/12)        /12        *INDEX(Assumptions_Commercial!$B$22:$B$33,MONTH(TIMELINE!DN7))</f>
        <v/>
      </c>
      <c r="DS11" s="31">
        <f>$D11        *(1+$E11)^((YEAR(TIMELINE!DO7)-2025)+(MONTH(TIMELINE!DO7)-1)/12)        /12        *INDEX(Assumptions_Commercial!$B$22:$B$33,MONTH(TIMELINE!DO7))</f>
        <v/>
      </c>
      <c r="DT11" s="31">
        <f>$D11        *(1+$E11)^((YEAR(TIMELINE!DP7)-2025)+(MONTH(TIMELINE!DP7)-1)/12)        /12        *INDEX(Assumptions_Commercial!$B$22:$B$33,MONTH(TIMELINE!DP7))</f>
        <v/>
      </c>
      <c r="DU11" s="31">
        <f>$D11        *(1+$E11)^((YEAR(TIMELINE!DQ7)-2025)+(MONTH(TIMELINE!DQ7)-1)/12)        /12        *INDEX(Assumptions_Commercial!$B$22:$B$33,MONTH(TIMELINE!DQ7))</f>
        <v/>
      </c>
    </row>
    <row r="12">
      <c r="A12" t="inlineStr">
        <is>
          <t>SKU-07</t>
        </is>
      </c>
      <c r="B12" t="inlineStr">
        <is>
          <t>On-Trade</t>
        </is>
      </c>
      <c r="C12" t="inlineStr">
        <is>
          <t>AU</t>
        </is>
      </c>
      <c r="D12" s="14" t="n">
        <v>18000</v>
      </c>
      <c r="E12" s="30">
        <f>INDEX(Assumptions_Commercial!$B$5:$D$5,CONTROL!$B$5)</f>
        <v/>
      </c>
      <c r="F12" s="31">
        <f>$D12        *(1+$E12)^((YEAR(TIMELINE!B7)-2025)+(MONTH(TIMELINE!B7)-1)/12)        /12        *INDEX(Assumptions_Commercial!$B$22:$B$33,MONTH(TIMELINE!B7))</f>
        <v/>
      </c>
      <c r="G12" s="31">
        <f>$D12        *(1+$E12)^((YEAR(TIMELINE!C7)-2025)+(MONTH(TIMELINE!C7)-1)/12)        /12        *INDEX(Assumptions_Commercial!$B$22:$B$33,MONTH(TIMELINE!C7))</f>
        <v/>
      </c>
      <c r="H12" s="31">
        <f>$D12        *(1+$E12)^((YEAR(TIMELINE!D7)-2025)+(MONTH(TIMELINE!D7)-1)/12)        /12        *INDEX(Assumptions_Commercial!$B$22:$B$33,MONTH(TIMELINE!D7))</f>
        <v/>
      </c>
      <c r="I12" s="31">
        <f>$D12        *(1+$E12)^((YEAR(TIMELINE!E7)-2025)+(MONTH(TIMELINE!E7)-1)/12)        /12        *INDEX(Assumptions_Commercial!$B$22:$B$33,MONTH(TIMELINE!E7))</f>
        <v/>
      </c>
      <c r="J12" s="31">
        <f>$D12        *(1+$E12)^((YEAR(TIMELINE!F7)-2025)+(MONTH(TIMELINE!F7)-1)/12)        /12        *INDEX(Assumptions_Commercial!$B$22:$B$33,MONTH(TIMELINE!F7))</f>
        <v/>
      </c>
      <c r="K12" s="31">
        <f>$D12        *(1+$E12)^((YEAR(TIMELINE!G7)-2025)+(MONTH(TIMELINE!G7)-1)/12)        /12        *INDEX(Assumptions_Commercial!$B$22:$B$33,MONTH(TIMELINE!G7))</f>
        <v/>
      </c>
      <c r="L12" s="31">
        <f>$D12        *(1+$E12)^((YEAR(TIMELINE!H7)-2025)+(MONTH(TIMELINE!H7)-1)/12)        /12        *INDEX(Assumptions_Commercial!$B$22:$B$33,MONTH(TIMELINE!H7))</f>
        <v/>
      </c>
      <c r="M12" s="31">
        <f>$D12        *(1+$E12)^((YEAR(TIMELINE!I7)-2025)+(MONTH(TIMELINE!I7)-1)/12)        /12        *INDEX(Assumptions_Commercial!$B$22:$B$33,MONTH(TIMELINE!I7))</f>
        <v/>
      </c>
      <c r="N12" s="31">
        <f>$D12        *(1+$E12)^((YEAR(TIMELINE!J7)-2025)+(MONTH(TIMELINE!J7)-1)/12)        /12        *INDEX(Assumptions_Commercial!$B$22:$B$33,MONTH(TIMELINE!J7))</f>
        <v/>
      </c>
      <c r="O12" s="31">
        <f>$D12        *(1+$E12)^((YEAR(TIMELINE!K7)-2025)+(MONTH(TIMELINE!K7)-1)/12)        /12        *INDEX(Assumptions_Commercial!$B$22:$B$33,MONTH(TIMELINE!K7))</f>
        <v/>
      </c>
      <c r="P12" s="31">
        <f>$D12        *(1+$E12)^((YEAR(TIMELINE!L7)-2025)+(MONTH(TIMELINE!L7)-1)/12)        /12        *INDEX(Assumptions_Commercial!$B$22:$B$33,MONTH(TIMELINE!L7))</f>
        <v/>
      </c>
      <c r="Q12" s="31">
        <f>$D12        *(1+$E12)^((YEAR(TIMELINE!M7)-2025)+(MONTH(TIMELINE!M7)-1)/12)        /12        *INDEX(Assumptions_Commercial!$B$22:$B$33,MONTH(TIMELINE!M7))</f>
        <v/>
      </c>
      <c r="R12" s="31">
        <f>$D12        *(1+$E12)^((YEAR(TIMELINE!N7)-2025)+(MONTH(TIMELINE!N7)-1)/12)        /12        *INDEX(Assumptions_Commercial!$B$22:$B$33,MONTH(TIMELINE!N7))</f>
        <v/>
      </c>
      <c r="S12" s="31">
        <f>$D12        *(1+$E12)^((YEAR(TIMELINE!O7)-2025)+(MONTH(TIMELINE!O7)-1)/12)        /12        *INDEX(Assumptions_Commercial!$B$22:$B$33,MONTH(TIMELINE!O7))</f>
        <v/>
      </c>
      <c r="T12" s="31">
        <f>$D12        *(1+$E12)^((YEAR(TIMELINE!P7)-2025)+(MONTH(TIMELINE!P7)-1)/12)        /12        *INDEX(Assumptions_Commercial!$B$22:$B$33,MONTH(TIMELINE!P7))</f>
        <v/>
      </c>
      <c r="U12" s="31">
        <f>$D12        *(1+$E12)^((YEAR(TIMELINE!Q7)-2025)+(MONTH(TIMELINE!Q7)-1)/12)        /12        *INDEX(Assumptions_Commercial!$B$22:$B$33,MONTH(TIMELINE!Q7))</f>
        <v/>
      </c>
      <c r="V12" s="31">
        <f>$D12        *(1+$E12)^((YEAR(TIMELINE!R7)-2025)+(MONTH(TIMELINE!R7)-1)/12)        /12        *INDEX(Assumptions_Commercial!$B$22:$B$33,MONTH(TIMELINE!R7))</f>
        <v/>
      </c>
      <c r="W12" s="31">
        <f>$D12        *(1+$E12)^((YEAR(TIMELINE!S7)-2025)+(MONTH(TIMELINE!S7)-1)/12)        /12        *INDEX(Assumptions_Commercial!$B$22:$B$33,MONTH(TIMELINE!S7))</f>
        <v/>
      </c>
      <c r="X12" s="31">
        <f>$D12        *(1+$E12)^((YEAR(TIMELINE!T7)-2025)+(MONTH(TIMELINE!T7)-1)/12)        /12        *INDEX(Assumptions_Commercial!$B$22:$B$33,MONTH(TIMELINE!T7))</f>
        <v/>
      </c>
      <c r="Y12" s="31">
        <f>$D12        *(1+$E12)^((YEAR(TIMELINE!U7)-2025)+(MONTH(TIMELINE!U7)-1)/12)        /12        *INDEX(Assumptions_Commercial!$B$22:$B$33,MONTH(TIMELINE!U7))</f>
        <v/>
      </c>
      <c r="Z12" s="31">
        <f>$D12        *(1+$E12)^((YEAR(TIMELINE!V7)-2025)+(MONTH(TIMELINE!V7)-1)/12)        /12        *INDEX(Assumptions_Commercial!$B$22:$B$33,MONTH(TIMELINE!V7))</f>
        <v/>
      </c>
      <c r="AA12" s="31">
        <f>$D12        *(1+$E12)^((YEAR(TIMELINE!W7)-2025)+(MONTH(TIMELINE!W7)-1)/12)        /12        *INDEX(Assumptions_Commercial!$B$22:$B$33,MONTH(TIMELINE!W7))</f>
        <v/>
      </c>
      <c r="AB12" s="31">
        <f>$D12        *(1+$E12)^((YEAR(TIMELINE!X7)-2025)+(MONTH(TIMELINE!X7)-1)/12)        /12        *INDEX(Assumptions_Commercial!$B$22:$B$33,MONTH(TIMELINE!X7))</f>
        <v/>
      </c>
      <c r="AC12" s="31">
        <f>$D12        *(1+$E12)^((YEAR(TIMELINE!Y7)-2025)+(MONTH(TIMELINE!Y7)-1)/12)        /12        *INDEX(Assumptions_Commercial!$B$22:$B$33,MONTH(TIMELINE!Y7))</f>
        <v/>
      </c>
      <c r="AD12" s="31">
        <f>$D12        *(1+$E12)^((YEAR(TIMELINE!Z7)-2025)+(MONTH(TIMELINE!Z7)-1)/12)        /12        *INDEX(Assumptions_Commercial!$B$22:$B$33,MONTH(TIMELINE!Z7))</f>
        <v/>
      </c>
      <c r="AE12" s="31">
        <f>$D12        *(1+$E12)^((YEAR(TIMELINE!AA7)-2025)+(MONTH(TIMELINE!AA7)-1)/12)        /12        *INDEX(Assumptions_Commercial!$B$22:$B$33,MONTH(TIMELINE!AA7))</f>
        <v/>
      </c>
      <c r="AF12" s="31">
        <f>$D12        *(1+$E12)^((YEAR(TIMELINE!AB7)-2025)+(MONTH(TIMELINE!AB7)-1)/12)        /12        *INDEX(Assumptions_Commercial!$B$22:$B$33,MONTH(TIMELINE!AB7))</f>
        <v/>
      </c>
      <c r="AG12" s="31">
        <f>$D12        *(1+$E12)^((YEAR(TIMELINE!AC7)-2025)+(MONTH(TIMELINE!AC7)-1)/12)        /12        *INDEX(Assumptions_Commercial!$B$22:$B$33,MONTH(TIMELINE!AC7))</f>
        <v/>
      </c>
      <c r="AH12" s="31">
        <f>$D12        *(1+$E12)^((YEAR(TIMELINE!AD7)-2025)+(MONTH(TIMELINE!AD7)-1)/12)        /12        *INDEX(Assumptions_Commercial!$B$22:$B$33,MONTH(TIMELINE!AD7))</f>
        <v/>
      </c>
      <c r="AI12" s="31">
        <f>$D12        *(1+$E12)^((YEAR(TIMELINE!AE7)-2025)+(MONTH(TIMELINE!AE7)-1)/12)        /12        *INDEX(Assumptions_Commercial!$B$22:$B$33,MONTH(TIMELINE!AE7))</f>
        <v/>
      </c>
      <c r="AJ12" s="31">
        <f>$D12        *(1+$E12)^((YEAR(TIMELINE!AF7)-2025)+(MONTH(TIMELINE!AF7)-1)/12)        /12        *INDEX(Assumptions_Commercial!$B$22:$B$33,MONTH(TIMELINE!AF7))</f>
        <v/>
      </c>
      <c r="AK12" s="31">
        <f>$D12        *(1+$E12)^((YEAR(TIMELINE!AG7)-2025)+(MONTH(TIMELINE!AG7)-1)/12)        /12        *INDEX(Assumptions_Commercial!$B$22:$B$33,MONTH(TIMELINE!AG7))</f>
        <v/>
      </c>
      <c r="AL12" s="31">
        <f>$D12        *(1+$E12)^((YEAR(TIMELINE!AH7)-2025)+(MONTH(TIMELINE!AH7)-1)/12)        /12        *INDEX(Assumptions_Commercial!$B$22:$B$33,MONTH(TIMELINE!AH7))</f>
        <v/>
      </c>
      <c r="AM12" s="31">
        <f>$D12        *(1+$E12)^((YEAR(TIMELINE!AI7)-2025)+(MONTH(TIMELINE!AI7)-1)/12)        /12        *INDEX(Assumptions_Commercial!$B$22:$B$33,MONTH(TIMELINE!AI7))</f>
        <v/>
      </c>
      <c r="AN12" s="31">
        <f>$D12        *(1+$E12)^((YEAR(TIMELINE!AJ7)-2025)+(MONTH(TIMELINE!AJ7)-1)/12)        /12        *INDEX(Assumptions_Commercial!$B$22:$B$33,MONTH(TIMELINE!AJ7))</f>
        <v/>
      </c>
      <c r="AO12" s="31">
        <f>$D12        *(1+$E12)^((YEAR(TIMELINE!AK7)-2025)+(MONTH(TIMELINE!AK7)-1)/12)        /12        *INDEX(Assumptions_Commercial!$B$22:$B$33,MONTH(TIMELINE!AK7))</f>
        <v/>
      </c>
      <c r="AP12" s="31">
        <f>$D12        *(1+$E12)^((YEAR(TIMELINE!AL7)-2025)+(MONTH(TIMELINE!AL7)-1)/12)        /12        *INDEX(Assumptions_Commercial!$B$22:$B$33,MONTH(TIMELINE!AL7))</f>
        <v/>
      </c>
      <c r="AQ12" s="31">
        <f>$D12        *(1+$E12)^((YEAR(TIMELINE!AM7)-2025)+(MONTH(TIMELINE!AM7)-1)/12)        /12        *INDEX(Assumptions_Commercial!$B$22:$B$33,MONTH(TIMELINE!AM7))</f>
        <v/>
      </c>
      <c r="AR12" s="31">
        <f>$D12        *(1+$E12)^((YEAR(TIMELINE!AN7)-2025)+(MONTH(TIMELINE!AN7)-1)/12)        /12        *INDEX(Assumptions_Commercial!$B$22:$B$33,MONTH(TIMELINE!AN7))</f>
        <v/>
      </c>
      <c r="AS12" s="31">
        <f>$D12        *(1+$E12)^((YEAR(TIMELINE!AO7)-2025)+(MONTH(TIMELINE!AO7)-1)/12)        /12        *INDEX(Assumptions_Commercial!$B$22:$B$33,MONTH(TIMELINE!AO7))</f>
        <v/>
      </c>
      <c r="AT12" s="31">
        <f>$D12        *(1+$E12)^((YEAR(TIMELINE!AP7)-2025)+(MONTH(TIMELINE!AP7)-1)/12)        /12        *INDEX(Assumptions_Commercial!$B$22:$B$33,MONTH(TIMELINE!AP7))</f>
        <v/>
      </c>
      <c r="AU12" s="31">
        <f>$D12        *(1+$E12)^((YEAR(TIMELINE!AQ7)-2025)+(MONTH(TIMELINE!AQ7)-1)/12)        /12        *INDEX(Assumptions_Commercial!$B$22:$B$33,MONTH(TIMELINE!AQ7))</f>
        <v/>
      </c>
      <c r="AV12" s="31">
        <f>$D12        *(1+$E12)^((YEAR(TIMELINE!AR7)-2025)+(MONTH(TIMELINE!AR7)-1)/12)        /12        *INDEX(Assumptions_Commercial!$B$22:$B$33,MONTH(TIMELINE!AR7))</f>
        <v/>
      </c>
      <c r="AW12" s="31">
        <f>$D12        *(1+$E12)^((YEAR(TIMELINE!AS7)-2025)+(MONTH(TIMELINE!AS7)-1)/12)        /12        *INDEX(Assumptions_Commercial!$B$22:$B$33,MONTH(TIMELINE!AS7))</f>
        <v/>
      </c>
      <c r="AX12" s="31">
        <f>$D12        *(1+$E12)^((YEAR(TIMELINE!AT7)-2025)+(MONTH(TIMELINE!AT7)-1)/12)        /12        *INDEX(Assumptions_Commercial!$B$22:$B$33,MONTH(TIMELINE!AT7))</f>
        <v/>
      </c>
      <c r="AY12" s="31">
        <f>$D12        *(1+$E12)^((YEAR(TIMELINE!AU7)-2025)+(MONTH(TIMELINE!AU7)-1)/12)        /12        *INDEX(Assumptions_Commercial!$B$22:$B$33,MONTH(TIMELINE!AU7))</f>
        <v/>
      </c>
      <c r="AZ12" s="31">
        <f>$D12        *(1+$E12)^((YEAR(TIMELINE!AV7)-2025)+(MONTH(TIMELINE!AV7)-1)/12)        /12        *INDEX(Assumptions_Commercial!$B$22:$B$33,MONTH(TIMELINE!AV7))</f>
        <v/>
      </c>
      <c r="BA12" s="31">
        <f>$D12        *(1+$E12)^((YEAR(TIMELINE!AW7)-2025)+(MONTH(TIMELINE!AW7)-1)/12)        /12        *INDEX(Assumptions_Commercial!$B$22:$B$33,MONTH(TIMELINE!AW7))</f>
        <v/>
      </c>
      <c r="BB12" s="31">
        <f>$D12        *(1+$E12)^((YEAR(TIMELINE!AX7)-2025)+(MONTH(TIMELINE!AX7)-1)/12)        /12        *INDEX(Assumptions_Commercial!$B$22:$B$33,MONTH(TIMELINE!AX7))</f>
        <v/>
      </c>
      <c r="BC12" s="31">
        <f>$D12        *(1+$E12)^((YEAR(TIMELINE!AY7)-2025)+(MONTH(TIMELINE!AY7)-1)/12)        /12        *INDEX(Assumptions_Commercial!$B$22:$B$33,MONTH(TIMELINE!AY7))</f>
        <v/>
      </c>
      <c r="BD12" s="31">
        <f>$D12        *(1+$E12)^((YEAR(TIMELINE!AZ7)-2025)+(MONTH(TIMELINE!AZ7)-1)/12)        /12        *INDEX(Assumptions_Commercial!$B$22:$B$33,MONTH(TIMELINE!AZ7))</f>
        <v/>
      </c>
      <c r="BE12" s="31">
        <f>$D12        *(1+$E12)^((YEAR(TIMELINE!BA7)-2025)+(MONTH(TIMELINE!BA7)-1)/12)        /12        *INDEX(Assumptions_Commercial!$B$22:$B$33,MONTH(TIMELINE!BA7))</f>
        <v/>
      </c>
      <c r="BF12" s="31">
        <f>$D12        *(1+$E12)^((YEAR(TIMELINE!BB7)-2025)+(MONTH(TIMELINE!BB7)-1)/12)        /12        *INDEX(Assumptions_Commercial!$B$22:$B$33,MONTH(TIMELINE!BB7))</f>
        <v/>
      </c>
      <c r="BG12" s="31">
        <f>$D12        *(1+$E12)^((YEAR(TIMELINE!BC7)-2025)+(MONTH(TIMELINE!BC7)-1)/12)        /12        *INDEX(Assumptions_Commercial!$B$22:$B$33,MONTH(TIMELINE!BC7))</f>
        <v/>
      </c>
      <c r="BH12" s="31">
        <f>$D12        *(1+$E12)^((YEAR(TIMELINE!BD7)-2025)+(MONTH(TIMELINE!BD7)-1)/12)        /12        *INDEX(Assumptions_Commercial!$B$22:$B$33,MONTH(TIMELINE!BD7))</f>
        <v/>
      </c>
      <c r="BI12" s="31">
        <f>$D12        *(1+$E12)^((YEAR(TIMELINE!BE7)-2025)+(MONTH(TIMELINE!BE7)-1)/12)        /12        *INDEX(Assumptions_Commercial!$B$22:$B$33,MONTH(TIMELINE!BE7))</f>
        <v/>
      </c>
      <c r="BJ12" s="31">
        <f>$D12        *(1+$E12)^((YEAR(TIMELINE!BF7)-2025)+(MONTH(TIMELINE!BF7)-1)/12)        /12        *INDEX(Assumptions_Commercial!$B$22:$B$33,MONTH(TIMELINE!BF7))</f>
        <v/>
      </c>
      <c r="BK12" s="31">
        <f>$D12        *(1+$E12)^((YEAR(TIMELINE!BG7)-2025)+(MONTH(TIMELINE!BG7)-1)/12)        /12        *INDEX(Assumptions_Commercial!$B$22:$B$33,MONTH(TIMELINE!BG7))</f>
        <v/>
      </c>
      <c r="BL12" s="31">
        <f>$D12        *(1+$E12)^((YEAR(TIMELINE!BH7)-2025)+(MONTH(TIMELINE!BH7)-1)/12)        /12        *INDEX(Assumptions_Commercial!$B$22:$B$33,MONTH(TIMELINE!BH7))</f>
        <v/>
      </c>
      <c r="BM12" s="31">
        <f>$D12        *(1+$E12)^((YEAR(TIMELINE!BI7)-2025)+(MONTH(TIMELINE!BI7)-1)/12)        /12        *INDEX(Assumptions_Commercial!$B$22:$B$33,MONTH(TIMELINE!BI7))</f>
        <v/>
      </c>
      <c r="BN12" s="31">
        <f>$D12        *(1+$E12)^((YEAR(TIMELINE!BJ7)-2025)+(MONTH(TIMELINE!BJ7)-1)/12)        /12        *INDEX(Assumptions_Commercial!$B$22:$B$33,MONTH(TIMELINE!BJ7))</f>
        <v/>
      </c>
      <c r="BO12" s="31">
        <f>$D12        *(1+$E12)^((YEAR(TIMELINE!BK7)-2025)+(MONTH(TIMELINE!BK7)-1)/12)        /12        *INDEX(Assumptions_Commercial!$B$22:$B$33,MONTH(TIMELINE!BK7))</f>
        <v/>
      </c>
      <c r="BP12" s="31">
        <f>$D12        *(1+$E12)^((YEAR(TIMELINE!BL7)-2025)+(MONTH(TIMELINE!BL7)-1)/12)        /12        *INDEX(Assumptions_Commercial!$B$22:$B$33,MONTH(TIMELINE!BL7))</f>
        <v/>
      </c>
      <c r="BQ12" s="31">
        <f>$D12        *(1+$E12)^((YEAR(TIMELINE!BM7)-2025)+(MONTH(TIMELINE!BM7)-1)/12)        /12        *INDEX(Assumptions_Commercial!$B$22:$B$33,MONTH(TIMELINE!BM7))</f>
        <v/>
      </c>
      <c r="BR12" s="31">
        <f>$D12        *(1+$E12)^((YEAR(TIMELINE!BN7)-2025)+(MONTH(TIMELINE!BN7)-1)/12)        /12        *INDEX(Assumptions_Commercial!$B$22:$B$33,MONTH(TIMELINE!BN7))</f>
        <v/>
      </c>
      <c r="BS12" s="31">
        <f>$D12        *(1+$E12)^((YEAR(TIMELINE!BO7)-2025)+(MONTH(TIMELINE!BO7)-1)/12)        /12        *INDEX(Assumptions_Commercial!$B$22:$B$33,MONTH(TIMELINE!BO7))</f>
        <v/>
      </c>
      <c r="BT12" s="31">
        <f>$D12        *(1+$E12)^((YEAR(TIMELINE!BP7)-2025)+(MONTH(TIMELINE!BP7)-1)/12)        /12        *INDEX(Assumptions_Commercial!$B$22:$B$33,MONTH(TIMELINE!BP7))</f>
        <v/>
      </c>
      <c r="BU12" s="31">
        <f>$D12        *(1+$E12)^((YEAR(TIMELINE!BQ7)-2025)+(MONTH(TIMELINE!BQ7)-1)/12)        /12        *INDEX(Assumptions_Commercial!$B$22:$B$33,MONTH(TIMELINE!BQ7))</f>
        <v/>
      </c>
      <c r="BV12" s="31">
        <f>$D12        *(1+$E12)^((YEAR(TIMELINE!BR7)-2025)+(MONTH(TIMELINE!BR7)-1)/12)        /12        *INDEX(Assumptions_Commercial!$B$22:$B$33,MONTH(TIMELINE!BR7))</f>
        <v/>
      </c>
      <c r="BW12" s="31">
        <f>$D12        *(1+$E12)^((YEAR(TIMELINE!BS7)-2025)+(MONTH(TIMELINE!BS7)-1)/12)        /12        *INDEX(Assumptions_Commercial!$B$22:$B$33,MONTH(TIMELINE!BS7))</f>
        <v/>
      </c>
      <c r="BX12" s="31">
        <f>$D12        *(1+$E12)^((YEAR(TIMELINE!BT7)-2025)+(MONTH(TIMELINE!BT7)-1)/12)        /12        *INDEX(Assumptions_Commercial!$B$22:$B$33,MONTH(TIMELINE!BT7))</f>
        <v/>
      </c>
      <c r="BY12" s="31">
        <f>$D12        *(1+$E12)^((YEAR(TIMELINE!BU7)-2025)+(MONTH(TIMELINE!BU7)-1)/12)        /12        *INDEX(Assumptions_Commercial!$B$22:$B$33,MONTH(TIMELINE!BU7))</f>
        <v/>
      </c>
      <c r="BZ12" s="31">
        <f>$D12        *(1+$E12)^((YEAR(TIMELINE!BV7)-2025)+(MONTH(TIMELINE!BV7)-1)/12)        /12        *INDEX(Assumptions_Commercial!$B$22:$B$33,MONTH(TIMELINE!BV7))</f>
        <v/>
      </c>
      <c r="CA12" s="31">
        <f>$D12        *(1+$E12)^((YEAR(TIMELINE!BW7)-2025)+(MONTH(TIMELINE!BW7)-1)/12)        /12        *INDEX(Assumptions_Commercial!$B$22:$B$33,MONTH(TIMELINE!BW7))</f>
        <v/>
      </c>
      <c r="CB12" s="31">
        <f>$D12        *(1+$E12)^((YEAR(TIMELINE!BX7)-2025)+(MONTH(TIMELINE!BX7)-1)/12)        /12        *INDEX(Assumptions_Commercial!$B$22:$B$33,MONTH(TIMELINE!BX7))</f>
        <v/>
      </c>
      <c r="CC12" s="31">
        <f>$D12        *(1+$E12)^((YEAR(TIMELINE!BY7)-2025)+(MONTH(TIMELINE!BY7)-1)/12)        /12        *INDEX(Assumptions_Commercial!$B$22:$B$33,MONTH(TIMELINE!BY7))</f>
        <v/>
      </c>
      <c r="CD12" s="31">
        <f>$D12        *(1+$E12)^((YEAR(TIMELINE!BZ7)-2025)+(MONTH(TIMELINE!BZ7)-1)/12)        /12        *INDEX(Assumptions_Commercial!$B$22:$B$33,MONTH(TIMELINE!BZ7))</f>
        <v/>
      </c>
      <c r="CE12" s="31">
        <f>$D12        *(1+$E12)^((YEAR(TIMELINE!CA7)-2025)+(MONTH(TIMELINE!CA7)-1)/12)        /12        *INDEX(Assumptions_Commercial!$B$22:$B$33,MONTH(TIMELINE!CA7))</f>
        <v/>
      </c>
      <c r="CF12" s="31">
        <f>$D12        *(1+$E12)^((YEAR(TIMELINE!CB7)-2025)+(MONTH(TIMELINE!CB7)-1)/12)        /12        *INDEX(Assumptions_Commercial!$B$22:$B$33,MONTH(TIMELINE!CB7))</f>
        <v/>
      </c>
      <c r="CG12" s="31">
        <f>$D12        *(1+$E12)^((YEAR(TIMELINE!CC7)-2025)+(MONTH(TIMELINE!CC7)-1)/12)        /12        *INDEX(Assumptions_Commercial!$B$22:$B$33,MONTH(TIMELINE!CC7))</f>
        <v/>
      </c>
      <c r="CH12" s="31">
        <f>$D12        *(1+$E12)^((YEAR(TIMELINE!CD7)-2025)+(MONTH(TIMELINE!CD7)-1)/12)        /12        *INDEX(Assumptions_Commercial!$B$22:$B$33,MONTH(TIMELINE!CD7))</f>
        <v/>
      </c>
      <c r="CI12" s="31">
        <f>$D12        *(1+$E12)^((YEAR(TIMELINE!CE7)-2025)+(MONTH(TIMELINE!CE7)-1)/12)        /12        *INDEX(Assumptions_Commercial!$B$22:$B$33,MONTH(TIMELINE!CE7))</f>
        <v/>
      </c>
      <c r="CJ12" s="31">
        <f>$D12        *(1+$E12)^((YEAR(TIMELINE!CF7)-2025)+(MONTH(TIMELINE!CF7)-1)/12)        /12        *INDEX(Assumptions_Commercial!$B$22:$B$33,MONTH(TIMELINE!CF7))</f>
        <v/>
      </c>
      <c r="CK12" s="31">
        <f>$D12        *(1+$E12)^((YEAR(TIMELINE!CG7)-2025)+(MONTH(TIMELINE!CG7)-1)/12)        /12        *INDEX(Assumptions_Commercial!$B$22:$B$33,MONTH(TIMELINE!CG7))</f>
        <v/>
      </c>
      <c r="CL12" s="31">
        <f>$D12        *(1+$E12)^((YEAR(TIMELINE!CH7)-2025)+(MONTH(TIMELINE!CH7)-1)/12)        /12        *INDEX(Assumptions_Commercial!$B$22:$B$33,MONTH(TIMELINE!CH7))</f>
        <v/>
      </c>
      <c r="CM12" s="31">
        <f>$D12        *(1+$E12)^((YEAR(TIMELINE!CI7)-2025)+(MONTH(TIMELINE!CI7)-1)/12)        /12        *INDEX(Assumptions_Commercial!$B$22:$B$33,MONTH(TIMELINE!CI7))</f>
        <v/>
      </c>
      <c r="CN12" s="31">
        <f>$D12        *(1+$E12)^((YEAR(TIMELINE!CJ7)-2025)+(MONTH(TIMELINE!CJ7)-1)/12)        /12        *INDEX(Assumptions_Commercial!$B$22:$B$33,MONTH(TIMELINE!CJ7))</f>
        <v/>
      </c>
      <c r="CO12" s="31">
        <f>$D12        *(1+$E12)^((YEAR(TIMELINE!CK7)-2025)+(MONTH(TIMELINE!CK7)-1)/12)        /12        *INDEX(Assumptions_Commercial!$B$22:$B$33,MONTH(TIMELINE!CK7))</f>
        <v/>
      </c>
      <c r="CP12" s="31">
        <f>$D12        *(1+$E12)^((YEAR(TIMELINE!CL7)-2025)+(MONTH(TIMELINE!CL7)-1)/12)        /12        *INDEX(Assumptions_Commercial!$B$22:$B$33,MONTH(TIMELINE!CL7))</f>
        <v/>
      </c>
      <c r="CQ12" s="31">
        <f>$D12        *(1+$E12)^((YEAR(TIMELINE!CM7)-2025)+(MONTH(TIMELINE!CM7)-1)/12)        /12        *INDEX(Assumptions_Commercial!$B$22:$B$33,MONTH(TIMELINE!CM7))</f>
        <v/>
      </c>
      <c r="CR12" s="31">
        <f>$D12        *(1+$E12)^((YEAR(TIMELINE!CN7)-2025)+(MONTH(TIMELINE!CN7)-1)/12)        /12        *INDEX(Assumptions_Commercial!$B$22:$B$33,MONTH(TIMELINE!CN7))</f>
        <v/>
      </c>
      <c r="CS12" s="31">
        <f>$D12        *(1+$E12)^((YEAR(TIMELINE!CO7)-2025)+(MONTH(TIMELINE!CO7)-1)/12)        /12        *INDEX(Assumptions_Commercial!$B$22:$B$33,MONTH(TIMELINE!CO7))</f>
        <v/>
      </c>
      <c r="CT12" s="31">
        <f>$D12        *(1+$E12)^((YEAR(TIMELINE!CP7)-2025)+(MONTH(TIMELINE!CP7)-1)/12)        /12        *INDEX(Assumptions_Commercial!$B$22:$B$33,MONTH(TIMELINE!CP7))</f>
        <v/>
      </c>
      <c r="CU12" s="31">
        <f>$D12        *(1+$E12)^((YEAR(TIMELINE!CQ7)-2025)+(MONTH(TIMELINE!CQ7)-1)/12)        /12        *INDEX(Assumptions_Commercial!$B$22:$B$33,MONTH(TIMELINE!CQ7))</f>
        <v/>
      </c>
      <c r="CV12" s="31">
        <f>$D12        *(1+$E12)^((YEAR(TIMELINE!CR7)-2025)+(MONTH(TIMELINE!CR7)-1)/12)        /12        *INDEX(Assumptions_Commercial!$B$22:$B$33,MONTH(TIMELINE!CR7))</f>
        <v/>
      </c>
      <c r="CW12" s="31">
        <f>$D12        *(1+$E12)^((YEAR(TIMELINE!CS7)-2025)+(MONTH(TIMELINE!CS7)-1)/12)        /12        *INDEX(Assumptions_Commercial!$B$22:$B$33,MONTH(TIMELINE!CS7))</f>
        <v/>
      </c>
      <c r="CX12" s="31">
        <f>$D12        *(1+$E12)^((YEAR(TIMELINE!CT7)-2025)+(MONTH(TIMELINE!CT7)-1)/12)        /12        *INDEX(Assumptions_Commercial!$B$22:$B$33,MONTH(TIMELINE!CT7))</f>
        <v/>
      </c>
      <c r="CY12" s="31">
        <f>$D12        *(1+$E12)^((YEAR(TIMELINE!CU7)-2025)+(MONTH(TIMELINE!CU7)-1)/12)        /12        *INDEX(Assumptions_Commercial!$B$22:$B$33,MONTH(TIMELINE!CU7))</f>
        <v/>
      </c>
      <c r="CZ12" s="31">
        <f>$D12        *(1+$E12)^((YEAR(TIMELINE!CV7)-2025)+(MONTH(TIMELINE!CV7)-1)/12)        /12        *INDEX(Assumptions_Commercial!$B$22:$B$33,MONTH(TIMELINE!CV7))</f>
        <v/>
      </c>
      <c r="DA12" s="31">
        <f>$D12        *(1+$E12)^((YEAR(TIMELINE!CW7)-2025)+(MONTH(TIMELINE!CW7)-1)/12)        /12        *INDEX(Assumptions_Commercial!$B$22:$B$33,MONTH(TIMELINE!CW7))</f>
        <v/>
      </c>
      <c r="DB12" s="31">
        <f>$D12        *(1+$E12)^((YEAR(TIMELINE!CX7)-2025)+(MONTH(TIMELINE!CX7)-1)/12)        /12        *INDEX(Assumptions_Commercial!$B$22:$B$33,MONTH(TIMELINE!CX7))</f>
        <v/>
      </c>
      <c r="DC12" s="31">
        <f>$D12        *(1+$E12)^((YEAR(TIMELINE!CY7)-2025)+(MONTH(TIMELINE!CY7)-1)/12)        /12        *INDEX(Assumptions_Commercial!$B$22:$B$33,MONTH(TIMELINE!CY7))</f>
        <v/>
      </c>
      <c r="DD12" s="31">
        <f>$D12        *(1+$E12)^((YEAR(TIMELINE!CZ7)-2025)+(MONTH(TIMELINE!CZ7)-1)/12)        /12        *INDEX(Assumptions_Commercial!$B$22:$B$33,MONTH(TIMELINE!CZ7))</f>
        <v/>
      </c>
      <c r="DE12" s="31">
        <f>$D12        *(1+$E12)^((YEAR(TIMELINE!DA7)-2025)+(MONTH(TIMELINE!DA7)-1)/12)        /12        *INDEX(Assumptions_Commercial!$B$22:$B$33,MONTH(TIMELINE!DA7))</f>
        <v/>
      </c>
      <c r="DF12" s="31">
        <f>$D12        *(1+$E12)^((YEAR(TIMELINE!DB7)-2025)+(MONTH(TIMELINE!DB7)-1)/12)        /12        *INDEX(Assumptions_Commercial!$B$22:$B$33,MONTH(TIMELINE!DB7))</f>
        <v/>
      </c>
      <c r="DG12" s="31">
        <f>$D12        *(1+$E12)^((YEAR(TIMELINE!DC7)-2025)+(MONTH(TIMELINE!DC7)-1)/12)        /12        *INDEX(Assumptions_Commercial!$B$22:$B$33,MONTH(TIMELINE!DC7))</f>
        <v/>
      </c>
      <c r="DH12" s="31">
        <f>$D12        *(1+$E12)^((YEAR(TIMELINE!DD7)-2025)+(MONTH(TIMELINE!DD7)-1)/12)        /12        *INDEX(Assumptions_Commercial!$B$22:$B$33,MONTH(TIMELINE!DD7))</f>
        <v/>
      </c>
      <c r="DI12" s="31">
        <f>$D12        *(1+$E12)^((YEAR(TIMELINE!DE7)-2025)+(MONTH(TIMELINE!DE7)-1)/12)        /12        *INDEX(Assumptions_Commercial!$B$22:$B$33,MONTH(TIMELINE!DE7))</f>
        <v/>
      </c>
      <c r="DJ12" s="31">
        <f>$D12        *(1+$E12)^((YEAR(TIMELINE!DF7)-2025)+(MONTH(TIMELINE!DF7)-1)/12)        /12        *INDEX(Assumptions_Commercial!$B$22:$B$33,MONTH(TIMELINE!DF7))</f>
        <v/>
      </c>
      <c r="DK12" s="31">
        <f>$D12        *(1+$E12)^((YEAR(TIMELINE!DG7)-2025)+(MONTH(TIMELINE!DG7)-1)/12)        /12        *INDEX(Assumptions_Commercial!$B$22:$B$33,MONTH(TIMELINE!DG7))</f>
        <v/>
      </c>
      <c r="DL12" s="31">
        <f>$D12        *(1+$E12)^((YEAR(TIMELINE!DH7)-2025)+(MONTH(TIMELINE!DH7)-1)/12)        /12        *INDEX(Assumptions_Commercial!$B$22:$B$33,MONTH(TIMELINE!DH7))</f>
        <v/>
      </c>
      <c r="DM12" s="31">
        <f>$D12        *(1+$E12)^((YEAR(TIMELINE!DI7)-2025)+(MONTH(TIMELINE!DI7)-1)/12)        /12        *INDEX(Assumptions_Commercial!$B$22:$B$33,MONTH(TIMELINE!DI7))</f>
        <v/>
      </c>
      <c r="DN12" s="31">
        <f>$D12        *(1+$E12)^((YEAR(TIMELINE!DJ7)-2025)+(MONTH(TIMELINE!DJ7)-1)/12)        /12        *INDEX(Assumptions_Commercial!$B$22:$B$33,MONTH(TIMELINE!DJ7))</f>
        <v/>
      </c>
      <c r="DO12" s="31">
        <f>$D12        *(1+$E12)^((YEAR(TIMELINE!DK7)-2025)+(MONTH(TIMELINE!DK7)-1)/12)        /12        *INDEX(Assumptions_Commercial!$B$22:$B$33,MONTH(TIMELINE!DK7))</f>
        <v/>
      </c>
      <c r="DP12" s="31">
        <f>$D12        *(1+$E12)^((YEAR(TIMELINE!DL7)-2025)+(MONTH(TIMELINE!DL7)-1)/12)        /12        *INDEX(Assumptions_Commercial!$B$22:$B$33,MONTH(TIMELINE!DL7))</f>
        <v/>
      </c>
      <c r="DQ12" s="31">
        <f>$D12        *(1+$E12)^((YEAR(TIMELINE!DM7)-2025)+(MONTH(TIMELINE!DM7)-1)/12)        /12        *INDEX(Assumptions_Commercial!$B$22:$B$33,MONTH(TIMELINE!DM7))</f>
        <v/>
      </c>
      <c r="DR12" s="31">
        <f>$D12        *(1+$E12)^((YEAR(TIMELINE!DN7)-2025)+(MONTH(TIMELINE!DN7)-1)/12)        /12        *INDEX(Assumptions_Commercial!$B$22:$B$33,MONTH(TIMELINE!DN7))</f>
        <v/>
      </c>
      <c r="DS12" s="31">
        <f>$D12        *(1+$E12)^((YEAR(TIMELINE!DO7)-2025)+(MONTH(TIMELINE!DO7)-1)/12)        /12        *INDEX(Assumptions_Commercial!$B$22:$B$33,MONTH(TIMELINE!DO7))</f>
        <v/>
      </c>
      <c r="DT12" s="31">
        <f>$D12        *(1+$E12)^((YEAR(TIMELINE!DP7)-2025)+(MONTH(TIMELINE!DP7)-1)/12)        /12        *INDEX(Assumptions_Commercial!$B$22:$B$33,MONTH(TIMELINE!DP7))</f>
        <v/>
      </c>
      <c r="DU12" s="31">
        <f>$D12        *(1+$E12)^((YEAR(TIMELINE!DQ7)-2025)+(MONTH(TIMELINE!DQ7)-1)/12)        /12        *INDEX(Assumptions_Commercial!$B$22:$B$33,MONTH(TIMELINE!DQ7))</f>
        <v/>
      </c>
    </row>
    <row r="13">
      <c r="A13" t="inlineStr">
        <is>
          <t>SKU-07</t>
        </is>
      </c>
      <c r="B13" t="inlineStr">
        <is>
          <t>Off-Trade</t>
        </is>
      </c>
      <c r="C13" t="inlineStr">
        <is>
          <t>AU</t>
        </is>
      </c>
      <c r="D13" s="14" t="n">
        <v>18000</v>
      </c>
      <c r="E13" s="30">
        <f>INDEX(Assumptions_Commercial!$B$5:$D$5,CONTROL!$B$5)</f>
        <v/>
      </c>
      <c r="F13" s="31">
        <f>$D13        *(1+$E13)^((YEAR(TIMELINE!B7)-2025)+(MONTH(TIMELINE!B7)-1)/12)        /12        *INDEX(Assumptions_Commercial!$B$22:$B$33,MONTH(TIMELINE!B7))</f>
        <v/>
      </c>
      <c r="G13" s="31">
        <f>$D13        *(1+$E13)^((YEAR(TIMELINE!C7)-2025)+(MONTH(TIMELINE!C7)-1)/12)        /12        *INDEX(Assumptions_Commercial!$B$22:$B$33,MONTH(TIMELINE!C7))</f>
        <v/>
      </c>
      <c r="H13" s="31">
        <f>$D13        *(1+$E13)^((YEAR(TIMELINE!D7)-2025)+(MONTH(TIMELINE!D7)-1)/12)        /12        *INDEX(Assumptions_Commercial!$B$22:$B$33,MONTH(TIMELINE!D7))</f>
        <v/>
      </c>
      <c r="I13" s="31">
        <f>$D13        *(1+$E13)^((YEAR(TIMELINE!E7)-2025)+(MONTH(TIMELINE!E7)-1)/12)        /12        *INDEX(Assumptions_Commercial!$B$22:$B$33,MONTH(TIMELINE!E7))</f>
        <v/>
      </c>
      <c r="J13" s="31">
        <f>$D13        *(1+$E13)^((YEAR(TIMELINE!F7)-2025)+(MONTH(TIMELINE!F7)-1)/12)        /12        *INDEX(Assumptions_Commercial!$B$22:$B$33,MONTH(TIMELINE!F7))</f>
        <v/>
      </c>
      <c r="K13" s="31">
        <f>$D13        *(1+$E13)^((YEAR(TIMELINE!G7)-2025)+(MONTH(TIMELINE!G7)-1)/12)        /12        *INDEX(Assumptions_Commercial!$B$22:$B$33,MONTH(TIMELINE!G7))</f>
        <v/>
      </c>
      <c r="L13" s="31">
        <f>$D13        *(1+$E13)^((YEAR(TIMELINE!H7)-2025)+(MONTH(TIMELINE!H7)-1)/12)        /12        *INDEX(Assumptions_Commercial!$B$22:$B$33,MONTH(TIMELINE!H7))</f>
        <v/>
      </c>
      <c r="M13" s="31">
        <f>$D13        *(1+$E13)^((YEAR(TIMELINE!I7)-2025)+(MONTH(TIMELINE!I7)-1)/12)        /12        *INDEX(Assumptions_Commercial!$B$22:$B$33,MONTH(TIMELINE!I7))</f>
        <v/>
      </c>
      <c r="N13" s="31">
        <f>$D13        *(1+$E13)^((YEAR(TIMELINE!J7)-2025)+(MONTH(TIMELINE!J7)-1)/12)        /12        *INDEX(Assumptions_Commercial!$B$22:$B$33,MONTH(TIMELINE!J7))</f>
        <v/>
      </c>
      <c r="O13" s="31">
        <f>$D13        *(1+$E13)^((YEAR(TIMELINE!K7)-2025)+(MONTH(TIMELINE!K7)-1)/12)        /12        *INDEX(Assumptions_Commercial!$B$22:$B$33,MONTH(TIMELINE!K7))</f>
        <v/>
      </c>
      <c r="P13" s="31">
        <f>$D13        *(1+$E13)^((YEAR(TIMELINE!L7)-2025)+(MONTH(TIMELINE!L7)-1)/12)        /12        *INDEX(Assumptions_Commercial!$B$22:$B$33,MONTH(TIMELINE!L7))</f>
        <v/>
      </c>
      <c r="Q13" s="31">
        <f>$D13        *(1+$E13)^((YEAR(TIMELINE!M7)-2025)+(MONTH(TIMELINE!M7)-1)/12)        /12        *INDEX(Assumptions_Commercial!$B$22:$B$33,MONTH(TIMELINE!M7))</f>
        <v/>
      </c>
      <c r="R13" s="31">
        <f>$D13        *(1+$E13)^((YEAR(TIMELINE!N7)-2025)+(MONTH(TIMELINE!N7)-1)/12)        /12        *INDEX(Assumptions_Commercial!$B$22:$B$33,MONTH(TIMELINE!N7))</f>
        <v/>
      </c>
      <c r="S13" s="31">
        <f>$D13        *(1+$E13)^((YEAR(TIMELINE!O7)-2025)+(MONTH(TIMELINE!O7)-1)/12)        /12        *INDEX(Assumptions_Commercial!$B$22:$B$33,MONTH(TIMELINE!O7))</f>
        <v/>
      </c>
      <c r="T13" s="31">
        <f>$D13        *(1+$E13)^((YEAR(TIMELINE!P7)-2025)+(MONTH(TIMELINE!P7)-1)/12)        /12        *INDEX(Assumptions_Commercial!$B$22:$B$33,MONTH(TIMELINE!P7))</f>
        <v/>
      </c>
      <c r="U13" s="31">
        <f>$D13        *(1+$E13)^((YEAR(TIMELINE!Q7)-2025)+(MONTH(TIMELINE!Q7)-1)/12)        /12        *INDEX(Assumptions_Commercial!$B$22:$B$33,MONTH(TIMELINE!Q7))</f>
        <v/>
      </c>
      <c r="V13" s="31">
        <f>$D13        *(1+$E13)^((YEAR(TIMELINE!R7)-2025)+(MONTH(TIMELINE!R7)-1)/12)        /12        *INDEX(Assumptions_Commercial!$B$22:$B$33,MONTH(TIMELINE!R7))</f>
        <v/>
      </c>
      <c r="W13" s="31">
        <f>$D13        *(1+$E13)^((YEAR(TIMELINE!S7)-2025)+(MONTH(TIMELINE!S7)-1)/12)        /12        *INDEX(Assumptions_Commercial!$B$22:$B$33,MONTH(TIMELINE!S7))</f>
        <v/>
      </c>
      <c r="X13" s="31">
        <f>$D13        *(1+$E13)^((YEAR(TIMELINE!T7)-2025)+(MONTH(TIMELINE!T7)-1)/12)        /12        *INDEX(Assumptions_Commercial!$B$22:$B$33,MONTH(TIMELINE!T7))</f>
        <v/>
      </c>
      <c r="Y13" s="31">
        <f>$D13        *(1+$E13)^((YEAR(TIMELINE!U7)-2025)+(MONTH(TIMELINE!U7)-1)/12)        /12        *INDEX(Assumptions_Commercial!$B$22:$B$33,MONTH(TIMELINE!U7))</f>
        <v/>
      </c>
      <c r="Z13" s="31">
        <f>$D13        *(1+$E13)^((YEAR(TIMELINE!V7)-2025)+(MONTH(TIMELINE!V7)-1)/12)        /12        *INDEX(Assumptions_Commercial!$B$22:$B$33,MONTH(TIMELINE!V7))</f>
        <v/>
      </c>
      <c r="AA13" s="31">
        <f>$D13        *(1+$E13)^((YEAR(TIMELINE!W7)-2025)+(MONTH(TIMELINE!W7)-1)/12)        /12        *INDEX(Assumptions_Commercial!$B$22:$B$33,MONTH(TIMELINE!W7))</f>
        <v/>
      </c>
      <c r="AB13" s="31">
        <f>$D13        *(1+$E13)^((YEAR(TIMELINE!X7)-2025)+(MONTH(TIMELINE!X7)-1)/12)        /12        *INDEX(Assumptions_Commercial!$B$22:$B$33,MONTH(TIMELINE!X7))</f>
        <v/>
      </c>
      <c r="AC13" s="31">
        <f>$D13        *(1+$E13)^((YEAR(TIMELINE!Y7)-2025)+(MONTH(TIMELINE!Y7)-1)/12)        /12        *INDEX(Assumptions_Commercial!$B$22:$B$33,MONTH(TIMELINE!Y7))</f>
        <v/>
      </c>
      <c r="AD13" s="31">
        <f>$D13        *(1+$E13)^((YEAR(TIMELINE!Z7)-2025)+(MONTH(TIMELINE!Z7)-1)/12)        /12        *INDEX(Assumptions_Commercial!$B$22:$B$33,MONTH(TIMELINE!Z7))</f>
        <v/>
      </c>
      <c r="AE13" s="31">
        <f>$D13        *(1+$E13)^((YEAR(TIMELINE!AA7)-2025)+(MONTH(TIMELINE!AA7)-1)/12)        /12        *INDEX(Assumptions_Commercial!$B$22:$B$33,MONTH(TIMELINE!AA7))</f>
        <v/>
      </c>
      <c r="AF13" s="31">
        <f>$D13        *(1+$E13)^((YEAR(TIMELINE!AB7)-2025)+(MONTH(TIMELINE!AB7)-1)/12)        /12        *INDEX(Assumptions_Commercial!$B$22:$B$33,MONTH(TIMELINE!AB7))</f>
        <v/>
      </c>
      <c r="AG13" s="31">
        <f>$D13        *(1+$E13)^((YEAR(TIMELINE!AC7)-2025)+(MONTH(TIMELINE!AC7)-1)/12)        /12        *INDEX(Assumptions_Commercial!$B$22:$B$33,MONTH(TIMELINE!AC7))</f>
        <v/>
      </c>
      <c r="AH13" s="31">
        <f>$D13        *(1+$E13)^((YEAR(TIMELINE!AD7)-2025)+(MONTH(TIMELINE!AD7)-1)/12)        /12        *INDEX(Assumptions_Commercial!$B$22:$B$33,MONTH(TIMELINE!AD7))</f>
        <v/>
      </c>
      <c r="AI13" s="31">
        <f>$D13        *(1+$E13)^((YEAR(TIMELINE!AE7)-2025)+(MONTH(TIMELINE!AE7)-1)/12)        /12        *INDEX(Assumptions_Commercial!$B$22:$B$33,MONTH(TIMELINE!AE7))</f>
        <v/>
      </c>
      <c r="AJ13" s="31">
        <f>$D13        *(1+$E13)^((YEAR(TIMELINE!AF7)-2025)+(MONTH(TIMELINE!AF7)-1)/12)        /12        *INDEX(Assumptions_Commercial!$B$22:$B$33,MONTH(TIMELINE!AF7))</f>
        <v/>
      </c>
      <c r="AK13" s="31">
        <f>$D13        *(1+$E13)^((YEAR(TIMELINE!AG7)-2025)+(MONTH(TIMELINE!AG7)-1)/12)        /12        *INDEX(Assumptions_Commercial!$B$22:$B$33,MONTH(TIMELINE!AG7))</f>
        <v/>
      </c>
      <c r="AL13" s="31">
        <f>$D13        *(1+$E13)^((YEAR(TIMELINE!AH7)-2025)+(MONTH(TIMELINE!AH7)-1)/12)        /12        *INDEX(Assumptions_Commercial!$B$22:$B$33,MONTH(TIMELINE!AH7))</f>
        <v/>
      </c>
      <c r="AM13" s="31">
        <f>$D13        *(1+$E13)^((YEAR(TIMELINE!AI7)-2025)+(MONTH(TIMELINE!AI7)-1)/12)        /12        *INDEX(Assumptions_Commercial!$B$22:$B$33,MONTH(TIMELINE!AI7))</f>
        <v/>
      </c>
      <c r="AN13" s="31">
        <f>$D13        *(1+$E13)^((YEAR(TIMELINE!AJ7)-2025)+(MONTH(TIMELINE!AJ7)-1)/12)        /12        *INDEX(Assumptions_Commercial!$B$22:$B$33,MONTH(TIMELINE!AJ7))</f>
        <v/>
      </c>
      <c r="AO13" s="31">
        <f>$D13        *(1+$E13)^((YEAR(TIMELINE!AK7)-2025)+(MONTH(TIMELINE!AK7)-1)/12)        /12        *INDEX(Assumptions_Commercial!$B$22:$B$33,MONTH(TIMELINE!AK7))</f>
        <v/>
      </c>
      <c r="AP13" s="31">
        <f>$D13        *(1+$E13)^((YEAR(TIMELINE!AL7)-2025)+(MONTH(TIMELINE!AL7)-1)/12)        /12        *INDEX(Assumptions_Commercial!$B$22:$B$33,MONTH(TIMELINE!AL7))</f>
        <v/>
      </c>
      <c r="AQ13" s="31">
        <f>$D13        *(1+$E13)^((YEAR(TIMELINE!AM7)-2025)+(MONTH(TIMELINE!AM7)-1)/12)        /12        *INDEX(Assumptions_Commercial!$B$22:$B$33,MONTH(TIMELINE!AM7))</f>
        <v/>
      </c>
      <c r="AR13" s="31">
        <f>$D13        *(1+$E13)^((YEAR(TIMELINE!AN7)-2025)+(MONTH(TIMELINE!AN7)-1)/12)        /12        *INDEX(Assumptions_Commercial!$B$22:$B$33,MONTH(TIMELINE!AN7))</f>
        <v/>
      </c>
      <c r="AS13" s="31">
        <f>$D13        *(1+$E13)^((YEAR(TIMELINE!AO7)-2025)+(MONTH(TIMELINE!AO7)-1)/12)        /12        *INDEX(Assumptions_Commercial!$B$22:$B$33,MONTH(TIMELINE!AO7))</f>
        <v/>
      </c>
      <c r="AT13" s="31">
        <f>$D13        *(1+$E13)^((YEAR(TIMELINE!AP7)-2025)+(MONTH(TIMELINE!AP7)-1)/12)        /12        *INDEX(Assumptions_Commercial!$B$22:$B$33,MONTH(TIMELINE!AP7))</f>
        <v/>
      </c>
      <c r="AU13" s="31">
        <f>$D13        *(1+$E13)^((YEAR(TIMELINE!AQ7)-2025)+(MONTH(TIMELINE!AQ7)-1)/12)        /12        *INDEX(Assumptions_Commercial!$B$22:$B$33,MONTH(TIMELINE!AQ7))</f>
        <v/>
      </c>
      <c r="AV13" s="31">
        <f>$D13        *(1+$E13)^((YEAR(TIMELINE!AR7)-2025)+(MONTH(TIMELINE!AR7)-1)/12)        /12        *INDEX(Assumptions_Commercial!$B$22:$B$33,MONTH(TIMELINE!AR7))</f>
        <v/>
      </c>
      <c r="AW13" s="31">
        <f>$D13        *(1+$E13)^((YEAR(TIMELINE!AS7)-2025)+(MONTH(TIMELINE!AS7)-1)/12)        /12        *INDEX(Assumptions_Commercial!$B$22:$B$33,MONTH(TIMELINE!AS7))</f>
        <v/>
      </c>
      <c r="AX13" s="31">
        <f>$D13        *(1+$E13)^((YEAR(TIMELINE!AT7)-2025)+(MONTH(TIMELINE!AT7)-1)/12)        /12        *INDEX(Assumptions_Commercial!$B$22:$B$33,MONTH(TIMELINE!AT7))</f>
        <v/>
      </c>
      <c r="AY13" s="31">
        <f>$D13        *(1+$E13)^((YEAR(TIMELINE!AU7)-2025)+(MONTH(TIMELINE!AU7)-1)/12)        /12        *INDEX(Assumptions_Commercial!$B$22:$B$33,MONTH(TIMELINE!AU7))</f>
        <v/>
      </c>
      <c r="AZ13" s="31">
        <f>$D13        *(1+$E13)^((YEAR(TIMELINE!AV7)-2025)+(MONTH(TIMELINE!AV7)-1)/12)        /12        *INDEX(Assumptions_Commercial!$B$22:$B$33,MONTH(TIMELINE!AV7))</f>
        <v/>
      </c>
      <c r="BA13" s="31">
        <f>$D13        *(1+$E13)^((YEAR(TIMELINE!AW7)-2025)+(MONTH(TIMELINE!AW7)-1)/12)        /12        *INDEX(Assumptions_Commercial!$B$22:$B$33,MONTH(TIMELINE!AW7))</f>
        <v/>
      </c>
      <c r="BB13" s="31">
        <f>$D13        *(1+$E13)^((YEAR(TIMELINE!AX7)-2025)+(MONTH(TIMELINE!AX7)-1)/12)        /12        *INDEX(Assumptions_Commercial!$B$22:$B$33,MONTH(TIMELINE!AX7))</f>
        <v/>
      </c>
      <c r="BC13" s="31">
        <f>$D13        *(1+$E13)^((YEAR(TIMELINE!AY7)-2025)+(MONTH(TIMELINE!AY7)-1)/12)        /12        *INDEX(Assumptions_Commercial!$B$22:$B$33,MONTH(TIMELINE!AY7))</f>
        <v/>
      </c>
      <c r="BD13" s="31">
        <f>$D13        *(1+$E13)^((YEAR(TIMELINE!AZ7)-2025)+(MONTH(TIMELINE!AZ7)-1)/12)        /12        *INDEX(Assumptions_Commercial!$B$22:$B$33,MONTH(TIMELINE!AZ7))</f>
        <v/>
      </c>
      <c r="BE13" s="31">
        <f>$D13        *(1+$E13)^((YEAR(TIMELINE!BA7)-2025)+(MONTH(TIMELINE!BA7)-1)/12)        /12        *INDEX(Assumptions_Commercial!$B$22:$B$33,MONTH(TIMELINE!BA7))</f>
        <v/>
      </c>
      <c r="BF13" s="31">
        <f>$D13        *(1+$E13)^((YEAR(TIMELINE!BB7)-2025)+(MONTH(TIMELINE!BB7)-1)/12)        /12        *INDEX(Assumptions_Commercial!$B$22:$B$33,MONTH(TIMELINE!BB7))</f>
        <v/>
      </c>
      <c r="BG13" s="31">
        <f>$D13        *(1+$E13)^((YEAR(TIMELINE!BC7)-2025)+(MONTH(TIMELINE!BC7)-1)/12)        /12        *INDEX(Assumptions_Commercial!$B$22:$B$33,MONTH(TIMELINE!BC7))</f>
        <v/>
      </c>
      <c r="BH13" s="31">
        <f>$D13        *(1+$E13)^((YEAR(TIMELINE!BD7)-2025)+(MONTH(TIMELINE!BD7)-1)/12)        /12        *INDEX(Assumptions_Commercial!$B$22:$B$33,MONTH(TIMELINE!BD7))</f>
        <v/>
      </c>
      <c r="BI13" s="31">
        <f>$D13        *(1+$E13)^((YEAR(TIMELINE!BE7)-2025)+(MONTH(TIMELINE!BE7)-1)/12)        /12        *INDEX(Assumptions_Commercial!$B$22:$B$33,MONTH(TIMELINE!BE7))</f>
        <v/>
      </c>
      <c r="BJ13" s="31">
        <f>$D13        *(1+$E13)^((YEAR(TIMELINE!BF7)-2025)+(MONTH(TIMELINE!BF7)-1)/12)        /12        *INDEX(Assumptions_Commercial!$B$22:$B$33,MONTH(TIMELINE!BF7))</f>
        <v/>
      </c>
      <c r="BK13" s="31">
        <f>$D13        *(1+$E13)^((YEAR(TIMELINE!BG7)-2025)+(MONTH(TIMELINE!BG7)-1)/12)        /12        *INDEX(Assumptions_Commercial!$B$22:$B$33,MONTH(TIMELINE!BG7))</f>
        <v/>
      </c>
      <c r="BL13" s="31">
        <f>$D13        *(1+$E13)^((YEAR(TIMELINE!BH7)-2025)+(MONTH(TIMELINE!BH7)-1)/12)        /12        *INDEX(Assumptions_Commercial!$B$22:$B$33,MONTH(TIMELINE!BH7))</f>
        <v/>
      </c>
      <c r="BM13" s="31">
        <f>$D13        *(1+$E13)^((YEAR(TIMELINE!BI7)-2025)+(MONTH(TIMELINE!BI7)-1)/12)        /12        *INDEX(Assumptions_Commercial!$B$22:$B$33,MONTH(TIMELINE!BI7))</f>
        <v/>
      </c>
      <c r="BN13" s="31">
        <f>$D13        *(1+$E13)^((YEAR(TIMELINE!BJ7)-2025)+(MONTH(TIMELINE!BJ7)-1)/12)        /12        *INDEX(Assumptions_Commercial!$B$22:$B$33,MONTH(TIMELINE!BJ7))</f>
        <v/>
      </c>
      <c r="BO13" s="31">
        <f>$D13        *(1+$E13)^((YEAR(TIMELINE!BK7)-2025)+(MONTH(TIMELINE!BK7)-1)/12)        /12        *INDEX(Assumptions_Commercial!$B$22:$B$33,MONTH(TIMELINE!BK7))</f>
        <v/>
      </c>
      <c r="BP13" s="31">
        <f>$D13        *(1+$E13)^((YEAR(TIMELINE!BL7)-2025)+(MONTH(TIMELINE!BL7)-1)/12)        /12        *INDEX(Assumptions_Commercial!$B$22:$B$33,MONTH(TIMELINE!BL7))</f>
        <v/>
      </c>
      <c r="BQ13" s="31">
        <f>$D13        *(1+$E13)^((YEAR(TIMELINE!BM7)-2025)+(MONTH(TIMELINE!BM7)-1)/12)        /12        *INDEX(Assumptions_Commercial!$B$22:$B$33,MONTH(TIMELINE!BM7))</f>
        <v/>
      </c>
      <c r="BR13" s="31">
        <f>$D13        *(1+$E13)^((YEAR(TIMELINE!BN7)-2025)+(MONTH(TIMELINE!BN7)-1)/12)        /12        *INDEX(Assumptions_Commercial!$B$22:$B$33,MONTH(TIMELINE!BN7))</f>
        <v/>
      </c>
      <c r="BS13" s="31">
        <f>$D13        *(1+$E13)^((YEAR(TIMELINE!BO7)-2025)+(MONTH(TIMELINE!BO7)-1)/12)        /12        *INDEX(Assumptions_Commercial!$B$22:$B$33,MONTH(TIMELINE!BO7))</f>
        <v/>
      </c>
      <c r="BT13" s="31">
        <f>$D13        *(1+$E13)^((YEAR(TIMELINE!BP7)-2025)+(MONTH(TIMELINE!BP7)-1)/12)        /12        *INDEX(Assumptions_Commercial!$B$22:$B$33,MONTH(TIMELINE!BP7))</f>
        <v/>
      </c>
      <c r="BU13" s="31">
        <f>$D13        *(1+$E13)^((YEAR(TIMELINE!BQ7)-2025)+(MONTH(TIMELINE!BQ7)-1)/12)        /12        *INDEX(Assumptions_Commercial!$B$22:$B$33,MONTH(TIMELINE!BQ7))</f>
        <v/>
      </c>
      <c r="BV13" s="31">
        <f>$D13        *(1+$E13)^((YEAR(TIMELINE!BR7)-2025)+(MONTH(TIMELINE!BR7)-1)/12)        /12        *INDEX(Assumptions_Commercial!$B$22:$B$33,MONTH(TIMELINE!BR7))</f>
        <v/>
      </c>
      <c r="BW13" s="31">
        <f>$D13        *(1+$E13)^((YEAR(TIMELINE!BS7)-2025)+(MONTH(TIMELINE!BS7)-1)/12)        /12        *INDEX(Assumptions_Commercial!$B$22:$B$33,MONTH(TIMELINE!BS7))</f>
        <v/>
      </c>
      <c r="BX13" s="31">
        <f>$D13        *(1+$E13)^((YEAR(TIMELINE!BT7)-2025)+(MONTH(TIMELINE!BT7)-1)/12)        /12        *INDEX(Assumptions_Commercial!$B$22:$B$33,MONTH(TIMELINE!BT7))</f>
        <v/>
      </c>
      <c r="BY13" s="31">
        <f>$D13        *(1+$E13)^((YEAR(TIMELINE!BU7)-2025)+(MONTH(TIMELINE!BU7)-1)/12)        /12        *INDEX(Assumptions_Commercial!$B$22:$B$33,MONTH(TIMELINE!BU7))</f>
        <v/>
      </c>
      <c r="BZ13" s="31">
        <f>$D13        *(1+$E13)^((YEAR(TIMELINE!BV7)-2025)+(MONTH(TIMELINE!BV7)-1)/12)        /12        *INDEX(Assumptions_Commercial!$B$22:$B$33,MONTH(TIMELINE!BV7))</f>
        <v/>
      </c>
      <c r="CA13" s="31">
        <f>$D13        *(1+$E13)^((YEAR(TIMELINE!BW7)-2025)+(MONTH(TIMELINE!BW7)-1)/12)        /12        *INDEX(Assumptions_Commercial!$B$22:$B$33,MONTH(TIMELINE!BW7))</f>
        <v/>
      </c>
      <c r="CB13" s="31">
        <f>$D13        *(1+$E13)^((YEAR(TIMELINE!BX7)-2025)+(MONTH(TIMELINE!BX7)-1)/12)        /12        *INDEX(Assumptions_Commercial!$B$22:$B$33,MONTH(TIMELINE!BX7))</f>
        <v/>
      </c>
      <c r="CC13" s="31">
        <f>$D13        *(1+$E13)^((YEAR(TIMELINE!BY7)-2025)+(MONTH(TIMELINE!BY7)-1)/12)        /12        *INDEX(Assumptions_Commercial!$B$22:$B$33,MONTH(TIMELINE!BY7))</f>
        <v/>
      </c>
      <c r="CD13" s="31">
        <f>$D13        *(1+$E13)^((YEAR(TIMELINE!BZ7)-2025)+(MONTH(TIMELINE!BZ7)-1)/12)        /12        *INDEX(Assumptions_Commercial!$B$22:$B$33,MONTH(TIMELINE!BZ7))</f>
        <v/>
      </c>
      <c r="CE13" s="31">
        <f>$D13        *(1+$E13)^((YEAR(TIMELINE!CA7)-2025)+(MONTH(TIMELINE!CA7)-1)/12)        /12        *INDEX(Assumptions_Commercial!$B$22:$B$33,MONTH(TIMELINE!CA7))</f>
        <v/>
      </c>
      <c r="CF13" s="31">
        <f>$D13        *(1+$E13)^((YEAR(TIMELINE!CB7)-2025)+(MONTH(TIMELINE!CB7)-1)/12)        /12        *INDEX(Assumptions_Commercial!$B$22:$B$33,MONTH(TIMELINE!CB7))</f>
        <v/>
      </c>
      <c r="CG13" s="31">
        <f>$D13        *(1+$E13)^((YEAR(TIMELINE!CC7)-2025)+(MONTH(TIMELINE!CC7)-1)/12)        /12        *INDEX(Assumptions_Commercial!$B$22:$B$33,MONTH(TIMELINE!CC7))</f>
        <v/>
      </c>
      <c r="CH13" s="31">
        <f>$D13        *(1+$E13)^((YEAR(TIMELINE!CD7)-2025)+(MONTH(TIMELINE!CD7)-1)/12)        /12        *INDEX(Assumptions_Commercial!$B$22:$B$33,MONTH(TIMELINE!CD7))</f>
        <v/>
      </c>
      <c r="CI13" s="31">
        <f>$D13        *(1+$E13)^((YEAR(TIMELINE!CE7)-2025)+(MONTH(TIMELINE!CE7)-1)/12)        /12        *INDEX(Assumptions_Commercial!$B$22:$B$33,MONTH(TIMELINE!CE7))</f>
        <v/>
      </c>
      <c r="CJ13" s="31">
        <f>$D13        *(1+$E13)^((YEAR(TIMELINE!CF7)-2025)+(MONTH(TIMELINE!CF7)-1)/12)        /12        *INDEX(Assumptions_Commercial!$B$22:$B$33,MONTH(TIMELINE!CF7))</f>
        <v/>
      </c>
      <c r="CK13" s="31">
        <f>$D13        *(1+$E13)^((YEAR(TIMELINE!CG7)-2025)+(MONTH(TIMELINE!CG7)-1)/12)        /12        *INDEX(Assumptions_Commercial!$B$22:$B$33,MONTH(TIMELINE!CG7))</f>
        <v/>
      </c>
      <c r="CL13" s="31">
        <f>$D13        *(1+$E13)^((YEAR(TIMELINE!CH7)-2025)+(MONTH(TIMELINE!CH7)-1)/12)        /12        *INDEX(Assumptions_Commercial!$B$22:$B$33,MONTH(TIMELINE!CH7))</f>
        <v/>
      </c>
      <c r="CM13" s="31">
        <f>$D13        *(1+$E13)^((YEAR(TIMELINE!CI7)-2025)+(MONTH(TIMELINE!CI7)-1)/12)        /12        *INDEX(Assumptions_Commercial!$B$22:$B$33,MONTH(TIMELINE!CI7))</f>
        <v/>
      </c>
      <c r="CN13" s="31">
        <f>$D13        *(1+$E13)^((YEAR(TIMELINE!CJ7)-2025)+(MONTH(TIMELINE!CJ7)-1)/12)        /12        *INDEX(Assumptions_Commercial!$B$22:$B$33,MONTH(TIMELINE!CJ7))</f>
        <v/>
      </c>
      <c r="CO13" s="31">
        <f>$D13        *(1+$E13)^((YEAR(TIMELINE!CK7)-2025)+(MONTH(TIMELINE!CK7)-1)/12)        /12        *INDEX(Assumptions_Commercial!$B$22:$B$33,MONTH(TIMELINE!CK7))</f>
        <v/>
      </c>
      <c r="CP13" s="31">
        <f>$D13        *(1+$E13)^((YEAR(TIMELINE!CL7)-2025)+(MONTH(TIMELINE!CL7)-1)/12)        /12        *INDEX(Assumptions_Commercial!$B$22:$B$33,MONTH(TIMELINE!CL7))</f>
        <v/>
      </c>
      <c r="CQ13" s="31">
        <f>$D13        *(1+$E13)^((YEAR(TIMELINE!CM7)-2025)+(MONTH(TIMELINE!CM7)-1)/12)        /12        *INDEX(Assumptions_Commercial!$B$22:$B$33,MONTH(TIMELINE!CM7))</f>
        <v/>
      </c>
      <c r="CR13" s="31">
        <f>$D13        *(1+$E13)^((YEAR(TIMELINE!CN7)-2025)+(MONTH(TIMELINE!CN7)-1)/12)        /12        *INDEX(Assumptions_Commercial!$B$22:$B$33,MONTH(TIMELINE!CN7))</f>
        <v/>
      </c>
      <c r="CS13" s="31">
        <f>$D13        *(1+$E13)^((YEAR(TIMELINE!CO7)-2025)+(MONTH(TIMELINE!CO7)-1)/12)        /12        *INDEX(Assumptions_Commercial!$B$22:$B$33,MONTH(TIMELINE!CO7))</f>
        <v/>
      </c>
      <c r="CT13" s="31">
        <f>$D13        *(1+$E13)^((YEAR(TIMELINE!CP7)-2025)+(MONTH(TIMELINE!CP7)-1)/12)        /12        *INDEX(Assumptions_Commercial!$B$22:$B$33,MONTH(TIMELINE!CP7))</f>
        <v/>
      </c>
      <c r="CU13" s="31">
        <f>$D13        *(1+$E13)^((YEAR(TIMELINE!CQ7)-2025)+(MONTH(TIMELINE!CQ7)-1)/12)        /12        *INDEX(Assumptions_Commercial!$B$22:$B$33,MONTH(TIMELINE!CQ7))</f>
        <v/>
      </c>
      <c r="CV13" s="31">
        <f>$D13        *(1+$E13)^((YEAR(TIMELINE!CR7)-2025)+(MONTH(TIMELINE!CR7)-1)/12)        /12        *INDEX(Assumptions_Commercial!$B$22:$B$33,MONTH(TIMELINE!CR7))</f>
        <v/>
      </c>
      <c r="CW13" s="31">
        <f>$D13        *(1+$E13)^((YEAR(TIMELINE!CS7)-2025)+(MONTH(TIMELINE!CS7)-1)/12)        /12        *INDEX(Assumptions_Commercial!$B$22:$B$33,MONTH(TIMELINE!CS7))</f>
        <v/>
      </c>
      <c r="CX13" s="31">
        <f>$D13        *(1+$E13)^((YEAR(TIMELINE!CT7)-2025)+(MONTH(TIMELINE!CT7)-1)/12)        /12        *INDEX(Assumptions_Commercial!$B$22:$B$33,MONTH(TIMELINE!CT7))</f>
        <v/>
      </c>
      <c r="CY13" s="31">
        <f>$D13        *(1+$E13)^((YEAR(TIMELINE!CU7)-2025)+(MONTH(TIMELINE!CU7)-1)/12)        /12        *INDEX(Assumptions_Commercial!$B$22:$B$33,MONTH(TIMELINE!CU7))</f>
        <v/>
      </c>
      <c r="CZ13" s="31">
        <f>$D13        *(1+$E13)^((YEAR(TIMELINE!CV7)-2025)+(MONTH(TIMELINE!CV7)-1)/12)        /12        *INDEX(Assumptions_Commercial!$B$22:$B$33,MONTH(TIMELINE!CV7))</f>
        <v/>
      </c>
      <c r="DA13" s="31">
        <f>$D13        *(1+$E13)^((YEAR(TIMELINE!CW7)-2025)+(MONTH(TIMELINE!CW7)-1)/12)        /12        *INDEX(Assumptions_Commercial!$B$22:$B$33,MONTH(TIMELINE!CW7))</f>
        <v/>
      </c>
      <c r="DB13" s="31">
        <f>$D13        *(1+$E13)^((YEAR(TIMELINE!CX7)-2025)+(MONTH(TIMELINE!CX7)-1)/12)        /12        *INDEX(Assumptions_Commercial!$B$22:$B$33,MONTH(TIMELINE!CX7))</f>
        <v/>
      </c>
      <c r="DC13" s="31">
        <f>$D13        *(1+$E13)^((YEAR(TIMELINE!CY7)-2025)+(MONTH(TIMELINE!CY7)-1)/12)        /12        *INDEX(Assumptions_Commercial!$B$22:$B$33,MONTH(TIMELINE!CY7))</f>
        <v/>
      </c>
      <c r="DD13" s="31">
        <f>$D13        *(1+$E13)^((YEAR(TIMELINE!CZ7)-2025)+(MONTH(TIMELINE!CZ7)-1)/12)        /12        *INDEX(Assumptions_Commercial!$B$22:$B$33,MONTH(TIMELINE!CZ7))</f>
        <v/>
      </c>
      <c r="DE13" s="31">
        <f>$D13        *(1+$E13)^((YEAR(TIMELINE!DA7)-2025)+(MONTH(TIMELINE!DA7)-1)/12)        /12        *INDEX(Assumptions_Commercial!$B$22:$B$33,MONTH(TIMELINE!DA7))</f>
        <v/>
      </c>
      <c r="DF13" s="31">
        <f>$D13        *(1+$E13)^((YEAR(TIMELINE!DB7)-2025)+(MONTH(TIMELINE!DB7)-1)/12)        /12        *INDEX(Assumptions_Commercial!$B$22:$B$33,MONTH(TIMELINE!DB7))</f>
        <v/>
      </c>
      <c r="DG13" s="31">
        <f>$D13        *(1+$E13)^((YEAR(TIMELINE!DC7)-2025)+(MONTH(TIMELINE!DC7)-1)/12)        /12        *INDEX(Assumptions_Commercial!$B$22:$B$33,MONTH(TIMELINE!DC7))</f>
        <v/>
      </c>
      <c r="DH13" s="31">
        <f>$D13        *(1+$E13)^((YEAR(TIMELINE!DD7)-2025)+(MONTH(TIMELINE!DD7)-1)/12)        /12        *INDEX(Assumptions_Commercial!$B$22:$B$33,MONTH(TIMELINE!DD7))</f>
        <v/>
      </c>
      <c r="DI13" s="31">
        <f>$D13        *(1+$E13)^((YEAR(TIMELINE!DE7)-2025)+(MONTH(TIMELINE!DE7)-1)/12)        /12        *INDEX(Assumptions_Commercial!$B$22:$B$33,MONTH(TIMELINE!DE7))</f>
        <v/>
      </c>
      <c r="DJ13" s="31">
        <f>$D13        *(1+$E13)^((YEAR(TIMELINE!DF7)-2025)+(MONTH(TIMELINE!DF7)-1)/12)        /12        *INDEX(Assumptions_Commercial!$B$22:$B$33,MONTH(TIMELINE!DF7))</f>
        <v/>
      </c>
      <c r="DK13" s="31">
        <f>$D13        *(1+$E13)^((YEAR(TIMELINE!DG7)-2025)+(MONTH(TIMELINE!DG7)-1)/12)        /12        *INDEX(Assumptions_Commercial!$B$22:$B$33,MONTH(TIMELINE!DG7))</f>
        <v/>
      </c>
      <c r="DL13" s="31">
        <f>$D13        *(1+$E13)^((YEAR(TIMELINE!DH7)-2025)+(MONTH(TIMELINE!DH7)-1)/12)        /12        *INDEX(Assumptions_Commercial!$B$22:$B$33,MONTH(TIMELINE!DH7))</f>
        <v/>
      </c>
      <c r="DM13" s="31">
        <f>$D13        *(1+$E13)^((YEAR(TIMELINE!DI7)-2025)+(MONTH(TIMELINE!DI7)-1)/12)        /12        *INDEX(Assumptions_Commercial!$B$22:$B$33,MONTH(TIMELINE!DI7))</f>
        <v/>
      </c>
      <c r="DN13" s="31">
        <f>$D13        *(1+$E13)^((YEAR(TIMELINE!DJ7)-2025)+(MONTH(TIMELINE!DJ7)-1)/12)        /12        *INDEX(Assumptions_Commercial!$B$22:$B$33,MONTH(TIMELINE!DJ7))</f>
        <v/>
      </c>
      <c r="DO13" s="31">
        <f>$D13        *(1+$E13)^((YEAR(TIMELINE!DK7)-2025)+(MONTH(TIMELINE!DK7)-1)/12)        /12        *INDEX(Assumptions_Commercial!$B$22:$B$33,MONTH(TIMELINE!DK7))</f>
        <v/>
      </c>
      <c r="DP13" s="31">
        <f>$D13        *(1+$E13)^((YEAR(TIMELINE!DL7)-2025)+(MONTH(TIMELINE!DL7)-1)/12)        /12        *INDEX(Assumptions_Commercial!$B$22:$B$33,MONTH(TIMELINE!DL7))</f>
        <v/>
      </c>
      <c r="DQ13" s="31">
        <f>$D13        *(1+$E13)^((YEAR(TIMELINE!DM7)-2025)+(MONTH(TIMELINE!DM7)-1)/12)        /12        *INDEX(Assumptions_Commercial!$B$22:$B$33,MONTH(TIMELINE!DM7))</f>
        <v/>
      </c>
      <c r="DR13" s="31">
        <f>$D13        *(1+$E13)^((YEAR(TIMELINE!DN7)-2025)+(MONTH(TIMELINE!DN7)-1)/12)        /12        *INDEX(Assumptions_Commercial!$B$22:$B$33,MONTH(TIMELINE!DN7))</f>
        <v/>
      </c>
      <c r="DS13" s="31">
        <f>$D13        *(1+$E13)^((YEAR(TIMELINE!DO7)-2025)+(MONTH(TIMELINE!DO7)-1)/12)        /12        *INDEX(Assumptions_Commercial!$B$22:$B$33,MONTH(TIMELINE!DO7))</f>
        <v/>
      </c>
      <c r="DT13" s="31">
        <f>$D13        *(1+$E13)^((YEAR(TIMELINE!DP7)-2025)+(MONTH(TIMELINE!DP7)-1)/12)        /12        *INDEX(Assumptions_Commercial!$B$22:$B$33,MONTH(TIMELINE!DP7))</f>
        <v/>
      </c>
      <c r="DU13" s="31">
        <f>$D13        *(1+$E13)^((YEAR(TIMELINE!DQ7)-2025)+(MONTH(TIMELINE!DQ7)-1)/12)        /12        *INDEX(Assumptions_Commercial!$B$22:$B$33,MONTH(TIMELINE!DQ7))</f>
        <v/>
      </c>
    </row>
    <row r="14">
      <c r="A14" t="inlineStr">
        <is>
          <t>SKU-08</t>
        </is>
      </c>
      <c r="B14" t="inlineStr">
        <is>
          <t>Off-Trade</t>
        </is>
      </c>
      <c r="C14" t="inlineStr">
        <is>
          <t>AU</t>
        </is>
      </c>
      <c r="D14" s="14" t="n">
        <v>25000</v>
      </c>
      <c r="E14" s="30">
        <f>INDEX(Assumptions_Commercial!$B$5:$D$5,CONTROL!$B$5)</f>
        <v/>
      </c>
      <c r="F14" s="31">
        <f>$D14        *(1+$E14)^((YEAR(TIMELINE!B7)-2025)+(MONTH(TIMELINE!B7)-1)/12)        /12        *INDEX(Assumptions_Commercial!$B$22:$B$33,MONTH(TIMELINE!B7))</f>
        <v/>
      </c>
      <c r="G14" s="31">
        <f>$D14        *(1+$E14)^((YEAR(TIMELINE!C7)-2025)+(MONTH(TIMELINE!C7)-1)/12)        /12        *INDEX(Assumptions_Commercial!$B$22:$B$33,MONTH(TIMELINE!C7))</f>
        <v/>
      </c>
      <c r="H14" s="31">
        <f>$D14        *(1+$E14)^((YEAR(TIMELINE!D7)-2025)+(MONTH(TIMELINE!D7)-1)/12)        /12        *INDEX(Assumptions_Commercial!$B$22:$B$33,MONTH(TIMELINE!D7))</f>
        <v/>
      </c>
      <c r="I14" s="31">
        <f>$D14        *(1+$E14)^((YEAR(TIMELINE!E7)-2025)+(MONTH(TIMELINE!E7)-1)/12)        /12        *INDEX(Assumptions_Commercial!$B$22:$B$33,MONTH(TIMELINE!E7))</f>
        <v/>
      </c>
      <c r="J14" s="31">
        <f>$D14        *(1+$E14)^((YEAR(TIMELINE!F7)-2025)+(MONTH(TIMELINE!F7)-1)/12)        /12        *INDEX(Assumptions_Commercial!$B$22:$B$33,MONTH(TIMELINE!F7))</f>
        <v/>
      </c>
      <c r="K14" s="31">
        <f>$D14        *(1+$E14)^((YEAR(TIMELINE!G7)-2025)+(MONTH(TIMELINE!G7)-1)/12)        /12        *INDEX(Assumptions_Commercial!$B$22:$B$33,MONTH(TIMELINE!G7))</f>
        <v/>
      </c>
      <c r="L14" s="31">
        <f>$D14        *(1+$E14)^((YEAR(TIMELINE!H7)-2025)+(MONTH(TIMELINE!H7)-1)/12)        /12        *INDEX(Assumptions_Commercial!$B$22:$B$33,MONTH(TIMELINE!H7))</f>
        <v/>
      </c>
      <c r="M14" s="31">
        <f>$D14        *(1+$E14)^((YEAR(TIMELINE!I7)-2025)+(MONTH(TIMELINE!I7)-1)/12)        /12        *INDEX(Assumptions_Commercial!$B$22:$B$33,MONTH(TIMELINE!I7))</f>
        <v/>
      </c>
      <c r="N14" s="31">
        <f>$D14        *(1+$E14)^((YEAR(TIMELINE!J7)-2025)+(MONTH(TIMELINE!J7)-1)/12)        /12        *INDEX(Assumptions_Commercial!$B$22:$B$33,MONTH(TIMELINE!J7))</f>
        <v/>
      </c>
      <c r="O14" s="31">
        <f>$D14        *(1+$E14)^((YEAR(TIMELINE!K7)-2025)+(MONTH(TIMELINE!K7)-1)/12)        /12        *INDEX(Assumptions_Commercial!$B$22:$B$33,MONTH(TIMELINE!K7))</f>
        <v/>
      </c>
      <c r="P14" s="31">
        <f>$D14        *(1+$E14)^((YEAR(TIMELINE!L7)-2025)+(MONTH(TIMELINE!L7)-1)/12)        /12        *INDEX(Assumptions_Commercial!$B$22:$B$33,MONTH(TIMELINE!L7))</f>
        <v/>
      </c>
      <c r="Q14" s="31">
        <f>$D14        *(1+$E14)^((YEAR(TIMELINE!M7)-2025)+(MONTH(TIMELINE!M7)-1)/12)        /12        *INDEX(Assumptions_Commercial!$B$22:$B$33,MONTH(TIMELINE!M7))</f>
        <v/>
      </c>
      <c r="R14" s="31">
        <f>$D14        *(1+$E14)^((YEAR(TIMELINE!N7)-2025)+(MONTH(TIMELINE!N7)-1)/12)        /12        *INDEX(Assumptions_Commercial!$B$22:$B$33,MONTH(TIMELINE!N7))</f>
        <v/>
      </c>
      <c r="S14" s="31">
        <f>$D14        *(1+$E14)^((YEAR(TIMELINE!O7)-2025)+(MONTH(TIMELINE!O7)-1)/12)        /12        *INDEX(Assumptions_Commercial!$B$22:$B$33,MONTH(TIMELINE!O7))</f>
        <v/>
      </c>
      <c r="T14" s="31">
        <f>$D14        *(1+$E14)^((YEAR(TIMELINE!P7)-2025)+(MONTH(TIMELINE!P7)-1)/12)        /12        *INDEX(Assumptions_Commercial!$B$22:$B$33,MONTH(TIMELINE!P7))</f>
        <v/>
      </c>
      <c r="U14" s="31">
        <f>$D14        *(1+$E14)^((YEAR(TIMELINE!Q7)-2025)+(MONTH(TIMELINE!Q7)-1)/12)        /12        *INDEX(Assumptions_Commercial!$B$22:$B$33,MONTH(TIMELINE!Q7))</f>
        <v/>
      </c>
      <c r="V14" s="31">
        <f>$D14        *(1+$E14)^((YEAR(TIMELINE!R7)-2025)+(MONTH(TIMELINE!R7)-1)/12)        /12        *INDEX(Assumptions_Commercial!$B$22:$B$33,MONTH(TIMELINE!R7))</f>
        <v/>
      </c>
      <c r="W14" s="31">
        <f>$D14        *(1+$E14)^((YEAR(TIMELINE!S7)-2025)+(MONTH(TIMELINE!S7)-1)/12)        /12        *INDEX(Assumptions_Commercial!$B$22:$B$33,MONTH(TIMELINE!S7))</f>
        <v/>
      </c>
      <c r="X14" s="31">
        <f>$D14        *(1+$E14)^((YEAR(TIMELINE!T7)-2025)+(MONTH(TIMELINE!T7)-1)/12)        /12        *INDEX(Assumptions_Commercial!$B$22:$B$33,MONTH(TIMELINE!T7))</f>
        <v/>
      </c>
      <c r="Y14" s="31">
        <f>$D14        *(1+$E14)^((YEAR(TIMELINE!U7)-2025)+(MONTH(TIMELINE!U7)-1)/12)        /12        *INDEX(Assumptions_Commercial!$B$22:$B$33,MONTH(TIMELINE!U7))</f>
        <v/>
      </c>
      <c r="Z14" s="31">
        <f>$D14        *(1+$E14)^((YEAR(TIMELINE!V7)-2025)+(MONTH(TIMELINE!V7)-1)/12)        /12        *INDEX(Assumptions_Commercial!$B$22:$B$33,MONTH(TIMELINE!V7))</f>
        <v/>
      </c>
      <c r="AA14" s="31">
        <f>$D14        *(1+$E14)^((YEAR(TIMELINE!W7)-2025)+(MONTH(TIMELINE!W7)-1)/12)        /12        *INDEX(Assumptions_Commercial!$B$22:$B$33,MONTH(TIMELINE!W7))</f>
        <v/>
      </c>
      <c r="AB14" s="31">
        <f>$D14        *(1+$E14)^((YEAR(TIMELINE!X7)-2025)+(MONTH(TIMELINE!X7)-1)/12)        /12        *INDEX(Assumptions_Commercial!$B$22:$B$33,MONTH(TIMELINE!X7))</f>
        <v/>
      </c>
      <c r="AC14" s="31">
        <f>$D14        *(1+$E14)^((YEAR(TIMELINE!Y7)-2025)+(MONTH(TIMELINE!Y7)-1)/12)        /12        *INDEX(Assumptions_Commercial!$B$22:$B$33,MONTH(TIMELINE!Y7))</f>
        <v/>
      </c>
      <c r="AD14" s="31">
        <f>$D14        *(1+$E14)^((YEAR(TIMELINE!Z7)-2025)+(MONTH(TIMELINE!Z7)-1)/12)        /12        *INDEX(Assumptions_Commercial!$B$22:$B$33,MONTH(TIMELINE!Z7))</f>
        <v/>
      </c>
      <c r="AE14" s="31">
        <f>$D14        *(1+$E14)^((YEAR(TIMELINE!AA7)-2025)+(MONTH(TIMELINE!AA7)-1)/12)        /12        *INDEX(Assumptions_Commercial!$B$22:$B$33,MONTH(TIMELINE!AA7))</f>
        <v/>
      </c>
      <c r="AF14" s="31">
        <f>$D14        *(1+$E14)^((YEAR(TIMELINE!AB7)-2025)+(MONTH(TIMELINE!AB7)-1)/12)        /12        *INDEX(Assumptions_Commercial!$B$22:$B$33,MONTH(TIMELINE!AB7))</f>
        <v/>
      </c>
      <c r="AG14" s="31">
        <f>$D14        *(1+$E14)^((YEAR(TIMELINE!AC7)-2025)+(MONTH(TIMELINE!AC7)-1)/12)        /12        *INDEX(Assumptions_Commercial!$B$22:$B$33,MONTH(TIMELINE!AC7))</f>
        <v/>
      </c>
      <c r="AH14" s="31">
        <f>$D14        *(1+$E14)^((YEAR(TIMELINE!AD7)-2025)+(MONTH(TIMELINE!AD7)-1)/12)        /12        *INDEX(Assumptions_Commercial!$B$22:$B$33,MONTH(TIMELINE!AD7))</f>
        <v/>
      </c>
      <c r="AI14" s="31">
        <f>$D14        *(1+$E14)^((YEAR(TIMELINE!AE7)-2025)+(MONTH(TIMELINE!AE7)-1)/12)        /12        *INDEX(Assumptions_Commercial!$B$22:$B$33,MONTH(TIMELINE!AE7))</f>
        <v/>
      </c>
      <c r="AJ14" s="31">
        <f>$D14        *(1+$E14)^((YEAR(TIMELINE!AF7)-2025)+(MONTH(TIMELINE!AF7)-1)/12)        /12        *INDEX(Assumptions_Commercial!$B$22:$B$33,MONTH(TIMELINE!AF7))</f>
        <v/>
      </c>
      <c r="AK14" s="31">
        <f>$D14        *(1+$E14)^((YEAR(TIMELINE!AG7)-2025)+(MONTH(TIMELINE!AG7)-1)/12)        /12        *INDEX(Assumptions_Commercial!$B$22:$B$33,MONTH(TIMELINE!AG7))</f>
        <v/>
      </c>
      <c r="AL14" s="31">
        <f>$D14        *(1+$E14)^((YEAR(TIMELINE!AH7)-2025)+(MONTH(TIMELINE!AH7)-1)/12)        /12        *INDEX(Assumptions_Commercial!$B$22:$B$33,MONTH(TIMELINE!AH7))</f>
        <v/>
      </c>
      <c r="AM14" s="31">
        <f>$D14        *(1+$E14)^((YEAR(TIMELINE!AI7)-2025)+(MONTH(TIMELINE!AI7)-1)/12)        /12        *INDEX(Assumptions_Commercial!$B$22:$B$33,MONTH(TIMELINE!AI7))</f>
        <v/>
      </c>
      <c r="AN14" s="31">
        <f>$D14        *(1+$E14)^((YEAR(TIMELINE!AJ7)-2025)+(MONTH(TIMELINE!AJ7)-1)/12)        /12        *INDEX(Assumptions_Commercial!$B$22:$B$33,MONTH(TIMELINE!AJ7))</f>
        <v/>
      </c>
      <c r="AO14" s="31">
        <f>$D14        *(1+$E14)^((YEAR(TIMELINE!AK7)-2025)+(MONTH(TIMELINE!AK7)-1)/12)        /12        *INDEX(Assumptions_Commercial!$B$22:$B$33,MONTH(TIMELINE!AK7))</f>
        <v/>
      </c>
      <c r="AP14" s="31">
        <f>$D14        *(1+$E14)^((YEAR(TIMELINE!AL7)-2025)+(MONTH(TIMELINE!AL7)-1)/12)        /12        *INDEX(Assumptions_Commercial!$B$22:$B$33,MONTH(TIMELINE!AL7))</f>
        <v/>
      </c>
      <c r="AQ14" s="31">
        <f>$D14        *(1+$E14)^((YEAR(TIMELINE!AM7)-2025)+(MONTH(TIMELINE!AM7)-1)/12)        /12        *INDEX(Assumptions_Commercial!$B$22:$B$33,MONTH(TIMELINE!AM7))</f>
        <v/>
      </c>
      <c r="AR14" s="31">
        <f>$D14        *(1+$E14)^((YEAR(TIMELINE!AN7)-2025)+(MONTH(TIMELINE!AN7)-1)/12)        /12        *INDEX(Assumptions_Commercial!$B$22:$B$33,MONTH(TIMELINE!AN7))</f>
        <v/>
      </c>
      <c r="AS14" s="31">
        <f>$D14        *(1+$E14)^((YEAR(TIMELINE!AO7)-2025)+(MONTH(TIMELINE!AO7)-1)/12)        /12        *INDEX(Assumptions_Commercial!$B$22:$B$33,MONTH(TIMELINE!AO7))</f>
        <v/>
      </c>
      <c r="AT14" s="31">
        <f>$D14        *(1+$E14)^((YEAR(TIMELINE!AP7)-2025)+(MONTH(TIMELINE!AP7)-1)/12)        /12        *INDEX(Assumptions_Commercial!$B$22:$B$33,MONTH(TIMELINE!AP7))</f>
        <v/>
      </c>
      <c r="AU14" s="31">
        <f>$D14        *(1+$E14)^((YEAR(TIMELINE!AQ7)-2025)+(MONTH(TIMELINE!AQ7)-1)/12)        /12        *INDEX(Assumptions_Commercial!$B$22:$B$33,MONTH(TIMELINE!AQ7))</f>
        <v/>
      </c>
      <c r="AV14" s="31">
        <f>$D14        *(1+$E14)^((YEAR(TIMELINE!AR7)-2025)+(MONTH(TIMELINE!AR7)-1)/12)        /12        *INDEX(Assumptions_Commercial!$B$22:$B$33,MONTH(TIMELINE!AR7))</f>
        <v/>
      </c>
      <c r="AW14" s="31">
        <f>$D14        *(1+$E14)^((YEAR(TIMELINE!AS7)-2025)+(MONTH(TIMELINE!AS7)-1)/12)        /12        *INDEX(Assumptions_Commercial!$B$22:$B$33,MONTH(TIMELINE!AS7))</f>
        <v/>
      </c>
      <c r="AX14" s="31">
        <f>$D14        *(1+$E14)^((YEAR(TIMELINE!AT7)-2025)+(MONTH(TIMELINE!AT7)-1)/12)        /12        *INDEX(Assumptions_Commercial!$B$22:$B$33,MONTH(TIMELINE!AT7))</f>
        <v/>
      </c>
      <c r="AY14" s="31">
        <f>$D14        *(1+$E14)^((YEAR(TIMELINE!AU7)-2025)+(MONTH(TIMELINE!AU7)-1)/12)        /12        *INDEX(Assumptions_Commercial!$B$22:$B$33,MONTH(TIMELINE!AU7))</f>
        <v/>
      </c>
      <c r="AZ14" s="31">
        <f>$D14        *(1+$E14)^((YEAR(TIMELINE!AV7)-2025)+(MONTH(TIMELINE!AV7)-1)/12)        /12        *INDEX(Assumptions_Commercial!$B$22:$B$33,MONTH(TIMELINE!AV7))</f>
        <v/>
      </c>
      <c r="BA14" s="31">
        <f>$D14        *(1+$E14)^((YEAR(TIMELINE!AW7)-2025)+(MONTH(TIMELINE!AW7)-1)/12)        /12        *INDEX(Assumptions_Commercial!$B$22:$B$33,MONTH(TIMELINE!AW7))</f>
        <v/>
      </c>
      <c r="BB14" s="31">
        <f>$D14        *(1+$E14)^((YEAR(TIMELINE!AX7)-2025)+(MONTH(TIMELINE!AX7)-1)/12)        /12        *INDEX(Assumptions_Commercial!$B$22:$B$33,MONTH(TIMELINE!AX7))</f>
        <v/>
      </c>
      <c r="BC14" s="31">
        <f>$D14        *(1+$E14)^((YEAR(TIMELINE!AY7)-2025)+(MONTH(TIMELINE!AY7)-1)/12)        /12        *INDEX(Assumptions_Commercial!$B$22:$B$33,MONTH(TIMELINE!AY7))</f>
        <v/>
      </c>
      <c r="BD14" s="31">
        <f>$D14        *(1+$E14)^((YEAR(TIMELINE!AZ7)-2025)+(MONTH(TIMELINE!AZ7)-1)/12)        /12        *INDEX(Assumptions_Commercial!$B$22:$B$33,MONTH(TIMELINE!AZ7))</f>
        <v/>
      </c>
      <c r="BE14" s="31">
        <f>$D14        *(1+$E14)^((YEAR(TIMELINE!BA7)-2025)+(MONTH(TIMELINE!BA7)-1)/12)        /12        *INDEX(Assumptions_Commercial!$B$22:$B$33,MONTH(TIMELINE!BA7))</f>
        <v/>
      </c>
      <c r="BF14" s="31">
        <f>$D14        *(1+$E14)^((YEAR(TIMELINE!BB7)-2025)+(MONTH(TIMELINE!BB7)-1)/12)        /12        *INDEX(Assumptions_Commercial!$B$22:$B$33,MONTH(TIMELINE!BB7))</f>
        <v/>
      </c>
      <c r="BG14" s="31">
        <f>$D14        *(1+$E14)^((YEAR(TIMELINE!BC7)-2025)+(MONTH(TIMELINE!BC7)-1)/12)        /12        *INDEX(Assumptions_Commercial!$B$22:$B$33,MONTH(TIMELINE!BC7))</f>
        <v/>
      </c>
      <c r="BH14" s="31">
        <f>$D14        *(1+$E14)^((YEAR(TIMELINE!BD7)-2025)+(MONTH(TIMELINE!BD7)-1)/12)        /12        *INDEX(Assumptions_Commercial!$B$22:$B$33,MONTH(TIMELINE!BD7))</f>
        <v/>
      </c>
      <c r="BI14" s="31">
        <f>$D14        *(1+$E14)^((YEAR(TIMELINE!BE7)-2025)+(MONTH(TIMELINE!BE7)-1)/12)        /12        *INDEX(Assumptions_Commercial!$B$22:$B$33,MONTH(TIMELINE!BE7))</f>
        <v/>
      </c>
      <c r="BJ14" s="31">
        <f>$D14        *(1+$E14)^((YEAR(TIMELINE!BF7)-2025)+(MONTH(TIMELINE!BF7)-1)/12)        /12        *INDEX(Assumptions_Commercial!$B$22:$B$33,MONTH(TIMELINE!BF7))</f>
        <v/>
      </c>
      <c r="BK14" s="31">
        <f>$D14        *(1+$E14)^((YEAR(TIMELINE!BG7)-2025)+(MONTH(TIMELINE!BG7)-1)/12)        /12        *INDEX(Assumptions_Commercial!$B$22:$B$33,MONTH(TIMELINE!BG7))</f>
        <v/>
      </c>
      <c r="BL14" s="31">
        <f>$D14        *(1+$E14)^((YEAR(TIMELINE!BH7)-2025)+(MONTH(TIMELINE!BH7)-1)/12)        /12        *INDEX(Assumptions_Commercial!$B$22:$B$33,MONTH(TIMELINE!BH7))</f>
        <v/>
      </c>
      <c r="BM14" s="31">
        <f>$D14        *(1+$E14)^((YEAR(TIMELINE!BI7)-2025)+(MONTH(TIMELINE!BI7)-1)/12)        /12        *INDEX(Assumptions_Commercial!$B$22:$B$33,MONTH(TIMELINE!BI7))</f>
        <v/>
      </c>
      <c r="BN14" s="31">
        <f>$D14        *(1+$E14)^((YEAR(TIMELINE!BJ7)-2025)+(MONTH(TIMELINE!BJ7)-1)/12)        /12        *INDEX(Assumptions_Commercial!$B$22:$B$33,MONTH(TIMELINE!BJ7))</f>
        <v/>
      </c>
      <c r="BO14" s="31">
        <f>$D14        *(1+$E14)^((YEAR(TIMELINE!BK7)-2025)+(MONTH(TIMELINE!BK7)-1)/12)        /12        *INDEX(Assumptions_Commercial!$B$22:$B$33,MONTH(TIMELINE!BK7))</f>
        <v/>
      </c>
      <c r="BP14" s="31">
        <f>$D14        *(1+$E14)^((YEAR(TIMELINE!BL7)-2025)+(MONTH(TIMELINE!BL7)-1)/12)        /12        *INDEX(Assumptions_Commercial!$B$22:$B$33,MONTH(TIMELINE!BL7))</f>
        <v/>
      </c>
      <c r="BQ14" s="31">
        <f>$D14        *(1+$E14)^((YEAR(TIMELINE!BM7)-2025)+(MONTH(TIMELINE!BM7)-1)/12)        /12        *INDEX(Assumptions_Commercial!$B$22:$B$33,MONTH(TIMELINE!BM7))</f>
        <v/>
      </c>
      <c r="BR14" s="31">
        <f>$D14        *(1+$E14)^((YEAR(TIMELINE!BN7)-2025)+(MONTH(TIMELINE!BN7)-1)/12)        /12        *INDEX(Assumptions_Commercial!$B$22:$B$33,MONTH(TIMELINE!BN7))</f>
        <v/>
      </c>
      <c r="BS14" s="31">
        <f>$D14        *(1+$E14)^((YEAR(TIMELINE!BO7)-2025)+(MONTH(TIMELINE!BO7)-1)/12)        /12        *INDEX(Assumptions_Commercial!$B$22:$B$33,MONTH(TIMELINE!BO7))</f>
        <v/>
      </c>
      <c r="BT14" s="31">
        <f>$D14        *(1+$E14)^((YEAR(TIMELINE!BP7)-2025)+(MONTH(TIMELINE!BP7)-1)/12)        /12        *INDEX(Assumptions_Commercial!$B$22:$B$33,MONTH(TIMELINE!BP7))</f>
        <v/>
      </c>
      <c r="BU14" s="31">
        <f>$D14        *(1+$E14)^((YEAR(TIMELINE!BQ7)-2025)+(MONTH(TIMELINE!BQ7)-1)/12)        /12        *INDEX(Assumptions_Commercial!$B$22:$B$33,MONTH(TIMELINE!BQ7))</f>
        <v/>
      </c>
      <c r="BV14" s="31">
        <f>$D14        *(1+$E14)^((YEAR(TIMELINE!BR7)-2025)+(MONTH(TIMELINE!BR7)-1)/12)        /12        *INDEX(Assumptions_Commercial!$B$22:$B$33,MONTH(TIMELINE!BR7))</f>
        <v/>
      </c>
      <c r="BW14" s="31">
        <f>$D14        *(1+$E14)^((YEAR(TIMELINE!BS7)-2025)+(MONTH(TIMELINE!BS7)-1)/12)        /12        *INDEX(Assumptions_Commercial!$B$22:$B$33,MONTH(TIMELINE!BS7))</f>
        <v/>
      </c>
      <c r="BX14" s="31">
        <f>$D14        *(1+$E14)^((YEAR(TIMELINE!BT7)-2025)+(MONTH(TIMELINE!BT7)-1)/12)        /12        *INDEX(Assumptions_Commercial!$B$22:$B$33,MONTH(TIMELINE!BT7))</f>
        <v/>
      </c>
      <c r="BY14" s="31">
        <f>$D14        *(1+$E14)^((YEAR(TIMELINE!BU7)-2025)+(MONTH(TIMELINE!BU7)-1)/12)        /12        *INDEX(Assumptions_Commercial!$B$22:$B$33,MONTH(TIMELINE!BU7))</f>
        <v/>
      </c>
      <c r="BZ14" s="31">
        <f>$D14        *(1+$E14)^((YEAR(TIMELINE!BV7)-2025)+(MONTH(TIMELINE!BV7)-1)/12)        /12        *INDEX(Assumptions_Commercial!$B$22:$B$33,MONTH(TIMELINE!BV7))</f>
        <v/>
      </c>
      <c r="CA14" s="31">
        <f>$D14        *(1+$E14)^((YEAR(TIMELINE!BW7)-2025)+(MONTH(TIMELINE!BW7)-1)/12)        /12        *INDEX(Assumptions_Commercial!$B$22:$B$33,MONTH(TIMELINE!BW7))</f>
        <v/>
      </c>
      <c r="CB14" s="31">
        <f>$D14        *(1+$E14)^((YEAR(TIMELINE!BX7)-2025)+(MONTH(TIMELINE!BX7)-1)/12)        /12        *INDEX(Assumptions_Commercial!$B$22:$B$33,MONTH(TIMELINE!BX7))</f>
        <v/>
      </c>
      <c r="CC14" s="31">
        <f>$D14        *(1+$E14)^((YEAR(TIMELINE!BY7)-2025)+(MONTH(TIMELINE!BY7)-1)/12)        /12        *INDEX(Assumptions_Commercial!$B$22:$B$33,MONTH(TIMELINE!BY7))</f>
        <v/>
      </c>
      <c r="CD14" s="31">
        <f>$D14        *(1+$E14)^((YEAR(TIMELINE!BZ7)-2025)+(MONTH(TIMELINE!BZ7)-1)/12)        /12        *INDEX(Assumptions_Commercial!$B$22:$B$33,MONTH(TIMELINE!BZ7))</f>
        <v/>
      </c>
      <c r="CE14" s="31">
        <f>$D14        *(1+$E14)^((YEAR(TIMELINE!CA7)-2025)+(MONTH(TIMELINE!CA7)-1)/12)        /12        *INDEX(Assumptions_Commercial!$B$22:$B$33,MONTH(TIMELINE!CA7))</f>
        <v/>
      </c>
      <c r="CF14" s="31">
        <f>$D14        *(1+$E14)^((YEAR(TIMELINE!CB7)-2025)+(MONTH(TIMELINE!CB7)-1)/12)        /12        *INDEX(Assumptions_Commercial!$B$22:$B$33,MONTH(TIMELINE!CB7))</f>
        <v/>
      </c>
      <c r="CG14" s="31">
        <f>$D14        *(1+$E14)^((YEAR(TIMELINE!CC7)-2025)+(MONTH(TIMELINE!CC7)-1)/12)        /12        *INDEX(Assumptions_Commercial!$B$22:$B$33,MONTH(TIMELINE!CC7))</f>
        <v/>
      </c>
      <c r="CH14" s="31">
        <f>$D14        *(1+$E14)^((YEAR(TIMELINE!CD7)-2025)+(MONTH(TIMELINE!CD7)-1)/12)        /12        *INDEX(Assumptions_Commercial!$B$22:$B$33,MONTH(TIMELINE!CD7))</f>
        <v/>
      </c>
      <c r="CI14" s="31">
        <f>$D14        *(1+$E14)^((YEAR(TIMELINE!CE7)-2025)+(MONTH(TIMELINE!CE7)-1)/12)        /12        *INDEX(Assumptions_Commercial!$B$22:$B$33,MONTH(TIMELINE!CE7))</f>
        <v/>
      </c>
      <c r="CJ14" s="31">
        <f>$D14        *(1+$E14)^((YEAR(TIMELINE!CF7)-2025)+(MONTH(TIMELINE!CF7)-1)/12)        /12        *INDEX(Assumptions_Commercial!$B$22:$B$33,MONTH(TIMELINE!CF7))</f>
        <v/>
      </c>
      <c r="CK14" s="31">
        <f>$D14        *(1+$E14)^((YEAR(TIMELINE!CG7)-2025)+(MONTH(TIMELINE!CG7)-1)/12)        /12        *INDEX(Assumptions_Commercial!$B$22:$B$33,MONTH(TIMELINE!CG7))</f>
        <v/>
      </c>
      <c r="CL14" s="31">
        <f>$D14        *(1+$E14)^((YEAR(TIMELINE!CH7)-2025)+(MONTH(TIMELINE!CH7)-1)/12)        /12        *INDEX(Assumptions_Commercial!$B$22:$B$33,MONTH(TIMELINE!CH7))</f>
        <v/>
      </c>
      <c r="CM14" s="31">
        <f>$D14        *(1+$E14)^((YEAR(TIMELINE!CI7)-2025)+(MONTH(TIMELINE!CI7)-1)/12)        /12        *INDEX(Assumptions_Commercial!$B$22:$B$33,MONTH(TIMELINE!CI7))</f>
        <v/>
      </c>
      <c r="CN14" s="31">
        <f>$D14        *(1+$E14)^((YEAR(TIMELINE!CJ7)-2025)+(MONTH(TIMELINE!CJ7)-1)/12)        /12        *INDEX(Assumptions_Commercial!$B$22:$B$33,MONTH(TIMELINE!CJ7))</f>
        <v/>
      </c>
      <c r="CO14" s="31">
        <f>$D14        *(1+$E14)^((YEAR(TIMELINE!CK7)-2025)+(MONTH(TIMELINE!CK7)-1)/12)        /12        *INDEX(Assumptions_Commercial!$B$22:$B$33,MONTH(TIMELINE!CK7))</f>
        <v/>
      </c>
      <c r="CP14" s="31">
        <f>$D14        *(1+$E14)^((YEAR(TIMELINE!CL7)-2025)+(MONTH(TIMELINE!CL7)-1)/12)        /12        *INDEX(Assumptions_Commercial!$B$22:$B$33,MONTH(TIMELINE!CL7))</f>
        <v/>
      </c>
      <c r="CQ14" s="31">
        <f>$D14        *(1+$E14)^((YEAR(TIMELINE!CM7)-2025)+(MONTH(TIMELINE!CM7)-1)/12)        /12        *INDEX(Assumptions_Commercial!$B$22:$B$33,MONTH(TIMELINE!CM7))</f>
        <v/>
      </c>
      <c r="CR14" s="31">
        <f>$D14        *(1+$E14)^((YEAR(TIMELINE!CN7)-2025)+(MONTH(TIMELINE!CN7)-1)/12)        /12        *INDEX(Assumptions_Commercial!$B$22:$B$33,MONTH(TIMELINE!CN7))</f>
        <v/>
      </c>
      <c r="CS14" s="31">
        <f>$D14        *(1+$E14)^((YEAR(TIMELINE!CO7)-2025)+(MONTH(TIMELINE!CO7)-1)/12)        /12        *INDEX(Assumptions_Commercial!$B$22:$B$33,MONTH(TIMELINE!CO7))</f>
        <v/>
      </c>
      <c r="CT14" s="31">
        <f>$D14        *(1+$E14)^((YEAR(TIMELINE!CP7)-2025)+(MONTH(TIMELINE!CP7)-1)/12)        /12        *INDEX(Assumptions_Commercial!$B$22:$B$33,MONTH(TIMELINE!CP7))</f>
        <v/>
      </c>
      <c r="CU14" s="31">
        <f>$D14        *(1+$E14)^((YEAR(TIMELINE!CQ7)-2025)+(MONTH(TIMELINE!CQ7)-1)/12)        /12        *INDEX(Assumptions_Commercial!$B$22:$B$33,MONTH(TIMELINE!CQ7))</f>
        <v/>
      </c>
      <c r="CV14" s="31">
        <f>$D14        *(1+$E14)^((YEAR(TIMELINE!CR7)-2025)+(MONTH(TIMELINE!CR7)-1)/12)        /12        *INDEX(Assumptions_Commercial!$B$22:$B$33,MONTH(TIMELINE!CR7))</f>
        <v/>
      </c>
      <c r="CW14" s="31">
        <f>$D14        *(1+$E14)^((YEAR(TIMELINE!CS7)-2025)+(MONTH(TIMELINE!CS7)-1)/12)        /12        *INDEX(Assumptions_Commercial!$B$22:$B$33,MONTH(TIMELINE!CS7))</f>
        <v/>
      </c>
      <c r="CX14" s="31">
        <f>$D14        *(1+$E14)^((YEAR(TIMELINE!CT7)-2025)+(MONTH(TIMELINE!CT7)-1)/12)        /12        *INDEX(Assumptions_Commercial!$B$22:$B$33,MONTH(TIMELINE!CT7))</f>
        <v/>
      </c>
      <c r="CY14" s="31">
        <f>$D14        *(1+$E14)^((YEAR(TIMELINE!CU7)-2025)+(MONTH(TIMELINE!CU7)-1)/12)        /12        *INDEX(Assumptions_Commercial!$B$22:$B$33,MONTH(TIMELINE!CU7))</f>
        <v/>
      </c>
      <c r="CZ14" s="31">
        <f>$D14        *(1+$E14)^((YEAR(TIMELINE!CV7)-2025)+(MONTH(TIMELINE!CV7)-1)/12)        /12        *INDEX(Assumptions_Commercial!$B$22:$B$33,MONTH(TIMELINE!CV7))</f>
        <v/>
      </c>
      <c r="DA14" s="31">
        <f>$D14        *(1+$E14)^((YEAR(TIMELINE!CW7)-2025)+(MONTH(TIMELINE!CW7)-1)/12)        /12        *INDEX(Assumptions_Commercial!$B$22:$B$33,MONTH(TIMELINE!CW7))</f>
        <v/>
      </c>
      <c r="DB14" s="31">
        <f>$D14        *(1+$E14)^((YEAR(TIMELINE!CX7)-2025)+(MONTH(TIMELINE!CX7)-1)/12)        /12        *INDEX(Assumptions_Commercial!$B$22:$B$33,MONTH(TIMELINE!CX7))</f>
        <v/>
      </c>
      <c r="DC14" s="31">
        <f>$D14        *(1+$E14)^((YEAR(TIMELINE!CY7)-2025)+(MONTH(TIMELINE!CY7)-1)/12)        /12        *INDEX(Assumptions_Commercial!$B$22:$B$33,MONTH(TIMELINE!CY7))</f>
        <v/>
      </c>
      <c r="DD14" s="31">
        <f>$D14        *(1+$E14)^((YEAR(TIMELINE!CZ7)-2025)+(MONTH(TIMELINE!CZ7)-1)/12)        /12        *INDEX(Assumptions_Commercial!$B$22:$B$33,MONTH(TIMELINE!CZ7))</f>
        <v/>
      </c>
      <c r="DE14" s="31">
        <f>$D14        *(1+$E14)^((YEAR(TIMELINE!DA7)-2025)+(MONTH(TIMELINE!DA7)-1)/12)        /12        *INDEX(Assumptions_Commercial!$B$22:$B$33,MONTH(TIMELINE!DA7))</f>
        <v/>
      </c>
      <c r="DF14" s="31">
        <f>$D14        *(1+$E14)^((YEAR(TIMELINE!DB7)-2025)+(MONTH(TIMELINE!DB7)-1)/12)        /12        *INDEX(Assumptions_Commercial!$B$22:$B$33,MONTH(TIMELINE!DB7))</f>
        <v/>
      </c>
      <c r="DG14" s="31">
        <f>$D14        *(1+$E14)^((YEAR(TIMELINE!DC7)-2025)+(MONTH(TIMELINE!DC7)-1)/12)        /12        *INDEX(Assumptions_Commercial!$B$22:$B$33,MONTH(TIMELINE!DC7))</f>
        <v/>
      </c>
      <c r="DH14" s="31">
        <f>$D14        *(1+$E14)^((YEAR(TIMELINE!DD7)-2025)+(MONTH(TIMELINE!DD7)-1)/12)        /12        *INDEX(Assumptions_Commercial!$B$22:$B$33,MONTH(TIMELINE!DD7))</f>
        <v/>
      </c>
      <c r="DI14" s="31">
        <f>$D14        *(1+$E14)^((YEAR(TIMELINE!DE7)-2025)+(MONTH(TIMELINE!DE7)-1)/12)        /12        *INDEX(Assumptions_Commercial!$B$22:$B$33,MONTH(TIMELINE!DE7))</f>
        <v/>
      </c>
      <c r="DJ14" s="31">
        <f>$D14        *(1+$E14)^((YEAR(TIMELINE!DF7)-2025)+(MONTH(TIMELINE!DF7)-1)/12)        /12        *INDEX(Assumptions_Commercial!$B$22:$B$33,MONTH(TIMELINE!DF7))</f>
        <v/>
      </c>
      <c r="DK14" s="31">
        <f>$D14        *(1+$E14)^((YEAR(TIMELINE!DG7)-2025)+(MONTH(TIMELINE!DG7)-1)/12)        /12        *INDEX(Assumptions_Commercial!$B$22:$B$33,MONTH(TIMELINE!DG7))</f>
        <v/>
      </c>
      <c r="DL14" s="31">
        <f>$D14        *(1+$E14)^((YEAR(TIMELINE!DH7)-2025)+(MONTH(TIMELINE!DH7)-1)/12)        /12        *INDEX(Assumptions_Commercial!$B$22:$B$33,MONTH(TIMELINE!DH7))</f>
        <v/>
      </c>
      <c r="DM14" s="31">
        <f>$D14        *(1+$E14)^((YEAR(TIMELINE!DI7)-2025)+(MONTH(TIMELINE!DI7)-1)/12)        /12        *INDEX(Assumptions_Commercial!$B$22:$B$33,MONTH(TIMELINE!DI7))</f>
        <v/>
      </c>
      <c r="DN14" s="31">
        <f>$D14        *(1+$E14)^((YEAR(TIMELINE!DJ7)-2025)+(MONTH(TIMELINE!DJ7)-1)/12)        /12        *INDEX(Assumptions_Commercial!$B$22:$B$33,MONTH(TIMELINE!DJ7))</f>
        <v/>
      </c>
      <c r="DO14" s="31">
        <f>$D14        *(1+$E14)^((YEAR(TIMELINE!DK7)-2025)+(MONTH(TIMELINE!DK7)-1)/12)        /12        *INDEX(Assumptions_Commercial!$B$22:$B$33,MONTH(TIMELINE!DK7))</f>
        <v/>
      </c>
      <c r="DP14" s="31">
        <f>$D14        *(1+$E14)^((YEAR(TIMELINE!DL7)-2025)+(MONTH(TIMELINE!DL7)-1)/12)        /12        *INDEX(Assumptions_Commercial!$B$22:$B$33,MONTH(TIMELINE!DL7))</f>
        <v/>
      </c>
      <c r="DQ14" s="31">
        <f>$D14        *(1+$E14)^((YEAR(TIMELINE!DM7)-2025)+(MONTH(TIMELINE!DM7)-1)/12)        /12        *INDEX(Assumptions_Commercial!$B$22:$B$33,MONTH(TIMELINE!DM7))</f>
        <v/>
      </c>
      <c r="DR14" s="31">
        <f>$D14        *(1+$E14)^((YEAR(TIMELINE!DN7)-2025)+(MONTH(TIMELINE!DN7)-1)/12)        /12        *INDEX(Assumptions_Commercial!$B$22:$B$33,MONTH(TIMELINE!DN7))</f>
        <v/>
      </c>
      <c r="DS14" s="31">
        <f>$D14        *(1+$E14)^((YEAR(TIMELINE!DO7)-2025)+(MONTH(TIMELINE!DO7)-1)/12)        /12        *INDEX(Assumptions_Commercial!$B$22:$B$33,MONTH(TIMELINE!DO7))</f>
        <v/>
      </c>
      <c r="DT14" s="31">
        <f>$D14        *(1+$E14)^((YEAR(TIMELINE!DP7)-2025)+(MONTH(TIMELINE!DP7)-1)/12)        /12        *INDEX(Assumptions_Commercial!$B$22:$B$33,MONTH(TIMELINE!DP7))</f>
        <v/>
      </c>
      <c r="DU14" s="31">
        <f>$D14        *(1+$E14)^((YEAR(TIMELINE!DQ7)-2025)+(MONTH(TIMELINE!DQ7)-1)/12)        /12        *INDEX(Assumptions_Commercial!$B$22:$B$33,MONTH(TIMELINE!DQ7))</f>
        <v/>
      </c>
    </row>
    <row r="15">
      <c r="A15" t="inlineStr">
        <is>
          <t>SKU-09</t>
        </is>
      </c>
      <c r="B15" t="inlineStr">
        <is>
          <t>Off-Trade</t>
        </is>
      </c>
      <c r="C15" t="inlineStr">
        <is>
          <t>AU</t>
        </is>
      </c>
      <c r="D15" s="14" t="n">
        <v>38000</v>
      </c>
      <c r="E15" s="30">
        <f>INDEX(Assumptions_Commercial!$B$5:$D$5,CONTROL!$B$5)</f>
        <v/>
      </c>
      <c r="F15" s="31">
        <f>$D15        *(1+$E15)^((YEAR(TIMELINE!B7)-2025)+(MONTH(TIMELINE!B7)-1)/12)        /12        *INDEX(Assumptions_Commercial!$B$22:$B$33,MONTH(TIMELINE!B7))</f>
        <v/>
      </c>
      <c r="G15" s="31">
        <f>$D15        *(1+$E15)^((YEAR(TIMELINE!C7)-2025)+(MONTH(TIMELINE!C7)-1)/12)        /12        *INDEX(Assumptions_Commercial!$B$22:$B$33,MONTH(TIMELINE!C7))</f>
        <v/>
      </c>
      <c r="H15" s="31">
        <f>$D15        *(1+$E15)^((YEAR(TIMELINE!D7)-2025)+(MONTH(TIMELINE!D7)-1)/12)        /12        *INDEX(Assumptions_Commercial!$B$22:$B$33,MONTH(TIMELINE!D7))</f>
        <v/>
      </c>
      <c r="I15" s="31">
        <f>$D15        *(1+$E15)^((YEAR(TIMELINE!E7)-2025)+(MONTH(TIMELINE!E7)-1)/12)        /12        *INDEX(Assumptions_Commercial!$B$22:$B$33,MONTH(TIMELINE!E7))</f>
        <v/>
      </c>
      <c r="J15" s="31">
        <f>$D15        *(1+$E15)^((YEAR(TIMELINE!F7)-2025)+(MONTH(TIMELINE!F7)-1)/12)        /12        *INDEX(Assumptions_Commercial!$B$22:$B$33,MONTH(TIMELINE!F7))</f>
        <v/>
      </c>
      <c r="K15" s="31">
        <f>$D15        *(1+$E15)^((YEAR(TIMELINE!G7)-2025)+(MONTH(TIMELINE!G7)-1)/12)        /12        *INDEX(Assumptions_Commercial!$B$22:$B$33,MONTH(TIMELINE!G7))</f>
        <v/>
      </c>
      <c r="L15" s="31">
        <f>$D15        *(1+$E15)^((YEAR(TIMELINE!H7)-2025)+(MONTH(TIMELINE!H7)-1)/12)        /12        *INDEX(Assumptions_Commercial!$B$22:$B$33,MONTH(TIMELINE!H7))</f>
        <v/>
      </c>
      <c r="M15" s="31">
        <f>$D15        *(1+$E15)^((YEAR(TIMELINE!I7)-2025)+(MONTH(TIMELINE!I7)-1)/12)        /12        *INDEX(Assumptions_Commercial!$B$22:$B$33,MONTH(TIMELINE!I7))</f>
        <v/>
      </c>
      <c r="N15" s="31">
        <f>$D15        *(1+$E15)^((YEAR(TIMELINE!J7)-2025)+(MONTH(TIMELINE!J7)-1)/12)        /12        *INDEX(Assumptions_Commercial!$B$22:$B$33,MONTH(TIMELINE!J7))</f>
        <v/>
      </c>
      <c r="O15" s="31">
        <f>$D15        *(1+$E15)^((YEAR(TIMELINE!K7)-2025)+(MONTH(TIMELINE!K7)-1)/12)        /12        *INDEX(Assumptions_Commercial!$B$22:$B$33,MONTH(TIMELINE!K7))</f>
        <v/>
      </c>
      <c r="P15" s="31">
        <f>$D15        *(1+$E15)^((YEAR(TIMELINE!L7)-2025)+(MONTH(TIMELINE!L7)-1)/12)        /12        *INDEX(Assumptions_Commercial!$B$22:$B$33,MONTH(TIMELINE!L7))</f>
        <v/>
      </c>
      <c r="Q15" s="31">
        <f>$D15        *(1+$E15)^((YEAR(TIMELINE!M7)-2025)+(MONTH(TIMELINE!M7)-1)/12)        /12        *INDEX(Assumptions_Commercial!$B$22:$B$33,MONTH(TIMELINE!M7))</f>
        <v/>
      </c>
      <c r="R15" s="31">
        <f>$D15        *(1+$E15)^((YEAR(TIMELINE!N7)-2025)+(MONTH(TIMELINE!N7)-1)/12)        /12        *INDEX(Assumptions_Commercial!$B$22:$B$33,MONTH(TIMELINE!N7))</f>
        <v/>
      </c>
      <c r="S15" s="31">
        <f>$D15        *(1+$E15)^((YEAR(TIMELINE!O7)-2025)+(MONTH(TIMELINE!O7)-1)/12)        /12        *INDEX(Assumptions_Commercial!$B$22:$B$33,MONTH(TIMELINE!O7))</f>
        <v/>
      </c>
      <c r="T15" s="31">
        <f>$D15        *(1+$E15)^((YEAR(TIMELINE!P7)-2025)+(MONTH(TIMELINE!P7)-1)/12)        /12        *INDEX(Assumptions_Commercial!$B$22:$B$33,MONTH(TIMELINE!P7))</f>
        <v/>
      </c>
      <c r="U15" s="31">
        <f>$D15        *(1+$E15)^((YEAR(TIMELINE!Q7)-2025)+(MONTH(TIMELINE!Q7)-1)/12)        /12        *INDEX(Assumptions_Commercial!$B$22:$B$33,MONTH(TIMELINE!Q7))</f>
        <v/>
      </c>
      <c r="V15" s="31">
        <f>$D15        *(1+$E15)^((YEAR(TIMELINE!R7)-2025)+(MONTH(TIMELINE!R7)-1)/12)        /12        *INDEX(Assumptions_Commercial!$B$22:$B$33,MONTH(TIMELINE!R7))</f>
        <v/>
      </c>
      <c r="W15" s="31">
        <f>$D15        *(1+$E15)^((YEAR(TIMELINE!S7)-2025)+(MONTH(TIMELINE!S7)-1)/12)        /12        *INDEX(Assumptions_Commercial!$B$22:$B$33,MONTH(TIMELINE!S7))</f>
        <v/>
      </c>
      <c r="X15" s="31">
        <f>$D15        *(1+$E15)^((YEAR(TIMELINE!T7)-2025)+(MONTH(TIMELINE!T7)-1)/12)        /12        *INDEX(Assumptions_Commercial!$B$22:$B$33,MONTH(TIMELINE!T7))</f>
        <v/>
      </c>
      <c r="Y15" s="31">
        <f>$D15        *(1+$E15)^((YEAR(TIMELINE!U7)-2025)+(MONTH(TIMELINE!U7)-1)/12)        /12        *INDEX(Assumptions_Commercial!$B$22:$B$33,MONTH(TIMELINE!U7))</f>
        <v/>
      </c>
      <c r="Z15" s="31">
        <f>$D15        *(1+$E15)^((YEAR(TIMELINE!V7)-2025)+(MONTH(TIMELINE!V7)-1)/12)        /12        *INDEX(Assumptions_Commercial!$B$22:$B$33,MONTH(TIMELINE!V7))</f>
        <v/>
      </c>
      <c r="AA15" s="31">
        <f>$D15        *(1+$E15)^((YEAR(TIMELINE!W7)-2025)+(MONTH(TIMELINE!W7)-1)/12)        /12        *INDEX(Assumptions_Commercial!$B$22:$B$33,MONTH(TIMELINE!W7))</f>
        <v/>
      </c>
      <c r="AB15" s="31">
        <f>$D15        *(1+$E15)^((YEAR(TIMELINE!X7)-2025)+(MONTH(TIMELINE!X7)-1)/12)        /12        *INDEX(Assumptions_Commercial!$B$22:$B$33,MONTH(TIMELINE!X7))</f>
        <v/>
      </c>
      <c r="AC15" s="31">
        <f>$D15        *(1+$E15)^((YEAR(TIMELINE!Y7)-2025)+(MONTH(TIMELINE!Y7)-1)/12)        /12        *INDEX(Assumptions_Commercial!$B$22:$B$33,MONTH(TIMELINE!Y7))</f>
        <v/>
      </c>
      <c r="AD15" s="31">
        <f>$D15        *(1+$E15)^((YEAR(TIMELINE!Z7)-2025)+(MONTH(TIMELINE!Z7)-1)/12)        /12        *INDEX(Assumptions_Commercial!$B$22:$B$33,MONTH(TIMELINE!Z7))</f>
        <v/>
      </c>
      <c r="AE15" s="31">
        <f>$D15        *(1+$E15)^((YEAR(TIMELINE!AA7)-2025)+(MONTH(TIMELINE!AA7)-1)/12)        /12        *INDEX(Assumptions_Commercial!$B$22:$B$33,MONTH(TIMELINE!AA7))</f>
        <v/>
      </c>
      <c r="AF15" s="31">
        <f>$D15        *(1+$E15)^((YEAR(TIMELINE!AB7)-2025)+(MONTH(TIMELINE!AB7)-1)/12)        /12        *INDEX(Assumptions_Commercial!$B$22:$B$33,MONTH(TIMELINE!AB7))</f>
        <v/>
      </c>
      <c r="AG15" s="31">
        <f>$D15        *(1+$E15)^((YEAR(TIMELINE!AC7)-2025)+(MONTH(TIMELINE!AC7)-1)/12)        /12        *INDEX(Assumptions_Commercial!$B$22:$B$33,MONTH(TIMELINE!AC7))</f>
        <v/>
      </c>
      <c r="AH15" s="31">
        <f>$D15        *(1+$E15)^((YEAR(TIMELINE!AD7)-2025)+(MONTH(TIMELINE!AD7)-1)/12)        /12        *INDEX(Assumptions_Commercial!$B$22:$B$33,MONTH(TIMELINE!AD7))</f>
        <v/>
      </c>
      <c r="AI15" s="31">
        <f>$D15        *(1+$E15)^((YEAR(TIMELINE!AE7)-2025)+(MONTH(TIMELINE!AE7)-1)/12)        /12        *INDEX(Assumptions_Commercial!$B$22:$B$33,MONTH(TIMELINE!AE7))</f>
        <v/>
      </c>
      <c r="AJ15" s="31">
        <f>$D15        *(1+$E15)^((YEAR(TIMELINE!AF7)-2025)+(MONTH(TIMELINE!AF7)-1)/12)        /12        *INDEX(Assumptions_Commercial!$B$22:$B$33,MONTH(TIMELINE!AF7))</f>
        <v/>
      </c>
      <c r="AK15" s="31">
        <f>$D15        *(1+$E15)^((YEAR(TIMELINE!AG7)-2025)+(MONTH(TIMELINE!AG7)-1)/12)        /12        *INDEX(Assumptions_Commercial!$B$22:$B$33,MONTH(TIMELINE!AG7))</f>
        <v/>
      </c>
      <c r="AL15" s="31">
        <f>$D15        *(1+$E15)^((YEAR(TIMELINE!AH7)-2025)+(MONTH(TIMELINE!AH7)-1)/12)        /12        *INDEX(Assumptions_Commercial!$B$22:$B$33,MONTH(TIMELINE!AH7))</f>
        <v/>
      </c>
      <c r="AM15" s="31">
        <f>$D15        *(1+$E15)^((YEAR(TIMELINE!AI7)-2025)+(MONTH(TIMELINE!AI7)-1)/12)        /12        *INDEX(Assumptions_Commercial!$B$22:$B$33,MONTH(TIMELINE!AI7))</f>
        <v/>
      </c>
      <c r="AN15" s="31">
        <f>$D15        *(1+$E15)^((YEAR(TIMELINE!AJ7)-2025)+(MONTH(TIMELINE!AJ7)-1)/12)        /12        *INDEX(Assumptions_Commercial!$B$22:$B$33,MONTH(TIMELINE!AJ7))</f>
        <v/>
      </c>
      <c r="AO15" s="31">
        <f>$D15        *(1+$E15)^((YEAR(TIMELINE!AK7)-2025)+(MONTH(TIMELINE!AK7)-1)/12)        /12        *INDEX(Assumptions_Commercial!$B$22:$B$33,MONTH(TIMELINE!AK7))</f>
        <v/>
      </c>
      <c r="AP15" s="31">
        <f>$D15        *(1+$E15)^((YEAR(TIMELINE!AL7)-2025)+(MONTH(TIMELINE!AL7)-1)/12)        /12        *INDEX(Assumptions_Commercial!$B$22:$B$33,MONTH(TIMELINE!AL7))</f>
        <v/>
      </c>
      <c r="AQ15" s="31">
        <f>$D15        *(1+$E15)^((YEAR(TIMELINE!AM7)-2025)+(MONTH(TIMELINE!AM7)-1)/12)        /12        *INDEX(Assumptions_Commercial!$B$22:$B$33,MONTH(TIMELINE!AM7))</f>
        <v/>
      </c>
      <c r="AR15" s="31">
        <f>$D15        *(1+$E15)^((YEAR(TIMELINE!AN7)-2025)+(MONTH(TIMELINE!AN7)-1)/12)        /12        *INDEX(Assumptions_Commercial!$B$22:$B$33,MONTH(TIMELINE!AN7))</f>
        <v/>
      </c>
      <c r="AS15" s="31">
        <f>$D15        *(1+$E15)^((YEAR(TIMELINE!AO7)-2025)+(MONTH(TIMELINE!AO7)-1)/12)        /12        *INDEX(Assumptions_Commercial!$B$22:$B$33,MONTH(TIMELINE!AO7))</f>
        <v/>
      </c>
      <c r="AT15" s="31">
        <f>$D15        *(1+$E15)^((YEAR(TIMELINE!AP7)-2025)+(MONTH(TIMELINE!AP7)-1)/12)        /12        *INDEX(Assumptions_Commercial!$B$22:$B$33,MONTH(TIMELINE!AP7))</f>
        <v/>
      </c>
      <c r="AU15" s="31">
        <f>$D15        *(1+$E15)^((YEAR(TIMELINE!AQ7)-2025)+(MONTH(TIMELINE!AQ7)-1)/12)        /12        *INDEX(Assumptions_Commercial!$B$22:$B$33,MONTH(TIMELINE!AQ7))</f>
        <v/>
      </c>
      <c r="AV15" s="31">
        <f>$D15        *(1+$E15)^((YEAR(TIMELINE!AR7)-2025)+(MONTH(TIMELINE!AR7)-1)/12)        /12        *INDEX(Assumptions_Commercial!$B$22:$B$33,MONTH(TIMELINE!AR7))</f>
        <v/>
      </c>
      <c r="AW15" s="31">
        <f>$D15        *(1+$E15)^((YEAR(TIMELINE!AS7)-2025)+(MONTH(TIMELINE!AS7)-1)/12)        /12        *INDEX(Assumptions_Commercial!$B$22:$B$33,MONTH(TIMELINE!AS7))</f>
        <v/>
      </c>
      <c r="AX15" s="31">
        <f>$D15        *(1+$E15)^((YEAR(TIMELINE!AT7)-2025)+(MONTH(TIMELINE!AT7)-1)/12)        /12        *INDEX(Assumptions_Commercial!$B$22:$B$33,MONTH(TIMELINE!AT7))</f>
        <v/>
      </c>
      <c r="AY15" s="31">
        <f>$D15        *(1+$E15)^((YEAR(TIMELINE!AU7)-2025)+(MONTH(TIMELINE!AU7)-1)/12)        /12        *INDEX(Assumptions_Commercial!$B$22:$B$33,MONTH(TIMELINE!AU7))</f>
        <v/>
      </c>
      <c r="AZ15" s="31">
        <f>$D15        *(1+$E15)^((YEAR(TIMELINE!AV7)-2025)+(MONTH(TIMELINE!AV7)-1)/12)        /12        *INDEX(Assumptions_Commercial!$B$22:$B$33,MONTH(TIMELINE!AV7))</f>
        <v/>
      </c>
      <c r="BA15" s="31">
        <f>$D15        *(1+$E15)^((YEAR(TIMELINE!AW7)-2025)+(MONTH(TIMELINE!AW7)-1)/12)        /12        *INDEX(Assumptions_Commercial!$B$22:$B$33,MONTH(TIMELINE!AW7))</f>
        <v/>
      </c>
      <c r="BB15" s="31">
        <f>$D15        *(1+$E15)^((YEAR(TIMELINE!AX7)-2025)+(MONTH(TIMELINE!AX7)-1)/12)        /12        *INDEX(Assumptions_Commercial!$B$22:$B$33,MONTH(TIMELINE!AX7))</f>
        <v/>
      </c>
      <c r="BC15" s="31">
        <f>$D15        *(1+$E15)^((YEAR(TIMELINE!AY7)-2025)+(MONTH(TIMELINE!AY7)-1)/12)        /12        *INDEX(Assumptions_Commercial!$B$22:$B$33,MONTH(TIMELINE!AY7))</f>
        <v/>
      </c>
      <c r="BD15" s="31">
        <f>$D15        *(1+$E15)^((YEAR(TIMELINE!AZ7)-2025)+(MONTH(TIMELINE!AZ7)-1)/12)        /12        *INDEX(Assumptions_Commercial!$B$22:$B$33,MONTH(TIMELINE!AZ7))</f>
        <v/>
      </c>
      <c r="BE15" s="31">
        <f>$D15        *(1+$E15)^((YEAR(TIMELINE!BA7)-2025)+(MONTH(TIMELINE!BA7)-1)/12)        /12        *INDEX(Assumptions_Commercial!$B$22:$B$33,MONTH(TIMELINE!BA7))</f>
        <v/>
      </c>
      <c r="BF15" s="31">
        <f>$D15        *(1+$E15)^((YEAR(TIMELINE!BB7)-2025)+(MONTH(TIMELINE!BB7)-1)/12)        /12        *INDEX(Assumptions_Commercial!$B$22:$B$33,MONTH(TIMELINE!BB7))</f>
        <v/>
      </c>
      <c r="BG15" s="31">
        <f>$D15        *(1+$E15)^((YEAR(TIMELINE!BC7)-2025)+(MONTH(TIMELINE!BC7)-1)/12)        /12        *INDEX(Assumptions_Commercial!$B$22:$B$33,MONTH(TIMELINE!BC7))</f>
        <v/>
      </c>
      <c r="BH15" s="31">
        <f>$D15        *(1+$E15)^((YEAR(TIMELINE!BD7)-2025)+(MONTH(TIMELINE!BD7)-1)/12)        /12        *INDEX(Assumptions_Commercial!$B$22:$B$33,MONTH(TIMELINE!BD7))</f>
        <v/>
      </c>
      <c r="BI15" s="31">
        <f>$D15        *(1+$E15)^((YEAR(TIMELINE!BE7)-2025)+(MONTH(TIMELINE!BE7)-1)/12)        /12        *INDEX(Assumptions_Commercial!$B$22:$B$33,MONTH(TIMELINE!BE7))</f>
        <v/>
      </c>
      <c r="BJ15" s="31">
        <f>$D15        *(1+$E15)^((YEAR(TIMELINE!BF7)-2025)+(MONTH(TIMELINE!BF7)-1)/12)        /12        *INDEX(Assumptions_Commercial!$B$22:$B$33,MONTH(TIMELINE!BF7))</f>
        <v/>
      </c>
      <c r="BK15" s="31">
        <f>$D15        *(1+$E15)^((YEAR(TIMELINE!BG7)-2025)+(MONTH(TIMELINE!BG7)-1)/12)        /12        *INDEX(Assumptions_Commercial!$B$22:$B$33,MONTH(TIMELINE!BG7))</f>
        <v/>
      </c>
      <c r="BL15" s="31">
        <f>$D15        *(1+$E15)^((YEAR(TIMELINE!BH7)-2025)+(MONTH(TIMELINE!BH7)-1)/12)        /12        *INDEX(Assumptions_Commercial!$B$22:$B$33,MONTH(TIMELINE!BH7))</f>
        <v/>
      </c>
      <c r="BM15" s="31">
        <f>$D15        *(1+$E15)^((YEAR(TIMELINE!BI7)-2025)+(MONTH(TIMELINE!BI7)-1)/12)        /12        *INDEX(Assumptions_Commercial!$B$22:$B$33,MONTH(TIMELINE!BI7))</f>
        <v/>
      </c>
      <c r="BN15" s="31">
        <f>$D15        *(1+$E15)^((YEAR(TIMELINE!BJ7)-2025)+(MONTH(TIMELINE!BJ7)-1)/12)        /12        *INDEX(Assumptions_Commercial!$B$22:$B$33,MONTH(TIMELINE!BJ7))</f>
        <v/>
      </c>
      <c r="BO15" s="31">
        <f>$D15        *(1+$E15)^((YEAR(TIMELINE!BK7)-2025)+(MONTH(TIMELINE!BK7)-1)/12)        /12        *INDEX(Assumptions_Commercial!$B$22:$B$33,MONTH(TIMELINE!BK7))</f>
        <v/>
      </c>
      <c r="BP15" s="31">
        <f>$D15        *(1+$E15)^((YEAR(TIMELINE!BL7)-2025)+(MONTH(TIMELINE!BL7)-1)/12)        /12        *INDEX(Assumptions_Commercial!$B$22:$B$33,MONTH(TIMELINE!BL7))</f>
        <v/>
      </c>
      <c r="BQ15" s="31">
        <f>$D15        *(1+$E15)^((YEAR(TIMELINE!BM7)-2025)+(MONTH(TIMELINE!BM7)-1)/12)        /12        *INDEX(Assumptions_Commercial!$B$22:$B$33,MONTH(TIMELINE!BM7))</f>
        <v/>
      </c>
      <c r="BR15" s="31">
        <f>$D15        *(1+$E15)^((YEAR(TIMELINE!BN7)-2025)+(MONTH(TIMELINE!BN7)-1)/12)        /12        *INDEX(Assumptions_Commercial!$B$22:$B$33,MONTH(TIMELINE!BN7))</f>
        <v/>
      </c>
      <c r="BS15" s="31">
        <f>$D15        *(1+$E15)^((YEAR(TIMELINE!BO7)-2025)+(MONTH(TIMELINE!BO7)-1)/12)        /12        *INDEX(Assumptions_Commercial!$B$22:$B$33,MONTH(TIMELINE!BO7))</f>
        <v/>
      </c>
      <c r="BT15" s="31">
        <f>$D15        *(1+$E15)^((YEAR(TIMELINE!BP7)-2025)+(MONTH(TIMELINE!BP7)-1)/12)        /12        *INDEX(Assumptions_Commercial!$B$22:$B$33,MONTH(TIMELINE!BP7))</f>
        <v/>
      </c>
      <c r="BU15" s="31">
        <f>$D15        *(1+$E15)^((YEAR(TIMELINE!BQ7)-2025)+(MONTH(TIMELINE!BQ7)-1)/12)        /12        *INDEX(Assumptions_Commercial!$B$22:$B$33,MONTH(TIMELINE!BQ7))</f>
        <v/>
      </c>
      <c r="BV15" s="31">
        <f>$D15        *(1+$E15)^((YEAR(TIMELINE!BR7)-2025)+(MONTH(TIMELINE!BR7)-1)/12)        /12        *INDEX(Assumptions_Commercial!$B$22:$B$33,MONTH(TIMELINE!BR7))</f>
        <v/>
      </c>
      <c r="BW15" s="31">
        <f>$D15        *(1+$E15)^((YEAR(TIMELINE!BS7)-2025)+(MONTH(TIMELINE!BS7)-1)/12)        /12        *INDEX(Assumptions_Commercial!$B$22:$B$33,MONTH(TIMELINE!BS7))</f>
        <v/>
      </c>
      <c r="BX15" s="31">
        <f>$D15        *(1+$E15)^((YEAR(TIMELINE!BT7)-2025)+(MONTH(TIMELINE!BT7)-1)/12)        /12        *INDEX(Assumptions_Commercial!$B$22:$B$33,MONTH(TIMELINE!BT7))</f>
        <v/>
      </c>
      <c r="BY15" s="31">
        <f>$D15        *(1+$E15)^((YEAR(TIMELINE!BU7)-2025)+(MONTH(TIMELINE!BU7)-1)/12)        /12        *INDEX(Assumptions_Commercial!$B$22:$B$33,MONTH(TIMELINE!BU7))</f>
        <v/>
      </c>
      <c r="BZ15" s="31">
        <f>$D15        *(1+$E15)^((YEAR(TIMELINE!BV7)-2025)+(MONTH(TIMELINE!BV7)-1)/12)        /12        *INDEX(Assumptions_Commercial!$B$22:$B$33,MONTH(TIMELINE!BV7))</f>
        <v/>
      </c>
      <c r="CA15" s="31">
        <f>$D15        *(1+$E15)^((YEAR(TIMELINE!BW7)-2025)+(MONTH(TIMELINE!BW7)-1)/12)        /12        *INDEX(Assumptions_Commercial!$B$22:$B$33,MONTH(TIMELINE!BW7))</f>
        <v/>
      </c>
      <c r="CB15" s="31">
        <f>$D15        *(1+$E15)^((YEAR(TIMELINE!BX7)-2025)+(MONTH(TIMELINE!BX7)-1)/12)        /12        *INDEX(Assumptions_Commercial!$B$22:$B$33,MONTH(TIMELINE!BX7))</f>
        <v/>
      </c>
      <c r="CC15" s="31">
        <f>$D15        *(1+$E15)^((YEAR(TIMELINE!BY7)-2025)+(MONTH(TIMELINE!BY7)-1)/12)        /12        *INDEX(Assumptions_Commercial!$B$22:$B$33,MONTH(TIMELINE!BY7))</f>
        <v/>
      </c>
      <c r="CD15" s="31">
        <f>$D15        *(1+$E15)^((YEAR(TIMELINE!BZ7)-2025)+(MONTH(TIMELINE!BZ7)-1)/12)        /12        *INDEX(Assumptions_Commercial!$B$22:$B$33,MONTH(TIMELINE!BZ7))</f>
        <v/>
      </c>
      <c r="CE15" s="31">
        <f>$D15        *(1+$E15)^((YEAR(TIMELINE!CA7)-2025)+(MONTH(TIMELINE!CA7)-1)/12)        /12        *INDEX(Assumptions_Commercial!$B$22:$B$33,MONTH(TIMELINE!CA7))</f>
        <v/>
      </c>
      <c r="CF15" s="31">
        <f>$D15        *(1+$E15)^((YEAR(TIMELINE!CB7)-2025)+(MONTH(TIMELINE!CB7)-1)/12)        /12        *INDEX(Assumptions_Commercial!$B$22:$B$33,MONTH(TIMELINE!CB7))</f>
        <v/>
      </c>
      <c r="CG15" s="31">
        <f>$D15        *(1+$E15)^((YEAR(TIMELINE!CC7)-2025)+(MONTH(TIMELINE!CC7)-1)/12)        /12        *INDEX(Assumptions_Commercial!$B$22:$B$33,MONTH(TIMELINE!CC7))</f>
        <v/>
      </c>
      <c r="CH15" s="31">
        <f>$D15        *(1+$E15)^((YEAR(TIMELINE!CD7)-2025)+(MONTH(TIMELINE!CD7)-1)/12)        /12        *INDEX(Assumptions_Commercial!$B$22:$B$33,MONTH(TIMELINE!CD7))</f>
        <v/>
      </c>
      <c r="CI15" s="31">
        <f>$D15        *(1+$E15)^((YEAR(TIMELINE!CE7)-2025)+(MONTH(TIMELINE!CE7)-1)/12)        /12        *INDEX(Assumptions_Commercial!$B$22:$B$33,MONTH(TIMELINE!CE7))</f>
        <v/>
      </c>
      <c r="CJ15" s="31">
        <f>$D15        *(1+$E15)^((YEAR(TIMELINE!CF7)-2025)+(MONTH(TIMELINE!CF7)-1)/12)        /12        *INDEX(Assumptions_Commercial!$B$22:$B$33,MONTH(TIMELINE!CF7))</f>
        <v/>
      </c>
      <c r="CK15" s="31">
        <f>$D15        *(1+$E15)^((YEAR(TIMELINE!CG7)-2025)+(MONTH(TIMELINE!CG7)-1)/12)        /12        *INDEX(Assumptions_Commercial!$B$22:$B$33,MONTH(TIMELINE!CG7))</f>
        <v/>
      </c>
      <c r="CL15" s="31">
        <f>$D15        *(1+$E15)^((YEAR(TIMELINE!CH7)-2025)+(MONTH(TIMELINE!CH7)-1)/12)        /12        *INDEX(Assumptions_Commercial!$B$22:$B$33,MONTH(TIMELINE!CH7))</f>
        <v/>
      </c>
      <c r="CM15" s="31">
        <f>$D15        *(1+$E15)^((YEAR(TIMELINE!CI7)-2025)+(MONTH(TIMELINE!CI7)-1)/12)        /12        *INDEX(Assumptions_Commercial!$B$22:$B$33,MONTH(TIMELINE!CI7))</f>
        <v/>
      </c>
      <c r="CN15" s="31">
        <f>$D15        *(1+$E15)^((YEAR(TIMELINE!CJ7)-2025)+(MONTH(TIMELINE!CJ7)-1)/12)        /12        *INDEX(Assumptions_Commercial!$B$22:$B$33,MONTH(TIMELINE!CJ7))</f>
        <v/>
      </c>
      <c r="CO15" s="31">
        <f>$D15        *(1+$E15)^((YEAR(TIMELINE!CK7)-2025)+(MONTH(TIMELINE!CK7)-1)/12)        /12        *INDEX(Assumptions_Commercial!$B$22:$B$33,MONTH(TIMELINE!CK7))</f>
        <v/>
      </c>
      <c r="CP15" s="31">
        <f>$D15        *(1+$E15)^((YEAR(TIMELINE!CL7)-2025)+(MONTH(TIMELINE!CL7)-1)/12)        /12        *INDEX(Assumptions_Commercial!$B$22:$B$33,MONTH(TIMELINE!CL7))</f>
        <v/>
      </c>
      <c r="CQ15" s="31">
        <f>$D15        *(1+$E15)^((YEAR(TIMELINE!CM7)-2025)+(MONTH(TIMELINE!CM7)-1)/12)        /12        *INDEX(Assumptions_Commercial!$B$22:$B$33,MONTH(TIMELINE!CM7))</f>
        <v/>
      </c>
      <c r="CR15" s="31">
        <f>$D15        *(1+$E15)^((YEAR(TIMELINE!CN7)-2025)+(MONTH(TIMELINE!CN7)-1)/12)        /12        *INDEX(Assumptions_Commercial!$B$22:$B$33,MONTH(TIMELINE!CN7))</f>
        <v/>
      </c>
      <c r="CS15" s="31">
        <f>$D15        *(1+$E15)^((YEAR(TIMELINE!CO7)-2025)+(MONTH(TIMELINE!CO7)-1)/12)        /12        *INDEX(Assumptions_Commercial!$B$22:$B$33,MONTH(TIMELINE!CO7))</f>
        <v/>
      </c>
      <c r="CT15" s="31">
        <f>$D15        *(1+$E15)^((YEAR(TIMELINE!CP7)-2025)+(MONTH(TIMELINE!CP7)-1)/12)        /12        *INDEX(Assumptions_Commercial!$B$22:$B$33,MONTH(TIMELINE!CP7))</f>
        <v/>
      </c>
      <c r="CU15" s="31">
        <f>$D15        *(1+$E15)^((YEAR(TIMELINE!CQ7)-2025)+(MONTH(TIMELINE!CQ7)-1)/12)        /12        *INDEX(Assumptions_Commercial!$B$22:$B$33,MONTH(TIMELINE!CQ7))</f>
        <v/>
      </c>
      <c r="CV15" s="31">
        <f>$D15        *(1+$E15)^((YEAR(TIMELINE!CR7)-2025)+(MONTH(TIMELINE!CR7)-1)/12)        /12        *INDEX(Assumptions_Commercial!$B$22:$B$33,MONTH(TIMELINE!CR7))</f>
        <v/>
      </c>
      <c r="CW15" s="31">
        <f>$D15        *(1+$E15)^((YEAR(TIMELINE!CS7)-2025)+(MONTH(TIMELINE!CS7)-1)/12)        /12        *INDEX(Assumptions_Commercial!$B$22:$B$33,MONTH(TIMELINE!CS7))</f>
        <v/>
      </c>
      <c r="CX15" s="31">
        <f>$D15        *(1+$E15)^((YEAR(TIMELINE!CT7)-2025)+(MONTH(TIMELINE!CT7)-1)/12)        /12        *INDEX(Assumptions_Commercial!$B$22:$B$33,MONTH(TIMELINE!CT7))</f>
        <v/>
      </c>
      <c r="CY15" s="31">
        <f>$D15        *(1+$E15)^((YEAR(TIMELINE!CU7)-2025)+(MONTH(TIMELINE!CU7)-1)/12)        /12        *INDEX(Assumptions_Commercial!$B$22:$B$33,MONTH(TIMELINE!CU7))</f>
        <v/>
      </c>
      <c r="CZ15" s="31">
        <f>$D15        *(1+$E15)^((YEAR(TIMELINE!CV7)-2025)+(MONTH(TIMELINE!CV7)-1)/12)        /12        *INDEX(Assumptions_Commercial!$B$22:$B$33,MONTH(TIMELINE!CV7))</f>
        <v/>
      </c>
      <c r="DA15" s="31">
        <f>$D15        *(1+$E15)^((YEAR(TIMELINE!CW7)-2025)+(MONTH(TIMELINE!CW7)-1)/12)        /12        *INDEX(Assumptions_Commercial!$B$22:$B$33,MONTH(TIMELINE!CW7))</f>
        <v/>
      </c>
      <c r="DB15" s="31">
        <f>$D15        *(1+$E15)^((YEAR(TIMELINE!CX7)-2025)+(MONTH(TIMELINE!CX7)-1)/12)        /12        *INDEX(Assumptions_Commercial!$B$22:$B$33,MONTH(TIMELINE!CX7))</f>
        <v/>
      </c>
      <c r="DC15" s="31">
        <f>$D15        *(1+$E15)^((YEAR(TIMELINE!CY7)-2025)+(MONTH(TIMELINE!CY7)-1)/12)        /12        *INDEX(Assumptions_Commercial!$B$22:$B$33,MONTH(TIMELINE!CY7))</f>
        <v/>
      </c>
      <c r="DD15" s="31">
        <f>$D15        *(1+$E15)^((YEAR(TIMELINE!CZ7)-2025)+(MONTH(TIMELINE!CZ7)-1)/12)        /12        *INDEX(Assumptions_Commercial!$B$22:$B$33,MONTH(TIMELINE!CZ7))</f>
        <v/>
      </c>
      <c r="DE15" s="31">
        <f>$D15        *(1+$E15)^((YEAR(TIMELINE!DA7)-2025)+(MONTH(TIMELINE!DA7)-1)/12)        /12        *INDEX(Assumptions_Commercial!$B$22:$B$33,MONTH(TIMELINE!DA7))</f>
        <v/>
      </c>
      <c r="DF15" s="31">
        <f>$D15        *(1+$E15)^((YEAR(TIMELINE!DB7)-2025)+(MONTH(TIMELINE!DB7)-1)/12)        /12        *INDEX(Assumptions_Commercial!$B$22:$B$33,MONTH(TIMELINE!DB7))</f>
        <v/>
      </c>
      <c r="DG15" s="31">
        <f>$D15        *(1+$E15)^((YEAR(TIMELINE!DC7)-2025)+(MONTH(TIMELINE!DC7)-1)/12)        /12        *INDEX(Assumptions_Commercial!$B$22:$B$33,MONTH(TIMELINE!DC7))</f>
        <v/>
      </c>
      <c r="DH15" s="31">
        <f>$D15        *(1+$E15)^((YEAR(TIMELINE!DD7)-2025)+(MONTH(TIMELINE!DD7)-1)/12)        /12        *INDEX(Assumptions_Commercial!$B$22:$B$33,MONTH(TIMELINE!DD7))</f>
        <v/>
      </c>
      <c r="DI15" s="31">
        <f>$D15        *(1+$E15)^((YEAR(TIMELINE!DE7)-2025)+(MONTH(TIMELINE!DE7)-1)/12)        /12        *INDEX(Assumptions_Commercial!$B$22:$B$33,MONTH(TIMELINE!DE7))</f>
        <v/>
      </c>
      <c r="DJ15" s="31">
        <f>$D15        *(1+$E15)^((YEAR(TIMELINE!DF7)-2025)+(MONTH(TIMELINE!DF7)-1)/12)        /12        *INDEX(Assumptions_Commercial!$B$22:$B$33,MONTH(TIMELINE!DF7))</f>
        <v/>
      </c>
      <c r="DK15" s="31">
        <f>$D15        *(1+$E15)^((YEAR(TIMELINE!DG7)-2025)+(MONTH(TIMELINE!DG7)-1)/12)        /12        *INDEX(Assumptions_Commercial!$B$22:$B$33,MONTH(TIMELINE!DG7))</f>
        <v/>
      </c>
      <c r="DL15" s="31">
        <f>$D15        *(1+$E15)^((YEAR(TIMELINE!DH7)-2025)+(MONTH(TIMELINE!DH7)-1)/12)        /12        *INDEX(Assumptions_Commercial!$B$22:$B$33,MONTH(TIMELINE!DH7))</f>
        <v/>
      </c>
      <c r="DM15" s="31">
        <f>$D15        *(1+$E15)^((YEAR(TIMELINE!DI7)-2025)+(MONTH(TIMELINE!DI7)-1)/12)        /12        *INDEX(Assumptions_Commercial!$B$22:$B$33,MONTH(TIMELINE!DI7))</f>
        <v/>
      </c>
      <c r="DN15" s="31">
        <f>$D15        *(1+$E15)^((YEAR(TIMELINE!DJ7)-2025)+(MONTH(TIMELINE!DJ7)-1)/12)        /12        *INDEX(Assumptions_Commercial!$B$22:$B$33,MONTH(TIMELINE!DJ7))</f>
        <v/>
      </c>
      <c r="DO15" s="31">
        <f>$D15        *(1+$E15)^((YEAR(TIMELINE!DK7)-2025)+(MONTH(TIMELINE!DK7)-1)/12)        /12        *INDEX(Assumptions_Commercial!$B$22:$B$33,MONTH(TIMELINE!DK7))</f>
        <v/>
      </c>
      <c r="DP15" s="31">
        <f>$D15        *(1+$E15)^((YEAR(TIMELINE!DL7)-2025)+(MONTH(TIMELINE!DL7)-1)/12)        /12        *INDEX(Assumptions_Commercial!$B$22:$B$33,MONTH(TIMELINE!DL7))</f>
        <v/>
      </c>
      <c r="DQ15" s="31">
        <f>$D15        *(1+$E15)^((YEAR(TIMELINE!DM7)-2025)+(MONTH(TIMELINE!DM7)-1)/12)        /12        *INDEX(Assumptions_Commercial!$B$22:$B$33,MONTH(TIMELINE!DM7))</f>
        <v/>
      </c>
      <c r="DR15" s="31">
        <f>$D15        *(1+$E15)^((YEAR(TIMELINE!DN7)-2025)+(MONTH(TIMELINE!DN7)-1)/12)        /12        *INDEX(Assumptions_Commercial!$B$22:$B$33,MONTH(TIMELINE!DN7))</f>
        <v/>
      </c>
      <c r="DS15" s="31">
        <f>$D15        *(1+$E15)^((YEAR(TIMELINE!DO7)-2025)+(MONTH(TIMELINE!DO7)-1)/12)        /12        *INDEX(Assumptions_Commercial!$B$22:$B$33,MONTH(TIMELINE!DO7))</f>
        <v/>
      </c>
      <c r="DT15" s="31">
        <f>$D15        *(1+$E15)^((YEAR(TIMELINE!DP7)-2025)+(MONTH(TIMELINE!DP7)-1)/12)        /12        *INDEX(Assumptions_Commercial!$B$22:$B$33,MONTH(TIMELINE!DP7))</f>
        <v/>
      </c>
      <c r="DU15" s="31">
        <f>$D15        *(1+$E15)^((YEAR(TIMELINE!DQ7)-2025)+(MONTH(TIMELINE!DQ7)-1)/12)        /12        *INDEX(Assumptions_Commercial!$B$22:$B$33,MONTH(TIMELINE!DQ7))</f>
        <v/>
      </c>
    </row>
    <row r="16">
      <c r="A16" t="inlineStr">
        <is>
          <t>SKU-10</t>
        </is>
      </c>
      <c r="B16" t="inlineStr">
        <is>
          <t>Off-Trade</t>
        </is>
      </c>
      <c r="C16" t="inlineStr">
        <is>
          <t>AU</t>
        </is>
      </c>
      <c r="D16" s="14" t="n">
        <v>20000</v>
      </c>
      <c r="E16" s="30">
        <f>INDEX(Assumptions_Commercial!$B$5:$D$5,CONTROL!$B$5)</f>
        <v/>
      </c>
      <c r="F16" s="31">
        <f>$D16        *(1+$E16)^((YEAR(TIMELINE!B7)-2025)+(MONTH(TIMELINE!B7)-1)/12)        /12        *INDEX(Assumptions_Commercial!$B$22:$B$33,MONTH(TIMELINE!B7))</f>
        <v/>
      </c>
      <c r="G16" s="31">
        <f>$D16        *(1+$E16)^((YEAR(TIMELINE!C7)-2025)+(MONTH(TIMELINE!C7)-1)/12)        /12        *INDEX(Assumptions_Commercial!$B$22:$B$33,MONTH(TIMELINE!C7))</f>
        <v/>
      </c>
      <c r="H16" s="31">
        <f>$D16        *(1+$E16)^((YEAR(TIMELINE!D7)-2025)+(MONTH(TIMELINE!D7)-1)/12)        /12        *INDEX(Assumptions_Commercial!$B$22:$B$33,MONTH(TIMELINE!D7))</f>
        <v/>
      </c>
      <c r="I16" s="31">
        <f>$D16        *(1+$E16)^((YEAR(TIMELINE!E7)-2025)+(MONTH(TIMELINE!E7)-1)/12)        /12        *INDEX(Assumptions_Commercial!$B$22:$B$33,MONTH(TIMELINE!E7))</f>
        <v/>
      </c>
      <c r="J16" s="31">
        <f>$D16        *(1+$E16)^((YEAR(TIMELINE!F7)-2025)+(MONTH(TIMELINE!F7)-1)/12)        /12        *INDEX(Assumptions_Commercial!$B$22:$B$33,MONTH(TIMELINE!F7))</f>
        <v/>
      </c>
      <c r="K16" s="31">
        <f>$D16        *(1+$E16)^((YEAR(TIMELINE!G7)-2025)+(MONTH(TIMELINE!G7)-1)/12)        /12        *INDEX(Assumptions_Commercial!$B$22:$B$33,MONTH(TIMELINE!G7))</f>
        <v/>
      </c>
      <c r="L16" s="31">
        <f>$D16        *(1+$E16)^((YEAR(TIMELINE!H7)-2025)+(MONTH(TIMELINE!H7)-1)/12)        /12        *INDEX(Assumptions_Commercial!$B$22:$B$33,MONTH(TIMELINE!H7))</f>
        <v/>
      </c>
      <c r="M16" s="31">
        <f>$D16        *(1+$E16)^((YEAR(TIMELINE!I7)-2025)+(MONTH(TIMELINE!I7)-1)/12)        /12        *INDEX(Assumptions_Commercial!$B$22:$B$33,MONTH(TIMELINE!I7))</f>
        <v/>
      </c>
      <c r="N16" s="31">
        <f>$D16        *(1+$E16)^((YEAR(TIMELINE!J7)-2025)+(MONTH(TIMELINE!J7)-1)/12)        /12        *INDEX(Assumptions_Commercial!$B$22:$B$33,MONTH(TIMELINE!J7))</f>
        <v/>
      </c>
      <c r="O16" s="31">
        <f>$D16        *(1+$E16)^((YEAR(TIMELINE!K7)-2025)+(MONTH(TIMELINE!K7)-1)/12)        /12        *INDEX(Assumptions_Commercial!$B$22:$B$33,MONTH(TIMELINE!K7))</f>
        <v/>
      </c>
      <c r="P16" s="31">
        <f>$D16        *(1+$E16)^((YEAR(TIMELINE!L7)-2025)+(MONTH(TIMELINE!L7)-1)/12)        /12        *INDEX(Assumptions_Commercial!$B$22:$B$33,MONTH(TIMELINE!L7))</f>
        <v/>
      </c>
      <c r="Q16" s="31">
        <f>$D16        *(1+$E16)^((YEAR(TIMELINE!M7)-2025)+(MONTH(TIMELINE!M7)-1)/12)        /12        *INDEX(Assumptions_Commercial!$B$22:$B$33,MONTH(TIMELINE!M7))</f>
        <v/>
      </c>
      <c r="R16" s="31">
        <f>$D16        *(1+$E16)^((YEAR(TIMELINE!N7)-2025)+(MONTH(TIMELINE!N7)-1)/12)        /12        *INDEX(Assumptions_Commercial!$B$22:$B$33,MONTH(TIMELINE!N7))</f>
        <v/>
      </c>
      <c r="S16" s="31">
        <f>$D16        *(1+$E16)^((YEAR(TIMELINE!O7)-2025)+(MONTH(TIMELINE!O7)-1)/12)        /12        *INDEX(Assumptions_Commercial!$B$22:$B$33,MONTH(TIMELINE!O7))</f>
        <v/>
      </c>
      <c r="T16" s="31">
        <f>$D16        *(1+$E16)^((YEAR(TIMELINE!P7)-2025)+(MONTH(TIMELINE!P7)-1)/12)        /12        *INDEX(Assumptions_Commercial!$B$22:$B$33,MONTH(TIMELINE!P7))</f>
        <v/>
      </c>
      <c r="U16" s="31">
        <f>$D16        *(1+$E16)^((YEAR(TIMELINE!Q7)-2025)+(MONTH(TIMELINE!Q7)-1)/12)        /12        *INDEX(Assumptions_Commercial!$B$22:$B$33,MONTH(TIMELINE!Q7))</f>
        <v/>
      </c>
      <c r="V16" s="31">
        <f>$D16        *(1+$E16)^((YEAR(TIMELINE!R7)-2025)+(MONTH(TIMELINE!R7)-1)/12)        /12        *INDEX(Assumptions_Commercial!$B$22:$B$33,MONTH(TIMELINE!R7))</f>
        <v/>
      </c>
      <c r="W16" s="31">
        <f>$D16        *(1+$E16)^((YEAR(TIMELINE!S7)-2025)+(MONTH(TIMELINE!S7)-1)/12)        /12        *INDEX(Assumptions_Commercial!$B$22:$B$33,MONTH(TIMELINE!S7))</f>
        <v/>
      </c>
      <c r="X16" s="31">
        <f>$D16        *(1+$E16)^((YEAR(TIMELINE!T7)-2025)+(MONTH(TIMELINE!T7)-1)/12)        /12        *INDEX(Assumptions_Commercial!$B$22:$B$33,MONTH(TIMELINE!T7))</f>
        <v/>
      </c>
      <c r="Y16" s="31">
        <f>$D16        *(1+$E16)^((YEAR(TIMELINE!U7)-2025)+(MONTH(TIMELINE!U7)-1)/12)        /12        *INDEX(Assumptions_Commercial!$B$22:$B$33,MONTH(TIMELINE!U7))</f>
        <v/>
      </c>
      <c r="Z16" s="31">
        <f>$D16        *(1+$E16)^((YEAR(TIMELINE!V7)-2025)+(MONTH(TIMELINE!V7)-1)/12)        /12        *INDEX(Assumptions_Commercial!$B$22:$B$33,MONTH(TIMELINE!V7))</f>
        <v/>
      </c>
      <c r="AA16" s="31">
        <f>$D16        *(1+$E16)^((YEAR(TIMELINE!W7)-2025)+(MONTH(TIMELINE!W7)-1)/12)        /12        *INDEX(Assumptions_Commercial!$B$22:$B$33,MONTH(TIMELINE!W7))</f>
        <v/>
      </c>
      <c r="AB16" s="31">
        <f>$D16        *(1+$E16)^((YEAR(TIMELINE!X7)-2025)+(MONTH(TIMELINE!X7)-1)/12)        /12        *INDEX(Assumptions_Commercial!$B$22:$B$33,MONTH(TIMELINE!X7))</f>
        <v/>
      </c>
      <c r="AC16" s="31">
        <f>$D16        *(1+$E16)^((YEAR(TIMELINE!Y7)-2025)+(MONTH(TIMELINE!Y7)-1)/12)        /12        *INDEX(Assumptions_Commercial!$B$22:$B$33,MONTH(TIMELINE!Y7))</f>
        <v/>
      </c>
      <c r="AD16" s="31">
        <f>$D16        *(1+$E16)^((YEAR(TIMELINE!Z7)-2025)+(MONTH(TIMELINE!Z7)-1)/12)        /12        *INDEX(Assumptions_Commercial!$B$22:$B$33,MONTH(TIMELINE!Z7))</f>
        <v/>
      </c>
      <c r="AE16" s="31">
        <f>$D16        *(1+$E16)^((YEAR(TIMELINE!AA7)-2025)+(MONTH(TIMELINE!AA7)-1)/12)        /12        *INDEX(Assumptions_Commercial!$B$22:$B$33,MONTH(TIMELINE!AA7))</f>
        <v/>
      </c>
      <c r="AF16" s="31">
        <f>$D16        *(1+$E16)^((YEAR(TIMELINE!AB7)-2025)+(MONTH(TIMELINE!AB7)-1)/12)        /12        *INDEX(Assumptions_Commercial!$B$22:$B$33,MONTH(TIMELINE!AB7))</f>
        <v/>
      </c>
      <c r="AG16" s="31">
        <f>$D16        *(1+$E16)^((YEAR(TIMELINE!AC7)-2025)+(MONTH(TIMELINE!AC7)-1)/12)        /12        *INDEX(Assumptions_Commercial!$B$22:$B$33,MONTH(TIMELINE!AC7))</f>
        <v/>
      </c>
      <c r="AH16" s="31">
        <f>$D16        *(1+$E16)^((YEAR(TIMELINE!AD7)-2025)+(MONTH(TIMELINE!AD7)-1)/12)        /12        *INDEX(Assumptions_Commercial!$B$22:$B$33,MONTH(TIMELINE!AD7))</f>
        <v/>
      </c>
      <c r="AI16" s="31">
        <f>$D16        *(1+$E16)^((YEAR(TIMELINE!AE7)-2025)+(MONTH(TIMELINE!AE7)-1)/12)        /12        *INDEX(Assumptions_Commercial!$B$22:$B$33,MONTH(TIMELINE!AE7))</f>
        <v/>
      </c>
      <c r="AJ16" s="31">
        <f>$D16        *(1+$E16)^((YEAR(TIMELINE!AF7)-2025)+(MONTH(TIMELINE!AF7)-1)/12)        /12        *INDEX(Assumptions_Commercial!$B$22:$B$33,MONTH(TIMELINE!AF7))</f>
        <v/>
      </c>
      <c r="AK16" s="31">
        <f>$D16        *(1+$E16)^((YEAR(TIMELINE!AG7)-2025)+(MONTH(TIMELINE!AG7)-1)/12)        /12        *INDEX(Assumptions_Commercial!$B$22:$B$33,MONTH(TIMELINE!AG7))</f>
        <v/>
      </c>
      <c r="AL16" s="31">
        <f>$D16        *(1+$E16)^((YEAR(TIMELINE!AH7)-2025)+(MONTH(TIMELINE!AH7)-1)/12)        /12        *INDEX(Assumptions_Commercial!$B$22:$B$33,MONTH(TIMELINE!AH7))</f>
        <v/>
      </c>
      <c r="AM16" s="31">
        <f>$D16        *(1+$E16)^((YEAR(TIMELINE!AI7)-2025)+(MONTH(TIMELINE!AI7)-1)/12)        /12        *INDEX(Assumptions_Commercial!$B$22:$B$33,MONTH(TIMELINE!AI7))</f>
        <v/>
      </c>
      <c r="AN16" s="31">
        <f>$D16        *(1+$E16)^((YEAR(TIMELINE!AJ7)-2025)+(MONTH(TIMELINE!AJ7)-1)/12)        /12        *INDEX(Assumptions_Commercial!$B$22:$B$33,MONTH(TIMELINE!AJ7))</f>
        <v/>
      </c>
      <c r="AO16" s="31">
        <f>$D16        *(1+$E16)^((YEAR(TIMELINE!AK7)-2025)+(MONTH(TIMELINE!AK7)-1)/12)        /12        *INDEX(Assumptions_Commercial!$B$22:$B$33,MONTH(TIMELINE!AK7))</f>
        <v/>
      </c>
      <c r="AP16" s="31">
        <f>$D16        *(1+$E16)^((YEAR(TIMELINE!AL7)-2025)+(MONTH(TIMELINE!AL7)-1)/12)        /12        *INDEX(Assumptions_Commercial!$B$22:$B$33,MONTH(TIMELINE!AL7))</f>
        <v/>
      </c>
      <c r="AQ16" s="31">
        <f>$D16        *(1+$E16)^((YEAR(TIMELINE!AM7)-2025)+(MONTH(TIMELINE!AM7)-1)/12)        /12        *INDEX(Assumptions_Commercial!$B$22:$B$33,MONTH(TIMELINE!AM7))</f>
        <v/>
      </c>
      <c r="AR16" s="31">
        <f>$D16        *(1+$E16)^((YEAR(TIMELINE!AN7)-2025)+(MONTH(TIMELINE!AN7)-1)/12)        /12        *INDEX(Assumptions_Commercial!$B$22:$B$33,MONTH(TIMELINE!AN7))</f>
        <v/>
      </c>
      <c r="AS16" s="31">
        <f>$D16        *(1+$E16)^((YEAR(TIMELINE!AO7)-2025)+(MONTH(TIMELINE!AO7)-1)/12)        /12        *INDEX(Assumptions_Commercial!$B$22:$B$33,MONTH(TIMELINE!AO7))</f>
        <v/>
      </c>
      <c r="AT16" s="31">
        <f>$D16        *(1+$E16)^((YEAR(TIMELINE!AP7)-2025)+(MONTH(TIMELINE!AP7)-1)/12)        /12        *INDEX(Assumptions_Commercial!$B$22:$B$33,MONTH(TIMELINE!AP7))</f>
        <v/>
      </c>
      <c r="AU16" s="31">
        <f>$D16        *(1+$E16)^((YEAR(TIMELINE!AQ7)-2025)+(MONTH(TIMELINE!AQ7)-1)/12)        /12        *INDEX(Assumptions_Commercial!$B$22:$B$33,MONTH(TIMELINE!AQ7))</f>
        <v/>
      </c>
      <c r="AV16" s="31">
        <f>$D16        *(1+$E16)^((YEAR(TIMELINE!AR7)-2025)+(MONTH(TIMELINE!AR7)-1)/12)        /12        *INDEX(Assumptions_Commercial!$B$22:$B$33,MONTH(TIMELINE!AR7))</f>
        <v/>
      </c>
      <c r="AW16" s="31">
        <f>$D16        *(1+$E16)^((YEAR(TIMELINE!AS7)-2025)+(MONTH(TIMELINE!AS7)-1)/12)        /12        *INDEX(Assumptions_Commercial!$B$22:$B$33,MONTH(TIMELINE!AS7))</f>
        <v/>
      </c>
      <c r="AX16" s="31">
        <f>$D16        *(1+$E16)^((YEAR(TIMELINE!AT7)-2025)+(MONTH(TIMELINE!AT7)-1)/12)        /12        *INDEX(Assumptions_Commercial!$B$22:$B$33,MONTH(TIMELINE!AT7))</f>
        <v/>
      </c>
      <c r="AY16" s="31">
        <f>$D16        *(1+$E16)^((YEAR(TIMELINE!AU7)-2025)+(MONTH(TIMELINE!AU7)-1)/12)        /12        *INDEX(Assumptions_Commercial!$B$22:$B$33,MONTH(TIMELINE!AU7))</f>
        <v/>
      </c>
      <c r="AZ16" s="31">
        <f>$D16        *(1+$E16)^((YEAR(TIMELINE!AV7)-2025)+(MONTH(TIMELINE!AV7)-1)/12)        /12        *INDEX(Assumptions_Commercial!$B$22:$B$33,MONTH(TIMELINE!AV7))</f>
        <v/>
      </c>
      <c r="BA16" s="31">
        <f>$D16        *(1+$E16)^((YEAR(TIMELINE!AW7)-2025)+(MONTH(TIMELINE!AW7)-1)/12)        /12        *INDEX(Assumptions_Commercial!$B$22:$B$33,MONTH(TIMELINE!AW7))</f>
        <v/>
      </c>
      <c r="BB16" s="31">
        <f>$D16        *(1+$E16)^((YEAR(TIMELINE!AX7)-2025)+(MONTH(TIMELINE!AX7)-1)/12)        /12        *INDEX(Assumptions_Commercial!$B$22:$B$33,MONTH(TIMELINE!AX7))</f>
        <v/>
      </c>
      <c r="BC16" s="31">
        <f>$D16        *(1+$E16)^((YEAR(TIMELINE!AY7)-2025)+(MONTH(TIMELINE!AY7)-1)/12)        /12        *INDEX(Assumptions_Commercial!$B$22:$B$33,MONTH(TIMELINE!AY7))</f>
        <v/>
      </c>
      <c r="BD16" s="31">
        <f>$D16        *(1+$E16)^((YEAR(TIMELINE!AZ7)-2025)+(MONTH(TIMELINE!AZ7)-1)/12)        /12        *INDEX(Assumptions_Commercial!$B$22:$B$33,MONTH(TIMELINE!AZ7))</f>
        <v/>
      </c>
      <c r="BE16" s="31">
        <f>$D16        *(1+$E16)^((YEAR(TIMELINE!BA7)-2025)+(MONTH(TIMELINE!BA7)-1)/12)        /12        *INDEX(Assumptions_Commercial!$B$22:$B$33,MONTH(TIMELINE!BA7))</f>
        <v/>
      </c>
      <c r="BF16" s="31">
        <f>$D16        *(1+$E16)^((YEAR(TIMELINE!BB7)-2025)+(MONTH(TIMELINE!BB7)-1)/12)        /12        *INDEX(Assumptions_Commercial!$B$22:$B$33,MONTH(TIMELINE!BB7))</f>
        <v/>
      </c>
      <c r="BG16" s="31">
        <f>$D16        *(1+$E16)^((YEAR(TIMELINE!BC7)-2025)+(MONTH(TIMELINE!BC7)-1)/12)        /12        *INDEX(Assumptions_Commercial!$B$22:$B$33,MONTH(TIMELINE!BC7))</f>
        <v/>
      </c>
      <c r="BH16" s="31">
        <f>$D16        *(1+$E16)^((YEAR(TIMELINE!BD7)-2025)+(MONTH(TIMELINE!BD7)-1)/12)        /12        *INDEX(Assumptions_Commercial!$B$22:$B$33,MONTH(TIMELINE!BD7))</f>
        <v/>
      </c>
      <c r="BI16" s="31">
        <f>$D16        *(1+$E16)^((YEAR(TIMELINE!BE7)-2025)+(MONTH(TIMELINE!BE7)-1)/12)        /12        *INDEX(Assumptions_Commercial!$B$22:$B$33,MONTH(TIMELINE!BE7))</f>
        <v/>
      </c>
      <c r="BJ16" s="31">
        <f>$D16        *(1+$E16)^((YEAR(TIMELINE!BF7)-2025)+(MONTH(TIMELINE!BF7)-1)/12)        /12        *INDEX(Assumptions_Commercial!$B$22:$B$33,MONTH(TIMELINE!BF7))</f>
        <v/>
      </c>
      <c r="BK16" s="31">
        <f>$D16        *(1+$E16)^((YEAR(TIMELINE!BG7)-2025)+(MONTH(TIMELINE!BG7)-1)/12)        /12        *INDEX(Assumptions_Commercial!$B$22:$B$33,MONTH(TIMELINE!BG7))</f>
        <v/>
      </c>
      <c r="BL16" s="31">
        <f>$D16        *(1+$E16)^((YEAR(TIMELINE!BH7)-2025)+(MONTH(TIMELINE!BH7)-1)/12)        /12        *INDEX(Assumptions_Commercial!$B$22:$B$33,MONTH(TIMELINE!BH7))</f>
        <v/>
      </c>
      <c r="BM16" s="31">
        <f>$D16        *(1+$E16)^((YEAR(TIMELINE!BI7)-2025)+(MONTH(TIMELINE!BI7)-1)/12)        /12        *INDEX(Assumptions_Commercial!$B$22:$B$33,MONTH(TIMELINE!BI7))</f>
        <v/>
      </c>
      <c r="BN16" s="31">
        <f>$D16        *(1+$E16)^((YEAR(TIMELINE!BJ7)-2025)+(MONTH(TIMELINE!BJ7)-1)/12)        /12        *INDEX(Assumptions_Commercial!$B$22:$B$33,MONTH(TIMELINE!BJ7))</f>
        <v/>
      </c>
      <c r="BO16" s="31">
        <f>$D16        *(1+$E16)^((YEAR(TIMELINE!BK7)-2025)+(MONTH(TIMELINE!BK7)-1)/12)        /12        *INDEX(Assumptions_Commercial!$B$22:$B$33,MONTH(TIMELINE!BK7))</f>
        <v/>
      </c>
      <c r="BP16" s="31">
        <f>$D16        *(1+$E16)^((YEAR(TIMELINE!BL7)-2025)+(MONTH(TIMELINE!BL7)-1)/12)        /12        *INDEX(Assumptions_Commercial!$B$22:$B$33,MONTH(TIMELINE!BL7))</f>
        <v/>
      </c>
      <c r="BQ16" s="31">
        <f>$D16        *(1+$E16)^((YEAR(TIMELINE!BM7)-2025)+(MONTH(TIMELINE!BM7)-1)/12)        /12        *INDEX(Assumptions_Commercial!$B$22:$B$33,MONTH(TIMELINE!BM7))</f>
        <v/>
      </c>
      <c r="BR16" s="31">
        <f>$D16        *(1+$E16)^((YEAR(TIMELINE!BN7)-2025)+(MONTH(TIMELINE!BN7)-1)/12)        /12        *INDEX(Assumptions_Commercial!$B$22:$B$33,MONTH(TIMELINE!BN7))</f>
        <v/>
      </c>
      <c r="BS16" s="31">
        <f>$D16        *(1+$E16)^((YEAR(TIMELINE!BO7)-2025)+(MONTH(TIMELINE!BO7)-1)/12)        /12        *INDEX(Assumptions_Commercial!$B$22:$B$33,MONTH(TIMELINE!BO7))</f>
        <v/>
      </c>
      <c r="BT16" s="31">
        <f>$D16        *(1+$E16)^((YEAR(TIMELINE!BP7)-2025)+(MONTH(TIMELINE!BP7)-1)/12)        /12        *INDEX(Assumptions_Commercial!$B$22:$B$33,MONTH(TIMELINE!BP7))</f>
        <v/>
      </c>
      <c r="BU16" s="31">
        <f>$D16        *(1+$E16)^((YEAR(TIMELINE!BQ7)-2025)+(MONTH(TIMELINE!BQ7)-1)/12)        /12        *INDEX(Assumptions_Commercial!$B$22:$B$33,MONTH(TIMELINE!BQ7))</f>
        <v/>
      </c>
      <c r="BV16" s="31">
        <f>$D16        *(1+$E16)^((YEAR(TIMELINE!BR7)-2025)+(MONTH(TIMELINE!BR7)-1)/12)        /12        *INDEX(Assumptions_Commercial!$B$22:$B$33,MONTH(TIMELINE!BR7))</f>
        <v/>
      </c>
      <c r="BW16" s="31">
        <f>$D16        *(1+$E16)^((YEAR(TIMELINE!BS7)-2025)+(MONTH(TIMELINE!BS7)-1)/12)        /12        *INDEX(Assumptions_Commercial!$B$22:$B$33,MONTH(TIMELINE!BS7))</f>
        <v/>
      </c>
      <c r="BX16" s="31">
        <f>$D16        *(1+$E16)^((YEAR(TIMELINE!BT7)-2025)+(MONTH(TIMELINE!BT7)-1)/12)        /12        *INDEX(Assumptions_Commercial!$B$22:$B$33,MONTH(TIMELINE!BT7))</f>
        <v/>
      </c>
      <c r="BY16" s="31">
        <f>$D16        *(1+$E16)^((YEAR(TIMELINE!BU7)-2025)+(MONTH(TIMELINE!BU7)-1)/12)        /12        *INDEX(Assumptions_Commercial!$B$22:$B$33,MONTH(TIMELINE!BU7))</f>
        <v/>
      </c>
      <c r="BZ16" s="31">
        <f>$D16        *(1+$E16)^((YEAR(TIMELINE!BV7)-2025)+(MONTH(TIMELINE!BV7)-1)/12)        /12        *INDEX(Assumptions_Commercial!$B$22:$B$33,MONTH(TIMELINE!BV7))</f>
        <v/>
      </c>
      <c r="CA16" s="31">
        <f>$D16        *(1+$E16)^((YEAR(TIMELINE!BW7)-2025)+(MONTH(TIMELINE!BW7)-1)/12)        /12        *INDEX(Assumptions_Commercial!$B$22:$B$33,MONTH(TIMELINE!BW7))</f>
        <v/>
      </c>
      <c r="CB16" s="31">
        <f>$D16        *(1+$E16)^((YEAR(TIMELINE!BX7)-2025)+(MONTH(TIMELINE!BX7)-1)/12)        /12        *INDEX(Assumptions_Commercial!$B$22:$B$33,MONTH(TIMELINE!BX7))</f>
        <v/>
      </c>
      <c r="CC16" s="31">
        <f>$D16        *(1+$E16)^((YEAR(TIMELINE!BY7)-2025)+(MONTH(TIMELINE!BY7)-1)/12)        /12        *INDEX(Assumptions_Commercial!$B$22:$B$33,MONTH(TIMELINE!BY7))</f>
        <v/>
      </c>
      <c r="CD16" s="31">
        <f>$D16        *(1+$E16)^((YEAR(TIMELINE!BZ7)-2025)+(MONTH(TIMELINE!BZ7)-1)/12)        /12        *INDEX(Assumptions_Commercial!$B$22:$B$33,MONTH(TIMELINE!BZ7))</f>
        <v/>
      </c>
      <c r="CE16" s="31">
        <f>$D16        *(1+$E16)^((YEAR(TIMELINE!CA7)-2025)+(MONTH(TIMELINE!CA7)-1)/12)        /12        *INDEX(Assumptions_Commercial!$B$22:$B$33,MONTH(TIMELINE!CA7))</f>
        <v/>
      </c>
      <c r="CF16" s="31">
        <f>$D16        *(1+$E16)^((YEAR(TIMELINE!CB7)-2025)+(MONTH(TIMELINE!CB7)-1)/12)        /12        *INDEX(Assumptions_Commercial!$B$22:$B$33,MONTH(TIMELINE!CB7))</f>
        <v/>
      </c>
      <c r="CG16" s="31">
        <f>$D16        *(1+$E16)^((YEAR(TIMELINE!CC7)-2025)+(MONTH(TIMELINE!CC7)-1)/12)        /12        *INDEX(Assumptions_Commercial!$B$22:$B$33,MONTH(TIMELINE!CC7))</f>
        <v/>
      </c>
      <c r="CH16" s="31">
        <f>$D16        *(1+$E16)^((YEAR(TIMELINE!CD7)-2025)+(MONTH(TIMELINE!CD7)-1)/12)        /12        *INDEX(Assumptions_Commercial!$B$22:$B$33,MONTH(TIMELINE!CD7))</f>
        <v/>
      </c>
      <c r="CI16" s="31">
        <f>$D16        *(1+$E16)^((YEAR(TIMELINE!CE7)-2025)+(MONTH(TIMELINE!CE7)-1)/12)        /12        *INDEX(Assumptions_Commercial!$B$22:$B$33,MONTH(TIMELINE!CE7))</f>
        <v/>
      </c>
      <c r="CJ16" s="31">
        <f>$D16        *(1+$E16)^((YEAR(TIMELINE!CF7)-2025)+(MONTH(TIMELINE!CF7)-1)/12)        /12        *INDEX(Assumptions_Commercial!$B$22:$B$33,MONTH(TIMELINE!CF7))</f>
        <v/>
      </c>
      <c r="CK16" s="31">
        <f>$D16        *(1+$E16)^((YEAR(TIMELINE!CG7)-2025)+(MONTH(TIMELINE!CG7)-1)/12)        /12        *INDEX(Assumptions_Commercial!$B$22:$B$33,MONTH(TIMELINE!CG7))</f>
        <v/>
      </c>
      <c r="CL16" s="31">
        <f>$D16        *(1+$E16)^((YEAR(TIMELINE!CH7)-2025)+(MONTH(TIMELINE!CH7)-1)/12)        /12        *INDEX(Assumptions_Commercial!$B$22:$B$33,MONTH(TIMELINE!CH7))</f>
        <v/>
      </c>
      <c r="CM16" s="31">
        <f>$D16        *(1+$E16)^((YEAR(TIMELINE!CI7)-2025)+(MONTH(TIMELINE!CI7)-1)/12)        /12        *INDEX(Assumptions_Commercial!$B$22:$B$33,MONTH(TIMELINE!CI7))</f>
        <v/>
      </c>
      <c r="CN16" s="31">
        <f>$D16        *(1+$E16)^((YEAR(TIMELINE!CJ7)-2025)+(MONTH(TIMELINE!CJ7)-1)/12)        /12        *INDEX(Assumptions_Commercial!$B$22:$B$33,MONTH(TIMELINE!CJ7))</f>
        <v/>
      </c>
      <c r="CO16" s="31">
        <f>$D16        *(1+$E16)^((YEAR(TIMELINE!CK7)-2025)+(MONTH(TIMELINE!CK7)-1)/12)        /12        *INDEX(Assumptions_Commercial!$B$22:$B$33,MONTH(TIMELINE!CK7))</f>
        <v/>
      </c>
      <c r="CP16" s="31">
        <f>$D16        *(1+$E16)^((YEAR(TIMELINE!CL7)-2025)+(MONTH(TIMELINE!CL7)-1)/12)        /12        *INDEX(Assumptions_Commercial!$B$22:$B$33,MONTH(TIMELINE!CL7))</f>
        <v/>
      </c>
      <c r="CQ16" s="31">
        <f>$D16        *(1+$E16)^((YEAR(TIMELINE!CM7)-2025)+(MONTH(TIMELINE!CM7)-1)/12)        /12        *INDEX(Assumptions_Commercial!$B$22:$B$33,MONTH(TIMELINE!CM7))</f>
        <v/>
      </c>
      <c r="CR16" s="31">
        <f>$D16        *(1+$E16)^((YEAR(TIMELINE!CN7)-2025)+(MONTH(TIMELINE!CN7)-1)/12)        /12        *INDEX(Assumptions_Commercial!$B$22:$B$33,MONTH(TIMELINE!CN7))</f>
        <v/>
      </c>
      <c r="CS16" s="31">
        <f>$D16        *(1+$E16)^((YEAR(TIMELINE!CO7)-2025)+(MONTH(TIMELINE!CO7)-1)/12)        /12        *INDEX(Assumptions_Commercial!$B$22:$B$33,MONTH(TIMELINE!CO7))</f>
        <v/>
      </c>
      <c r="CT16" s="31">
        <f>$D16        *(1+$E16)^((YEAR(TIMELINE!CP7)-2025)+(MONTH(TIMELINE!CP7)-1)/12)        /12        *INDEX(Assumptions_Commercial!$B$22:$B$33,MONTH(TIMELINE!CP7))</f>
        <v/>
      </c>
      <c r="CU16" s="31">
        <f>$D16        *(1+$E16)^((YEAR(TIMELINE!CQ7)-2025)+(MONTH(TIMELINE!CQ7)-1)/12)        /12        *INDEX(Assumptions_Commercial!$B$22:$B$33,MONTH(TIMELINE!CQ7))</f>
        <v/>
      </c>
      <c r="CV16" s="31">
        <f>$D16        *(1+$E16)^((YEAR(TIMELINE!CR7)-2025)+(MONTH(TIMELINE!CR7)-1)/12)        /12        *INDEX(Assumptions_Commercial!$B$22:$B$33,MONTH(TIMELINE!CR7))</f>
        <v/>
      </c>
      <c r="CW16" s="31">
        <f>$D16        *(1+$E16)^((YEAR(TIMELINE!CS7)-2025)+(MONTH(TIMELINE!CS7)-1)/12)        /12        *INDEX(Assumptions_Commercial!$B$22:$B$33,MONTH(TIMELINE!CS7))</f>
        <v/>
      </c>
      <c r="CX16" s="31">
        <f>$D16        *(1+$E16)^((YEAR(TIMELINE!CT7)-2025)+(MONTH(TIMELINE!CT7)-1)/12)        /12        *INDEX(Assumptions_Commercial!$B$22:$B$33,MONTH(TIMELINE!CT7))</f>
        <v/>
      </c>
      <c r="CY16" s="31">
        <f>$D16        *(1+$E16)^((YEAR(TIMELINE!CU7)-2025)+(MONTH(TIMELINE!CU7)-1)/12)        /12        *INDEX(Assumptions_Commercial!$B$22:$B$33,MONTH(TIMELINE!CU7))</f>
        <v/>
      </c>
      <c r="CZ16" s="31">
        <f>$D16        *(1+$E16)^((YEAR(TIMELINE!CV7)-2025)+(MONTH(TIMELINE!CV7)-1)/12)        /12        *INDEX(Assumptions_Commercial!$B$22:$B$33,MONTH(TIMELINE!CV7))</f>
        <v/>
      </c>
      <c r="DA16" s="31">
        <f>$D16        *(1+$E16)^((YEAR(TIMELINE!CW7)-2025)+(MONTH(TIMELINE!CW7)-1)/12)        /12        *INDEX(Assumptions_Commercial!$B$22:$B$33,MONTH(TIMELINE!CW7))</f>
        <v/>
      </c>
      <c r="DB16" s="31">
        <f>$D16        *(1+$E16)^((YEAR(TIMELINE!CX7)-2025)+(MONTH(TIMELINE!CX7)-1)/12)        /12        *INDEX(Assumptions_Commercial!$B$22:$B$33,MONTH(TIMELINE!CX7))</f>
        <v/>
      </c>
      <c r="DC16" s="31">
        <f>$D16        *(1+$E16)^((YEAR(TIMELINE!CY7)-2025)+(MONTH(TIMELINE!CY7)-1)/12)        /12        *INDEX(Assumptions_Commercial!$B$22:$B$33,MONTH(TIMELINE!CY7))</f>
        <v/>
      </c>
      <c r="DD16" s="31">
        <f>$D16        *(1+$E16)^((YEAR(TIMELINE!CZ7)-2025)+(MONTH(TIMELINE!CZ7)-1)/12)        /12        *INDEX(Assumptions_Commercial!$B$22:$B$33,MONTH(TIMELINE!CZ7))</f>
        <v/>
      </c>
      <c r="DE16" s="31">
        <f>$D16        *(1+$E16)^((YEAR(TIMELINE!DA7)-2025)+(MONTH(TIMELINE!DA7)-1)/12)        /12        *INDEX(Assumptions_Commercial!$B$22:$B$33,MONTH(TIMELINE!DA7))</f>
        <v/>
      </c>
      <c r="DF16" s="31">
        <f>$D16        *(1+$E16)^((YEAR(TIMELINE!DB7)-2025)+(MONTH(TIMELINE!DB7)-1)/12)        /12        *INDEX(Assumptions_Commercial!$B$22:$B$33,MONTH(TIMELINE!DB7))</f>
        <v/>
      </c>
      <c r="DG16" s="31">
        <f>$D16        *(1+$E16)^((YEAR(TIMELINE!DC7)-2025)+(MONTH(TIMELINE!DC7)-1)/12)        /12        *INDEX(Assumptions_Commercial!$B$22:$B$33,MONTH(TIMELINE!DC7))</f>
        <v/>
      </c>
      <c r="DH16" s="31">
        <f>$D16        *(1+$E16)^((YEAR(TIMELINE!DD7)-2025)+(MONTH(TIMELINE!DD7)-1)/12)        /12        *INDEX(Assumptions_Commercial!$B$22:$B$33,MONTH(TIMELINE!DD7))</f>
        <v/>
      </c>
      <c r="DI16" s="31">
        <f>$D16        *(1+$E16)^((YEAR(TIMELINE!DE7)-2025)+(MONTH(TIMELINE!DE7)-1)/12)        /12        *INDEX(Assumptions_Commercial!$B$22:$B$33,MONTH(TIMELINE!DE7))</f>
        <v/>
      </c>
      <c r="DJ16" s="31">
        <f>$D16        *(1+$E16)^((YEAR(TIMELINE!DF7)-2025)+(MONTH(TIMELINE!DF7)-1)/12)        /12        *INDEX(Assumptions_Commercial!$B$22:$B$33,MONTH(TIMELINE!DF7))</f>
        <v/>
      </c>
      <c r="DK16" s="31">
        <f>$D16        *(1+$E16)^((YEAR(TIMELINE!DG7)-2025)+(MONTH(TIMELINE!DG7)-1)/12)        /12        *INDEX(Assumptions_Commercial!$B$22:$B$33,MONTH(TIMELINE!DG7))</f>
        <v/>
      </c>
      <c r="DL16" s="31">
        <f>$D16        *(1+$E16)^((YEAR(TIMELINE!DH7)-2025)+(MONTH(TIMELINE!DH7)-1)/12)        /12        *INDEX(Assumptions_Commercial!$B$22:$B$33,MONTH(TIMELINE!DH7))</f>
        <v/>
      </c>
      <c r="DM16" s="31">
        <f>$D16        *(1+$E16)^((YEAR(TIMELINE!DI7)-2025)+(MONTH(TIMELINE!DI7)-1)/12)        /12        *INDEX(Assumptions_Commercial!$B$22:$B$33,MONTH(TIMELINE!DI7))</f>
        <v/>
      </c>
      <c r="DN16" s="31">
        <f>$D16        *(1+$E16)^((YEAR(TIMELINE!DJ7)-2025)+(MONTH(TIMELINE!DJ7)-1)/12)        /12        *INDEX(Assumptions_Commercial!$B$22:$B$33,MONTH(TIMELINE!DJ7))</f>
        <v/>
      </c>
      <c r="DO16" s="31">
        <f>$D16        *(1+$E16)^((YEAR(TIMELINE!DK7)-2025)+(MONTH(TIMELINE!DK7)-1)/12)        /12        *INDEX(Assumptions_Commercial!$B$22:$B$33,MONTH(TIMELINE!DK7))</f>
        <v/>
      </c>
      <c r="DP16" s="31">
        <f>$D16        *(1+$E16)^((YEAR(TIMELINE!DL7)-2025)+(MONTH(TIMELINE!DL7)-1)/12)        /12        *INDEX(Assumptions_Commercial!$B$22:$B$33,MONTH(TIMELINE!DL7))</f>
        <v/>
      </c>
      <c r="DQ16" s="31">
        <f>$D16        *(1+$E16)^((YEAR(TIMELINE!DM7)-2025)+(MONTH(TIMELINE!DM7)-1)/12)        /12        *INDEX(Assumptions_Commercial!$B$22:$B$33,MONTH(TIMELINE!DM7))</f>
        <v/>
      </c>
      <c r="DR16" s="31">
        <f>$D16        *(1+$E16)^((YEAR(TIMELINE!DN7)-2025)+(MONTH(TIMELINE!DN7)-1)/12)        /12        *INDEX(Assumptions_Commercial!$B$22:$B$33,MONTH(TIMELINE!DN7))</f>
        <v/>
      </c>
      <c r="DS16" s="31">
        <f>$D16        *(1+$E16)^((YEAR(TIMELINE!DO7)-2025)+(MONTH(TIMELINE!DO7)-1)/12)        /12        *INDEX(Assumptions_Commercial!$B$22:$B$33,MONTH(TIMELINE!DO7))</f>
        <v/>
      </c>
      <c r="DT16" s="31">
        <f>$D16        *(1+$E16)^((YEAR(TIMELINE!DP7)-2025)+(MONTH(TIMELINE!DP7)-1)/12)        /12        *INDEX(Assumptions_Commercial!$B$22:$B$33,MONTH(TIMELINE!DP7))</f>
        <v/>
      </c>
      <c r="DU16" s="31">
        <f>$D16        *(1+$E16)^((YEAR(TIMELINE!DQ7)-2025)+(MONTH(TIMELINE!DQ7)-1)/12)        /12        *INDEX(Assumptions_Commercial!$B$22:$B$33,MONTH(TIMELINE!DQ7))</f>
        <v/>
      </c>
    </row>
    <row r="17">
      <c r="A17" t="inlineStr">
        <is>
          <t>SKU-01</t>
        </is>
      </c>
      <c r="B17" t="inlineStr">
        <is>
          <t>Off-Trade</t>
        </is>
      </c>
      <c r="C17" t="inlineStr">
        <is>
          <t>NZ</t>
        </is>
      </c>
      <c r="D17" s="14" t="n">
        <v>18000</v>
      </c>
      <c r="E17" s="30">
        <f>INDEX(Assumptions_Commercial!$B$6:$D$6,CONTROL!$B$5)</f>
        <v/>
      </c>
      <c r="F17" s="31">
        <f>$D17        *(1+$E17)^((YEAR(TIMELINE!B7)-2025)+(MONTH(TIMELINE!B7)-1)/12)        /12        *INDEX(Assumptions_Commercial!$B$22:$B$33,MONTH(TIMELINE!B7))</f>
        <v/>
      </c>
      <c r="G17" s="31">
        <f>$D17        *(1+$E17)^((YEAR(TIMELINE!C7)-2025)+(MONTH(TIMELINE!C7)-1)/12)        /12        *INDEX(Assumptions_Commercial!$B$22:$B$33,MONTH(TIMELINE!C7))</f>
        <v/>
      </c>
      <c r="H17" s="31">
        <f>$D17        *(1+$E17)^((YEAR(TIMELINE!D7)-2025)+(MONTH(TIMELINE!D7)-1)/12)        /12        *INDEX(Assumptions_Commercial!$B$22:$B$33,MONTH(TIMELINE!D7))</f>
        <v/>
      </c>
      <c r="I17" s="31">
        <f>$D17        *(1+$E17)^((YEAR(TIMELINE!E7)-2025)+(MONTH(TIMELINE!E7)-1)/12)        /12        *INDEX(Assumptions_Commercial!$B$22:$B$33,MONTH(TIMELINE!E7))</f>
        <v/>
      </c>
      <c r="J17" s="31">
        <f>$D17        *(1+$E17)^((YEAR(TIMELINE!F7)-2025)+(MONTH(TIMELINE!F7)-1)/12)        /12        *INDEX(Assumptions_Commercial!$B$22:$B$33,MONTH(TIMELINE!F7))</f>
        <v/>
      </c>
      <c r="K17" s="31">
        <f>$D17        *(1+$E17)^((YEAR(TIMELINE!G7)-2025)+(MONTH(TIMELINE!G7)-1)/12)        /12        *INDEX(Assumptions_Commercial!$B$22:$B$33,MONTH(TIMELINE!G7))</f>
        <v/>
      </c>
      <c r="L17" s="31">
        <f>$D17        *(1+$E17)^((YEAR(TIMELINE!H7)-2025)+(MONTH(TIMELINE!H7)-1)/12)        /12        *INDEX(Assumptions_Commercial!$B$22:$B$33,MONTH(TIMELINE!H7))</f>
        <v/>
      </c>
      <c r="M17" s="31">
        <f>$D17        *(1+$E17)^((YEAR(TIMELINE!I7)-2025)+(MONTH(TIMELINE!I7)-1)/12)        /12        *INDEX(Assumptions_Commercial!$B$22:$B$33,MONTH(TIMELINE!I7))</f>
        <v/>
      </c>
      <c r="N17" s="31">
        <f>$D17        *(1+$E17)^((YEAR(TIMELINE!J7)-2025)+(MONTH(TIMELINE!J7)-1)/12)        /12        *INDEX(Assumptions_Commercial!$B$22:$B$33,MONTH(TIMELINE!J7))</f>
        <v/>
      </c>
      <c r="O17" s="31">
        <f>$D17        *(1+$E17)^((YEAR(TIMELINE!K7)-2025)+(MONTH(TIMELINE!K7)-1)/12)        /12        *INDEX(Assumptions_Commercial!$B$22:$B$33,MONTH(TIMELINE!K7))</f>
        <v/>
      </c>
      <c r="P17" s="31">
        <f>$D17        *(1+$E17)^((YEAR(TIMELINE!L7)-2025)+(MONTH(TIMELINE!L7)-1)/12)        /12        *INDEX(Assumptions_Commercial!$B$22:$B$33,MONTH(TIMELINE!L7))</f>
        <v/>
      </c>
      <c r="Q17" s="31">
        <f>$D17        *(1+$E17)^((YEAR(TIMELINE!M7)-2025)+(MONTH(TIMELINE!M7)-1)/12)        /12        *INDEX(Assumptions_Commercial!$B$22:$B$33,MONTH(TIMELINE!M7))</f>
        <v/>
      </c>
      <c r="R17" s="31">
        <f>$D17        *(1+$E17)^((YEAR(TIMELINE!N7)-2025)+(MONTH(TIMELINE!N7)-1)/12)        /12        *INDEX(Assumptions_Commercial!$B$22:$B$33,MONTH(TIMELINE!N7))</f>
        <v/>
      </c>
      <c r="S17" s="31">
        <f>$D17        *(1+$E17)^((YEAR(TIMELINE!O7)-2025)+(MONTH(TIMELINE!O7)-1)/12)        /12        *INDEX(Assumptions_Commercial!$B$22:$B$33,MONTH(TIMELINE!O7))</f>
        <v/>
      </c>
      <c r="T17" s="31">
        <f>$D17        *(1+$E17)^((YEAR(TIMELINE!P7)-2025)+(MONTH(TIMELINE!P7)-1)/12)        /12        *INDEX(Assumptions_Commercial!$B$22:$B$33,MONTH(TIMELINE!P7))</f>
        <v/>
      </c>
      <c r="U17" s="31">
        <f>$D17        *(1+$E17)^((YEAR(TIMELINE!Q7)-2025)+(MONTH(TIMELINE!Q7)-1)/12)        /12        *INDEX(Assumptions_Commercial!$B$22:$B$33,MONTH(TIMELINE!Q7))</f>
        <v/>
      </c>
      <c r="V17" s="31">
        <f>$D17        *(1+$E17)^((YEAR(TIMELINE!R7)-2025)+(MONTH(TIMELINE!R7)-1)/12)        /12        *INDEX(Assumptions_Commercial!$B$22:$B$33,MONTH(TIMELINE!R7))</f>
        <v/>
      </c>
      <c r="W17" s="31">
        <f>$D17        *(1+$E17)^((YEAR(TIMELINE!S7)-2025)+(MONTH(TIMELINE!S7)-1)/12)        /12        *INDEX(Assumptions_Commercial!$B$22:$B$33,MONTH(TIMELINE!S7))</f>
        <v/>
      </c>
      <c r="X17" s="31">
        <f>$D17        *(1+$E17)^((YEAR(TIMELINE!T7)-2025)+(MONTH(TIMELINE!T7)-1)/12)        /12        *INDEX(Assumptions_Commercial!$B$22:$B$33,MONTH(TIMELINE!T7))</f>
        <v/>
      </c>
      <c r="Y17" s="31">
        <f>$D17        *(1+$E17)^((YEAR(TIMELINE!U7)-2025)+(MONTH(TIMELINE!U7)-1)/12)        /12        *INDEX(Assumptions_Commercial!$B$22:$B$33,MONTH(TIMELINE!U7))</f>
        <v/>
      </c>
      <c r="Z17" s="31">
        <f>$D17        *(1+$E17)^((YEAR(TIMELINE!V7)-2025)+(MONTH(TIMELINE!V7)-1)/12)        /12        *INDEX(Assumptions_Commercial!$B$22:$B$33,MONTH(TIMELINE!V7))</f>
        <v/>
      </c>
      <c r="AA17" s="31">
        <f>$D17        *(1+$E17)^((YEAR(TIMELINE!W7)-2025)+(MONTH(TIMELINE!W7)-1)/12)        /12        *INDEX(Assumptions_Commercial!$B$22:$B$33,MONTH(TIMELINE!W7))</f>
        <v/>
      </c>
      <c r="AB17" s="31">
        <f>$D17        *(1+$E17)^((YEAR(TIMELINE!X7)-2025)+(MONTH(TIMELINE!X7)-1)/12)        /12        *INDEX(Assumptions_Commercial!$B$22:$B$33,MONTH(TIMELINE!X7))</f>
        <v/>
      </c>
      <c r="AC17" s="31">
        <f>$D17        *(1+$E17)^((YEAR(TIMELINE!Y7)-2025)+(MONTH(TIMELINE!Y7)-1)/12)        /12        *INDEX(Assumptions_Commercial!$B$22:$B$33,MONTH(TIMELINE!Y7))</f>
        <v/>
      </c>
      <c r="AD17" s="31">
        <f>$D17        *(1+$E17)^((YEAR(TIMELINE!Z7)-2025)+(MONTH(TIMELINE!Z7)-1)/12)        /12        *INDEX(Assumptions_Commercial!$B$22:$B$33,MONTH(TIMELINE!Z7))</f>
        <v/>
      </c>
      <c r="AE17" s="31">
        <f>$D17        *(1+$E17)^((YEAR(TIMELINE!AA7)-2025)+(MONTH(TIMELINE!AA7)-1)/12)        /12        *INDEX(Assumptions_Commercial!$B$22:$B$33,MONTH(TIMELINE!AA7))</f>
        <v/>
      </c>
      <c r="AF17" s="31">
        <f>$D17        *(1+$E17)^((YEAR(TIMELINE!AB7)-2025)+(MONTH(TIMELINE!AB7)-1)/12)        /12        *INDEX(Assumptions_Commercial!$B$22:$B$33,MONTH(TIMELINE!AB7))</f>
        <v/>
      </c>
      <c r="AG17" s="31">
        <f>$D17        *(1+$E17)^((YEAR(TIMELINE!AC7)-2025)+(MONTH(TIMELINE!AC7)-1)/12)        /12        *INDEX(Assumptions_Commercial!$B$22:$B$33,MONTH(TIMELINE!AC7))</f>
        <v/>
      </c>
      <c r="AH17" s="31">
        <f>$D17        *(1+$E17)^((YEAR(TIMELINE!AD7)-2025)+(MONTH(TIMELINE!AD7)-1)/12)        /12        *INDEX(Assumptions_Commercial!$B$22:$B$33,MONTH(TIMELINE!AD7))</f>
        <v/>
      </c>
      <c r="AI17" s="31">
        <f>$D17        *(1+$E17)^((YEAR(TIMELINE!AE7)-2025)+(MONTH(TIMELINE!AE7)-1)/12)        /12        *INDEX(Assumptions_Commercial!$B$22:$B$33,MONTH(TIMELINE!AE7))</f>
        <v/>
      </c>
      <c r="AJ17" s="31">
        <f>$D17        *(1+$E17)^((YEAR(TIMELINE!AF7)-2025)+(MONTH(TIMELINE!AF7)-1)/12)        /12        *INDEX(Assumptions_Commercial!$B$22:$B$33,MONTH(TIMELINE!AF7))</f>
        <v/>
      </c>
      <c r="AK17" s="31">
        <f>$D17        *(1+$E17)^((YEAR(TIMELINE!AG7)-2025)+(MONTH(TIMELINE!AG7)-1)/12)        /12        *INDEX(Assumptions_Commercial!$B$22:$B$33,MONTH(TIMELINE!AG7))</f>
        <v/>
      </c>
      <c r="AL17" s="31">
        <f>$D17        *(1+$E17)^((YEAR(TIMELINE!AH7)-2025)+(MONTH(TIMELINE!AH7)-1)/12)        /12        *INDEX(Assumptions_Commercial!$B$22:$B$33,MONTH(TIMELINE!AH7))</f>
        <v/>
      </c>
      <c r="AM17" s="31">
        <f>$D17        *(1+$E17)^((YEAR(TIMELINE!AI7)-2025)+(MONTH(TIMELINE!AI7)-1)/12)        /12        *INDEX(Assumptions_Commercial!$B$22:$B$33,MONTH(TIMELINE!AI7))</f>
        <v/>
      </c>
      <c r="AN17" s="31">
        <f>$D17        *(1+$E17)^((YEAR(TIMELINE!AJ7)-2025)+(MONTH(TIMELINE!AJ7)-1)/12)        /12        *INDEX(Assumptions_Commercial!$B$22:$B$33,MONTH(TIMELINE!AJ7))</f>
        <v/>
      </c>
      <c r="AO17" s="31">
        <f>$D17        *(1+$E17)^((YEAR(TIMELINE!AK7)-2025)+(MONTH(TIMELINE!AK7)-1)/12)        /12        *INDEX(Assumptions_Commercial!$B$22:$B$33,MONTH(TIMELINE!AK7))</f>
        <v/>
      </c>
      <c r="AP17" s="31">
        <f>$D17        *(1+$E17)^((YEAR(TIMELINE!AL7)-2025)+(MONTH(TIMELINE!AL7)-1)/12)        /12        *INDEX(Assumptions_Commercial!$B$22:$B$33,MONTH(TIMELINE!AL7))</f>
        <v/>
      </c>
      <c r="AQ17" s="31">
        <f>$D17        *(1+$E17)^((YEAR(TIMELINE!AM7)-2025)+(MONTH(TIMELINE!AM7)-1)/12)        /12        *INDEX(Assumptions_Commercial!$B$22:$B$33,MONTH(TIMELINE!AM7))</f>
        <v/>
      </c>
      <c r="AR17" s="31">
        <f>$D17        *(1+$E17)^((YEAR(TIMELINE!AN7)-2025)+(MONTH(TIMELINE!AN7)-1)/12)        /12        *INDEX(Assumptions_Commercial!$B$22:$B$33,MONTH(TIMELINE!AN7))</f>
        <v/>
      </c>
      <c r="AS17" s="31">
        <f>$D17        *(1+$E17)^((YEAR(TIMELINE!AO7)-2025)+(MONTH(TIMELINE!AO7)-1)/12)        /12        *INDEX(Assumptions_Commercial!$B$22:$B$33,MONTH(TIMELINE!AO7))</f>
        <v/>
      </c>
      <c r="AT17" s="31">
        <f>$D17        *(1+$E17)^((YEAR(TIMELINE!AP7)-2025)+(MONTH(TIMELINE!AP7)-1)/12)        /12        *INDEX(Assumptions_Commercial!$B$22:$B$33,MONTH(TIMELINE!AP7))</f>
        <v/>
      </c>
      <c r="AU17" s="31">
        <f>$D17        *(1+$E17)^((YEAR(TIMELINE!AQ7)-2025)+(MONTH(TIMELINE!AQ7)-1)/12)        /12        *INDEX(Assumptions_Commercial!$B$22:$B$33,MONTH(TIMELINE!AQ7))</f>
        <v/>
      </c>
      <c r="AV17" s="31">
        <f>$D17        *(1+$E17)^((YEAR(TIMELINE!AR7)-2025)+(MONTH(TIMELINE!AR7)-1)/12)        /12        *INDEX(Assumptions_Commercial!$B$22:$B$33,MONTH(TIMELINE!AR7))</f>
        <v/>
      </c>
      <c r="AW17" s="31">
        <f>$D17        *(1+$E17)^((YEAR(TIMELINE!AS7)-2025)+(MONTH(TIMELINE!AS7)-1)/12)        /12        *INDEX(Assumptions_Commercial!$B$22:$B$33,MONTH(TIMELINE!AS7))</f>
        <v/>
      </c>
      <c r="AX17" s="31">
        <f>$D17        *(1+$E17)^((YEAR(TIMELINE!AT7)-2025)+(MONTH(TIMELINE!AT7)-1)/12)        /12        *INDEX(Assumptions_Commercial!$B$22:$B$33,MONTH(TIMELINE!AT7))</f>
        <v/>
      </c>
      <c r="AY17" s="31">
        <f>$D17        *(1+$E17)^((YEAR(TIMELINE!AU7)-2025)+(MONTH(TIMELINE!AU7)-1)/12)        /12        *INDEX(Assumptions_Commercial!$B$22:$B$33,MONTH(TIMELINE!AU7))</f>
        <v/>
      </c>
      <c r="AZ17" s="31">
        <f>$D17        *(1+$E17)^((YEAR(TIMELINE!AV7)-2025)+(MONTH(TIMELINE!AV7)-1)/12)        /12        *INDEX(Assumptions_Commercial!$B$22:$B$33,MONTH(TIMELINE!AV7))</f>
        <v/>
      </c>
      <c r="BA17" s="31">
        <f>$D17        *(1+$E17)^((YEAR(TIMELINE!AW7)-2025)+(MONTH(TIMELINE!AW7)-1)/12)        /12        *INDEX(Assumptions_Commercial!$B$22:$B$33,MONTH(TIMELINE!AW7))</f>
        <v/>
      </c>
      <c r="BB17" s="31">
        <f>$D17        *(1+$E17)^((YEAR(TIMELINE!AX7)-2025)+(MONTH(TIMELINE!AX7)-1)/12)        /12        *INDEX(Assumptions_Commercial!$B$22:$B$33,MONTH(TIMELINE!AX7))</f>
        <v/>
      </c>
      <c r="BC17" s="31">
        <f>$D17        *(1+$E17)^((YEAR(TIMELINE!AY7)-2025)+(MONTH(TIMELINE!AY7)-1)/12)        /12        *INDEX(Assumptions_Commercial!$B$22:$B$33,MONTH(TIMELINE!AY7))</f>
        <v/>
      </c>
      <c r="BD17" s="31">
        <f>$D17        *(1+$E17)^((YEAR(TIMELINE!AZ7)-2025)+(MONTH(TIMELINE!AZ7)-1)/12)        /12        *INDEX(Assumptions_Commercial!$B$22:$B$33,MONTH(TIMELINE!AZ7))</f>
        <v/>
      </c>
      <c r="BE17" s="31">
        <f>$D17        *(1+$E17)^((YEAR(TIMELINE!BA7)-2025)+(MONTH(TIMELINE!BA7)-1)/12)        /12        *INDEX(Assumptions_Commercial!$B$22:$B$33,MONTH(TIMELINE!BA7))</f>
        <v/>
      </c>
      <c r="BF17" s="31">
        <f>$D17        *(1+$E17)^((YEAR(TIMELINE!BB7)-2025)+(MONTH(TIMELINE!BB7)-1)/12)        /12        *INDEX(Assumptions_Commercial!$B$22:$B$33,MONTH(TIMELINE!BB7))</f>
        <v/>
      </c>
      <c r="BG17" s="31">
        <f>$D17        *(1+$E17)^((YEAR(TIMELINE!BC7)-2025)+(MONTH(TIMELINE!BC7)-1)/12)        /12        *INDEX(Assumptions_Commercial!$B$22:$B$33,MONTH(TIMELINE!BC7))</f>
        <v/>
      </c>
      <c r="BH17" s="31">
        <f>$D17        *(1+$E17)^((YEAR(TIMELINE!BD7)-2025)+(MONTH(TIMELINE!BD7)-1)/12)        /12        *INDEX(Assumptions_Commercial!$B$22:$B$33,MONTH(TIMELINE!BD7))</f>
        <v/>
      </c>
      <c r="BI17" s="31">
        <f>$D17        *(1+$E17)^((YEAR(TIMELINE!BE7)-2025)+(MONTH(TIMELINE!BE7)-1)/12)        /12        *INDEX(Assumptions_Commercial!$B$22:$B$33,MONTH(TIMELINE!BE7))</f>
        <v/>
      </c>
      <c r="BJ17" s="31">
        <f>$D17        *(1+$E17)^((YEAR(TIMELINE!BF7)-2025)+(MONTH(TIMELINE!BF7)-1)/12)        /12        *INDEX(Assumptions_Commercial!$B$22:$B$33,MONTH(TIMELINE!BF7))</f>
        <v/>
      </c>
      <c r="BK17" s="31">
        <f>$D17        *(1+$E17)^((YEAR(TIMELINE!BG7)-2025)+(MONTH(TIMELINE!BG7)-1)/12)        /12        *INDEX(Assumptions_Commercial!$B$22:$B$33,MONTH(TIMELINE!BG7))</f>
        <v/>
      </c>
      <c r="BL17" s="31">
        <f>$D17        *(1+$E17)^((YEAR(TIMELINE!BH7)-2025)+(MONTH(TIMELINE!BH7)-1)/12)        /12        *INDEX(Assumptions_Commercial!$B$22:$B$33,MONTH(TIMELINE!BH7))</f>
        <v/>
      </c>
      <c r="BM17" s="31">
        <f>$D17        *(1+$E17)^((YEAR(TIMELINE!BI7)-2025)+(MONTH(TIMELINE!BI7)-1)/12)        /12        *INDEX(Assumptions_Commercial!$B$22:$B$33,MONTH(TIMELINE!BI7))</f>
        <v/>
      </c>
      <c r="BN17" s="31">
        <f>$D17        *(1+$E17)^((YEAR(TIMELINE!BJ7)-2025)+(MONTH(TIMELINE!BJ7)-1)/12)        /12        *INDEX(Assumptions_Commercial!$B$22:$B$33,MONTH(TIMELINE!BJ7))</f>
        <v/>
      </c>
      <c r="BO17" s="31">
        <f>$D17        *(1+$E17)^((YEAR(TIMELINE!BK7)-2025)+(MONTH(TIMELINE!BK7)-1)/12)        /12        *INDEX(Assumptions_Commercial!$B$22:$B$33,MONTH(TIMELINE!BK7))</f>
        <v/>
      </c>
      <c r="BP17" s="31">
        <f>$D17        *(1+$E17)^((YEAR(TIMELINE!BL7)-2025)+(MONTH(TIMELINE!BL7)-1)/12)        /12        *INDEX(Assumptions_Commercial!$B$22:$B$33,MONTH(TIMELINE!BL7))</f>
        <v/>
      </c>
      <c r="BQ17" s="31">
        <f>$D17        *(1+$E17)^((YEAR(TIMELINE!BM7)-2025)+(MONTH(TIMELINE!BM7)-1)/12)        /12        *INDEX(Assumptions_Commercial!$B$22:$B$33,MONTH(TIMELINE!BM7))</f>
        <v/>
      </c>
      <c r="BR17" s="31">
        <f>$D17        *(1+$E17)^((YEAR(TIMELINE!BN7)-2025)+(MONTH(TIMELINE!BN7)-1)/12)        /12        *INDEX(Assumptions_Commercial!$B$22:$B$33,MONTH(TIMELINE!BN7))</f>
        <v/>
      </c>
      <c r="BS17" s="31">
        <f>$D17        *(1+$E17)^((YEAR(TIMELINE!BO7)-2025)+(MONTH(TIMELINE!BO7)-1)/12)        /12        *INDEX(Assumptions_Commercial!$B$22:$B$33,MONTH(TIMELINE!BO7))</f>
        <v/>
      </c>
      <c r="BT17" s="31">
        <f>$D17        *(1+$E17)^((YEAR(TIMELINE!BP7)-2025)+(MONTH(TIMELINE!BP7)-1)/12)        /12        *INDEX(Assumptions_Commercial!$B$22:$B$33,MONTH(TIMELINE!BP7))</f>
        <v/>
      </c>
      <c r="BU17" s="31">
        <f>$D17        *(1+$E17)^((YEAR(TIMELINE!BQ7)-2025)+(MONTH(TIMELINE!BQ7)-1)/12)        /12        *INDEX(Assumptions_Commercial!$B$22:$B$33,MONTH(TIMELINE!BQ7))</f>
        <v/>
      </c>
      <c r="BV17" s="31">
        <f>$D17        *(1+$E17)^((YEAR(TIMELINE!BR7)-2025)+(MONTH(TIMELINE!BR7)-1)/12)        /12        *INDEX(Assumptions_Commercial!$B$22:$B$33,MONTH(TIMELINE!BR7))</f>
        <v/>
      </c>
      <c r="BW17" s="31">
        <f>$D17        *(1+$E17)^((YEAR(TIMELINE!BS7)-2025)+(MONTH(TIMELINE!BS7)-1)/12)        /12        *INDEX(Assumptions_Commercial!$B$22:$B$33,MONTH(TIMELINE!BS7))</f>
        <v/>
      </c>
      <c r="BX17" s="31">
        <f>$D17        *(1+$E17)^((YEAR(TIMELINE!BT7)-2025)+(MONTH(TIMELINE!BT7)-1)/12)        /12        *INDEX(Assumptions_Commercial!$B$22:$B$33,MONTH(TIMELINE!BT7))</f>
        <v/>
      </c>
      <c r="BY17" s="31">
        <f>$D17        *(1+$E17)^((YEAR(TIMELINE!BU7)-2025)+(MONTH(TIMELINE!BU7)-1)/12)        /12        *INDEX(Assumptions_Commercial!$B$22:$B$33,MONTH(TIMELINE!BU7))</f>
        <v/>
      </c>
      <c r="BZ17" s="31">
        <f>$D17        *(1+$E17)^((YEAR(TIMELINE!BV7)-2025)+(MONTH(TIMELINE!BV7)-1)/12)        /12        *INDEX(Assumptions_Commercial!$B$22:$B$33,MONTH(TIMELINE!BV7))</f>
        <v/>
      </c>
      <c r="CA17" s="31">
        <f>$D17        *(1+$E17)^((YEAR(TIMELINE!BW7)-2025)+(MONTH(TIMELINE!BW7)-1)/12)        /12        *INDEX(Assumptions_Commercial!$B$22:$B$33,MONTH(TIMELINE!BW7))</f>
        <v/>
      </c>
      <c r="CB17" s="31">
        <f>$D17        *(1+$E17)^((YEAR(TIMELINE!BX7)-2025)+(MONTH(TIMELINE!BX7)-1)/12)        /12        *INDEX(Assumptions_Commercial!$B$22:$B$33,MONTH(TIMELINE!BX7))</f>
        <v/>
      </c>
      <c r="CC17" s="31">
        <f>$D17        *(1+$E17)^((YEAR(TIMELINE!BY7)-2025)+(MONTH(TIMELINE!BY7)-1)/12)        /12        *INDEX(Assumptions_Commercial!$B$22:$B$33,MONTH(TIMELINE!BY7))</f>
        <v/>
      </c>
      <c r="CD17" s="31">
        <f>$D17        *(1+$E17)^((YEAR(TIMELINE!BZ7)-2025)+(MONTH(TIMELINE!BZ7)-1)/12)        /12        *INDEX(Assumptions_Commercial!$B$22:$B$33,MONTH(TIMELINE!BZ7))</f>
        <v/>
      </c>
      <c r="CE17" s="31">
        <f>$D17        *(1+$E17)^((YEAR(TIMELINE!CA7)-2025)+(MONTH(TIMELINE!CA7)-1)/12)        /12        *INDEX(Assumptions_Commercial!$B$22:$B$33,MONTH(TIMELINE!CA7))</f>
        <v/>
      </c>
      <c r="CF17" s="31">
        <f>$D17        *(1+$E17)^((YEAR(TIMELINE!CB7)-2025)+(MONTH(TIMELINE!CB7)-1)/12)        /12        *INDEX(Assumptions_Commercial!$B$22:$B$33,MONTH(TIMELINE!CB7))</f>
        <v/>
      </c>
      <c r="CG17" s="31">
        <f>$D17        *(1+$E17)^((YEAR(TIMELINE!CC7)-2025)+(MONTH(TIMELINE!CC7)-1)/12)        /12        *INDEX(Assumptions_Commercial!$B$22:$B$33,MONTH(TIMELINE!CC7))</f>
        <v/>
      </c>
      <c r="CH17" s="31">
        <f>$D17        *(1+$E17)^((YEAR(TIMELINE!CD7)-2025)+(MONTH(TIMELINE!CD7)-1)/12)        /12        *INDEX(Assumptions_Commercial!$B$22:$B$33,MONTH(TIMELINE!CD7))</f>
        <v/>
      </c>
      <c r="CI17" s="31">
        <f>$D17        *(1+$E17)^((YEAR(TIMELINE!CE7)-2025)+(MONTH(TIMELINE!CE7)-1)/12)        /12        *INDEX(Assumptions_Commercial!$B$22:$B$33,MONTH(TIMELINE!CE7))</f>
        <v/>
      </c>
      <c r="CJ17" s="31">
        <f>$D17        *(1+$E17)^((YEAR(TIMELINE!CF7)-2025)+(MONTH(TIMELINE!CF7)-1)/12)        /12        *INDEX(Assumptions_Commercial!$B$22:$B$33,MONTH(TIMELINE!CF7))</f>
        <v/>
      </c>
      <c r="CK17" s="31">
        <f>$D17        *(1+$E17)^((YEAR(TIMELINE!CG7)-2025)+(MONTH(TIMELINE!CG7)-1)/12)        /12        *INDEX(Assumptions_Commercial!$B$22:$B$33,MONTH(TIMELINE!CG7))</f>
        <v/>
      </c>
      <c r="CL17" s="31">
        <f>$D17        *(1+$E17)^((YEAR(TIMELINE!CH7)-2025)+(MONTH(TIMELINE!CH7)-1)/12)        /12        *INDEX(Assumptions_Commercial!$B$22:$B$33,MONTH(TIMELINE!CH7))</f>
        <v/>
      </c>
      <c r="CM17" s="31">
        <f>$D17        *(1+$E17)^((YEAR(TIMELINE!CI7)-2025)+(MONTH(TIMELINE!CI7)-1)/12)        /12        *INDEX(Assumptions_Commercial!$B$22:$B$33,MONTH(TIMELINE!CI7))</f>
        <v/>
      </c>
      <c r="CN17" s="31">
        <f>$D17        *(1+$E17)^((YEAR(TIMELINE!CJ7)-2025)+(MONTH(TIMELINE!CJ7)-1)/12)        /12        *INDEX(Assumptions_Commercial!$B$22:$B$33,MONTH(TIMELINE!CJ7))</f>
        <v/>
      </c>
      <c r="CO17" s="31">
        <f>$D17        *(1+$E17)^((YEAR(TIMELINE!CK7)-2025)+(MONTH(TIMELINE!CK7)-1)/12)        /12        *INDEX(Assumptions_Commercial!$B$22:$B$33,MONTH(TIMELINE!CK7))</f>
        <v/>
      </c>
      <c r="CP17" s="31">
        <f>$D17        *(1+$E17)^((YEAR(TIMELINE!CL7)-2025)+(MONTH(TIMELINE!CL7)-1)/12)        /12        *INDEX(Assumptions_Commercial!$B$22:$B$33,MONTH(TIMELINE!CL7))</f>
        <v/>
      </c>
      <c r="CQ17" s="31">
        <f>$D17        *(1+$E17)^((YEAR(TIMELINE!CM7)-2025)+(MONTH(TIMELINE!CM7)-1)/12)        /12        *INDEX(Assumptions_Commercial!$B$22:$B$33,MONTH(TIMELINE!CM7))</f>
        <v/>
      </c>
      <c r="CR17" s="31">
        <f>$D17        *(1+$E17)^((YEAR(TIMELINE!CN7)-2025)+(MONTH(TIMELINE!CN7)-1)/12)        /12        *INDEX(Assumptions_Commercial!$B$22:$B$33,MONTH(TIMELINE!CN7))</f>
        <v/>
      </c>
      <c r="CS17" s="31">
        <f>$D17        *(1+$E17)^((YEAR(TIMELINE!CO7)-2025)+(MONTH(TIMELINE!CO7)-1)/12)        /12        *INDEX(Assumptions_Commercial!$B$22:$B$33,MONTH(TIMELINE!CO7))</f>
        <v/>
      </c>
      <c r="CT17" s="31">
        <f>$D17        *(1+$E17)^((YEAR(TIMELINE!CP7)-2025)+(MONTH(TIMELINE!CP7)-1)/12)        /12        *INDEX(Assumptions_Commercial!$B$22:$B$33,MONTH(TIMELINE!CP7))</f>
        <v/>
      </c>
      <c r="CU17" s="31">
        <f>$D17        *(1+$E17)^((YEAR(TIMELINE!CQ7)-2025)+(MONTH(TIMELINE!CQ7)-1)/12)        /12        *INDEX(Assumptions_Commercial!$B$22:$B$33,MONTH(TIMELINE!CQ7))</f>
        <v/>
      </c>
      <c r="CV17" s="31">
        <f>$D17        *(1+$E17)^((YEAR(TIMELINE!CR7)-2025)+(MONTH(TIMELINE!CR7)-1)/12)        /12        *INDEX(Assumptions_Commercial!$B$22:$B$33,MONTH(TIMELINE!CR7))</f>
        <v/>
      </c>
      <c r="CW17" s="31">
        <f>$D17        *(1+$E17)^((YEAR(TIMELINE!CS7)-2025)+(MONTH(TIMELINE!CS7)-1)/12)        /12        *INDEX(Assumptions_Commercial!$B$22:$B$33,MONTH(TIMELINE!CS7))</f>
        <v/>
      </c>
      <c r="CX17" s="31">
        <f>$D17        *(1+$E17)^((YEAR(TIMELINE!CT7)-2025)+(MONTH(TIMELINE!CT7)-1)/12)        /12        *INDEX(Assumptions_Commercial!$B$22:$B$33,MONTH(TIMELINE!CT7))</f>
        <v/>
      </c>
      <c r="CY17" s="31">
        <f>$D17        *(1+$E17)^((YEAR(TIMELINE!CU7)-2025)+(MONTH(TIMELINE!CU7)-1)/12)        /12        *INDEX(Assumptions_Commercial!$B$22:$B$33,MONTH(TIMELINE!CU7))</f>
        <v/>
      </c>
      <c r="CZ17" s="31">
        <f>$D17        *(1+$E17)^((YEAR(TIMELINE!CV7)-2025)+(MONTH(TIMELINE!CV7)-1)/12)        /12        *INDEX(Assumptions_Commercial!$B$22:$B$33,MONTH(TIMELINE!CV7))</f>
        <v/>
      </c>
      <c r="DA17" s="31">
        <f>$D17        *(1+$E17)^((YEAR(TIMELINE!CW7)-2025)+(MONTH(TIMELINE!CW7)-1)/12)        /12        *INDEX(Assumptions_Commercial!$B$22:$B$33,MONTH(TIMELINE!CW7))</f>
        <v/>
      </c>
      <c r="DB17" s="31">
        <f>$D17        *(1+$E17)^((YEAR(TIMELINE!CX7)-2025)+(MONTH(TIMELINE!CX7)-1)/12)        /12        *INDEX(Assumptions_Commercial!$B$22:$B$33,MONTH(TIMELINE!CX7))</f>
        <v/>
      </c>
      <c r="DC17" s="31">
        <f>$D17        *(1+$E17)^((YEAR(TIMELINE!CY7)-2025)+(MONTH(TIMELINE!CY7)-1)/12)        /12        *INDEX(Assumptions_Commercial!$B$22:$B$33,MONTH(TIMELINE!CY7))</f>
        <v/>
      </c>
      <c r="DD17" s="31">
        <f>$D17        *(1+$E17)^((YEAR(TIMELINE!CZ7)-2025)+(MONTH(TIMELINE!CZ7)-1)/12)        /12        *INDEX(Assumptions_Commercial!$B$22:$B$33,MONTH(TIMELINE!CZ7))</f>
        <v/>
      </c>
      <c r="DE17" s="31">
        <f>$D17        *(1+$E17)^((YEAR(TIMELINE!DA7)-2025)+(MONTH(TIMELINE!DA7)-1)/12)        /12        *INDEX(Assumptions_Commercial!$B$22:$B$33,MONTH(TIMELINE!DA7))</f>
        <v/>
      </c>
      <c r="DF17" s="31">
        <f>$D17        *(1+$E17)^((YEAR(TIMELINE!DB7)-2025)+(MONTH(TIMELINE!DB7)-1)/12)        /12        *INDEX(Assumptions_Commercial!$B$22:$B$33,MONTH(TIMELINE!DB7))</f>
        <v/>
      </c>
      <c r="DG17" s="31">
        <f>$D17        *(1+$E17)^((YEAR(TIMELINE!DC7)-2025)+(MONTH(TIMELINE!DC7)-1)/12)        /12        *INDEX(Assumptions_Commercial!$B$22:$B$33,MONTH(TIMELINE!DC7))</f>
        <v/>
      </c>
      <c r="DH17" s="31">
        <f>$D17        *(1+$E17)^((YEAR(TIMELINE!DD7)-2025)+(MONTH(TIMELINE!DD7)-1)/12)        /12        *INDEX(Assumptions_Commercial!$B$22:$B$33,MONTH(TIMELINE!DD7))</f>
        <v/>
      </c>
      <c r="DI17" s="31">
        <f>$D17        *(1+$E17)^((YEAR(TIMELINE!DE7)-2025)+(MONTH(TIMELINE!DE7)-1)/12)        /12        *INDEX(Assumptions_Commercial!$B$22:$B$33,MONTH(TIMELINE!DE7))</f>
        <v/>
      </c>
      <c r="DJ17" s="31">
        <f>$D17        *(1+$E17)^((YEAR(TIMELINE!DF7)-2025)+(MONTH(TIMELINE!DF7)-1)/12)        /12        *INDEX(Assumptions_Commercial!$B$22:$B$33,MONTH(TIMELINE!DF7))</f>
        <v/>
      </c>
      <c r="DK17" s="31">
        <f>$D17        *(1+$E17)^((YEAR(TIMELINE!DG7)-2025)+(MONTH(TIMELINE!DG7)-1)/12)        /12        *INDEX(Assumptions_Commercial!$B$22:$B$33,MONTH(TIMELINE!DG7))</f>
        <v/>
      </c>
      <c r="DL17" s="31">
        <f>$D17        *(1+$E17)^((YEAR(TIMELINE!DH7)-2025)+(MONTH(TIMELINE!DH7)-1)/12)        /12        *INDEX(Assumptions_Commercial!$B$22:$B$33,MONTH(TIMELINE!DH7))</f>
        <v/>
      </c>
      <c r="DM17" s="31">
        <f>$D17        *(1+$E17)^((YEAR(TIMELINE!DI7)-2025)+(MONTH(TIMELINE!DI7)-1)/12)        /12        *INDEX(Assumptions_Commercial!$B$22:$B$33,MONTH(TIMELINE!DI7))</f>
        <v/>
      </c>
      <c r="DN17" s="31">
        <f>$D17        *(1+$E17)^((YEAR(TIMELINE!DJ7)-2025)+(MONTH(TIMELINE!DJ7)-1)/12)        /12        *INDEX(Assumptions_Commercial!$B$22:$B$33,MONTH(TIMELINE!DJ7))</f>
        <v/>
      </c>
      <c r="DO17" s="31">
        <f>$D17        *(1+$E17)^((YEAR(TIMELINE!DK7)-2025)+(MONTH(TIMELINE!DK7)-1)/12)        /12        *INDEX(Assumptions_Commercial!$B$22:$B$33,MONTH(TIMELINE!DK7))</f>
        <v/>
      </c>
      <c r="DP17" s="31">
        <f>$D17        *(1+$E17)^((YEAR(TIMELINE!DL7)-2025)+(MONTH(TIMELINE!DL7)-1)/12)        /12        *INDEX(Assumptions_Commercial!$B$22:$B$33,MONTH(TIMELINE!DL7))</f>
        <v/>
      </c>
      <c r="DQ17" s="31">
        <f>$D17        *(1+$E17)^((YEAR(TIMELINE!DM7)-2025)+(MONTH(TIMELINE!DM7)-1)/12)        /12        *INDEX(Assumptions_Commercial!$B$22:$B$33,MONTH(TIMELINE!DM7))</f>
        <v/>
      </c>
      <c r="DR17" s="31">
        <f>$D17        *(1+$E17)^((YEAR(TIMELINE!DN7)-2025)+(MONTH(TIMELINE!DN7)-1)/12)        /12        *INDEX(Assumptions_Commercial!$B$22:$B$33,MONTH(TIMELINE!DN7))</f>
        <v/>
      </c>
      <c r="DS17" s="31">
        <f>$D17        *(1+$E17)^((YEAR(TIMELINE!DO7)-2025)+(MONTH(TIMELINE!DO7)-1)/12)        /12        *INDEX(Assumptions_Commercial!$B$22:$B$33,MONTH(TIMELINE!DO7))</f>
        <v/>
      </c>
      <c r="DT17" s="31">
        <f>$D17        *(1+$E17)^((YEAR(TIMELINE!DP7)-2025)+(MONTH(TIMELINE!DP7)-1)/12)        /12        *INDEX(Assumptions_Commercial!$B$22:$B$33,MONTH(TIMELINE!DP7))</f>
        <v/>
      </c>
      <c r="DU17" s="31">
        <f>$D17        *(1+$E17)^((YEAR(TIMELINE!DQ7)-2025)+(MONTH(TIMELINE!DQ7)-1)/12)        /12        *INDEX(Assumptions_Commercial!$B$22:$B$33,MONTH(TIMELINE!DQ7))</f>
        <v/>
      </c>
    </row>
    <row r="18">
      <c r="A18" t="inlineStr">
        <is>
          <t>SKU-02</t>
        </is>
      </c>
      <c r="B18" t="inlineStr">
        <is>
          <t>Off-Trade</t>
        </is>
      </c>
      <c r="C18" t="inlineStr">
        <is>
          <t>NZ</t>
        </is>
      </c>
      <c r="D18" s="14" t="n">
        <v>15000</v>
      </c>
      <c r="E18" s="30">
        <f>INDEX(Assumptions_Commercial!$B$6:$D$6,CONTROL!$B$5)</f>
        <v/>
      </c>
      <c r="F18" s="31">
        <f>$D18        *(1+$E18)^((YEAR(TIMELINE!B7)-2025)+(MONTH(TIMELINE!B7)-1)/12)        /12        *INDEX(Assumptions_Commercial!$B$22:$B$33,MONTH(TIMELINE!B7))</f>
        <v/>
      </c>
      <c r="G18" s="31">
        <f>$D18        *(1+$E18)^((YEAR(TIMELINE!C7)-2025)+(MONTH(TIMELINE!C7)-1)/12)        /12        *INDEX(Assumptions_Commercial!$B$22:$B$33,MONTH(TIMELINE!C7))</f>
        <v/>
      </c>
      <c r="H18" s="31">
        <f>$D18        *(1+$E18)^((YEAR(TIMELINE!D7)-2025)+(MONTH(TIMELINE!D7)-1)/12)        /12        *INDEX(Assumptions_Commercial!$B$22:$B$33,MONTH(TIMELINE!D7))</f>
        <v/>
      </c>
      <c r="I18" s="31">
        <f>$D18        *(1+$E18)^((YEAR(TIMELINE!E7)-2025)+(MONTH(TIMELINE!E7)-1)/12)        /12        *INDEX(Assumptions_Commercial!$B$22:$B$33,MONTH(TIMELINE!E7))</f>
        <v/>
      </c>
      <c r="J18" s="31">
        <f>$D18        *(1+$E18)^((YEAR(TIMELINE!F7)-2025)+(MONTH(TIMELINE!F7)-1)/12)        /12        *INDEX(Assumptions_Commercial!$B$22:$B$33,MONTH(TIMELINE!F7))</f>
        <v/>
      </c>
      <c r="K18" s="31">
        <f>$D18        *(1+$E18)^((YEAR(TIMELINE!G7)-2025)+(MONTH(TIMELINE!G7)-1)/12)        /12        *INDEX(Assumptions_Commercial!$B$22:$B$33,MONTH(TIMELINE!G7))</f>
        <v/>
      </c>
      <c r="L18" s="31">
        <f>$D18        *(1+$E18)^((YEAR(TIMELINE!H7)-2025)+(MONTH(TIMELINE!H7)-1)/12)        /12        *INDEX(Assumptions_Commercial!$B$22:$B$33,MONTH(TIMELINE!H7))</f>
        <v/>
      </c>
      <c r="M18" s="31">
        <f>$D18        *(1+$E18)^((YEAR(TIMELINE!I7)-2025)+(MONTH(TIMELINE!I7)-1)/12)        /12        *INDEX(Assumptions_Commercial!$B$22:$B$33,MONTH(TIMELINE!I7))</f>
        <v/>
      </c>
      <c r="N18" s="31">
        <f>$D18        *(1+$E18)^((YEAR(TIMELINE!J7)-2025)+(MONTH(TIMELINE!J7)-1)/12)        /12        *INDEX(Assumptions_Commercial!$B$22:$B$33,MONTH(TIMELINE!J7))</f>
        <v/>
      </c>
      <c r="O18" s="31">
        <f>$D18        *(1+$E18)^((YEAR(TIMELINE!K7)-2025)+(MONTH(TIMELINE!K7)-1)/12)        /12        *INDEX(Assumptions_Commercial!$B$22:$B$33,MONTH(TIMELINE!K7))</f>
        <v/>
      </c>
      <c r="P18" s="31">
        <f>$D18        *(1+$E18)^((YEAR(TIMELINE!L7)-2025)+(MONTH(TIMELINE!L7)-1)/12)        /12        *INDEX(Assumptions_Commercial!$B$22:$B$33,MONTH(TIMELINE!L7))</f>
        <v/>
      </c>
      <c r="Q18" s="31">
        <f>$D18        *(1+$E18)^((YEAR(TIMELINE!M7)-2025)+(MONTH(TIMELINE!M7)-1)/12)        /12        *INDEX(Assumptions_Commercial!$B$22:$B$33,MONTH(TIMELINE!M7))</f>
        <v/>
      </c>
      <c r="R18" s="31">
        <f>$D18        *(1+$E18)^((YEAR(TIMELINE!N7)-2025)+(MONTH(TIMELINE!N7)-1)/12)        /12        *INDEX(Assumptions_Commercial!$B$22:$B$33,MONTH(TIMELINE!N7))</f>
        <v/>
      </c>
      <c r="S18" s="31">
        <f>$D18        *(1+$E18)^((YEAR(TIMELINE!O7)-2025)+(MONTH(TIMELINE!O7)-1)/12)        /12        *INDEX(Assumptions_Commercial!$B$22:$B$33,MONTH(TIMELINE!O7))</f>
        <v/>
      </c>
      <c r="T18" s="31">
        <f>$D18        *(1+$E18)^((YEAR(TIMELINE!P7)-2025)+(MONTH(TIMELINE!P7)-1)/12)        /12        *INDEX(Assumptions_Commercial!$B$22:$B$33,MONTH(TIMELINE!P7))</f>
        <v/>
      </c>
      <c r="U18" s="31">
        <f>$D18        *(1+$E18)^((YEAR(TIMELINE!Q7)-2025)+(MONTH(TIMELINE!Q7)-1)/12)        /12        *INDEX(Assumptions_Commercial!$B$22:$B$33,MONTH(TIMELINE!Q7))</f>
        <v/>
      </c>
      <c r="V18" s="31">
        <f>$D18        *(1+$E18)^((YEAR(TIMELINE!R7)-2025)+(MONTH(TIMELINE!R7)-1)/12)        /12        *INDEX(Assumptions_Commercial!$B$22:$B$33,MONTH(TIMELINE!R7))</f>
        <v/>
      </c>
      <c r="W18" s="31">
        <f>$D18        *(1+$E18)^((YEAR(TIMELINE!S7)-2025)+(MONTH(TIMELINE!S7)-1)/12)        /12        *INDEX(Assumptions_Commercial!$B$22:$B$33,MONTH(TIMELINE!S7))</f>
        <v/>
      </c>
      <c r="X18" s="31">
        <f>$D18        *(1+$E18)^((YEAR(TIMELINE!T7)-2025)+(MONTH(TIMELINE!T7)-1)/12)        /12        *INDEX(Assumptions_Commercial!$B$22:$B$33,MONTH(TIMELINE!T7))</f>
        <v/>
      </c>
      <c r="Y18" s="31">
        <f>$D18        *(1+$E18)^((YEAR(TIMELINE!U7)-2025)+(MONTH(TIMELINE!U7)-1)/12)        /12        *INDEX(Assumptions_Commercial!$B$22:$B$33,MONTH(TIMELINE!U7))</f>
        <v/>
      </c>
      <c r="Z18" s="31">
        <f>$D18        *(1+$E18)^((YEAR(TIMELINE!V7)-2025)+(MONTH(TIMELINE!V7)-1)/12)        /12        *INDEX(Assumptions_Commercial!$B$22:$B$33,MONTH(TIMELINE!V7))</f>
        <v/>
      </c>
      <c r="AA18" s="31">
        <f>$D18        *(1+$E18)^((YEAR(TIMELINE!W7)-2025)+(MONTH(TIMELINE!W7)-1)/12)        /12        *INDEX(Assumptions_Commercial!$B$22:$B$33,MONTH(TIMELINE!W7))</f>
        <v/>
      </c>
      <c r="AB18" s="31">
        <f>$D18        *(1+$E18)^((YEAR(TIMELINE!X7)-2025)+(MONTH(TIMELINE!X7)-1)/12)        /12        *INDEX(Assumptions_Commercial!$B$22:$B$33,MONTH(TIMELINE!X7))</f>
        <v/>
      </c>
      <c r="AC18" s="31">
        <f>$D18        *(1+$E18)^((YEAR(TIMELINE!Y7)-2025)+(MONTH(TIMELINE!Y7)-1)/12)        /12        *INDEX(Assumptions_Commercial!$B$22:$B$33,MONTH(TIMELINE!Y7))</f>
        <v/>
      </c>
      <c r="AD18" s="31">
        <f>$D18        *(1+$E18)^((YEAR(TIMELINE!Z7)-2025)+(MONTH(TIMELINE!Z7)-1)/12)        /12        *INDEX(Assumptions_Commercial!$B$22:$B$33,MONTH(TIMELINE!Z7))</f>
        <v/>
      </c>
      <c r="AE18" s="31">
        <f>$D18        *(1+$E18)^((YEAR(TIMELINE!AA7)-2025)+(MONTH(TIMELINE!AA7)-1)/12)        /12        *INDEX(Assumptions_Commercial!$B$22:$B$33,MONTH(TIMELINE!AA7))</f>
        <v/>
      </c>
      <c r="AF18" s="31">
        <f>$D18        *(1+$E18)^((YEAR(TIMELINE!AB7)-2025)+(MONTH(TIMELINE!AB7)-1)/12)        /12        *INDEX(Assumptions_Commercial!$B$22:$B$33,MONTH(TIMELINE!AB7))</f>
        <v/>
      </c>
      <c r="AG18" s="31">
        <f>$D18        *(1+$E18)^((YEAR(TIMELINE!AC7)-2025)+(MONTH(TIMELINE!AC7)-1)/12)        /12        *INDEX(Assumptions_Commercial!$B$22:$B$33,MONTH(TIMELINE!AC7))</f>
        <v/>
      </c>
      <c r="AH18" s="31">
        <f>$D18        *(1+$E18)^((YEAR(TIMELINE!AD7)-2025)+(MONTH(TIMELINE!AD7)-1)/12)        /12        *INDEX(Assumptions_Commercial!$B$22:$B$33,MONTH(TIMELINE!AD7))</f>
        <v/>
      </c>
      <c r="AI18" s="31">
        <f>$D18        *(1+$E18)^((YEAR(TIMELINE!AE7)-2025)+(MONTH(TIMELINE!AE7)-1)/12)        /12        *INDEX(Assumptions_Commercial!$B$22:$B$33,MONTH(TIMELINE!AE7))</f>
        <v/>
      </c>
      <c r="AJ18" s="31">
        <f>$D18        *(1+$E18)^((YEAR(TIMELINE!AF7)-2025)+(MONTH(TIMELINE!AF7)-1)/12)        /12        *INDEX(Assumptions_Commercial!$B$22:$B$33,MONTH(TIMELINE!AF7))</f>
        <v/>
      </c>
      <c r="AK18" s="31">
        <f>$D18        *(1+$E18)^((YEAR(TIMELINE!AG7)-2025)+(MONTH(TIMELINE!AG7)-1)/12)        /12        *INDEX(Assumptions_Commercial!$B$22:$B$33,MONTH(TIMELINE!AG7))</f>
        <v/>
      </c>
      <c r="AL18" s="31">
        <f>$D18        *(1+$E18)^((YEAR(TIMELINE!AH7)-2025)+(MONTH(TIMELINE!AH7)-1)/12)        /12        *INDEX(Assumptions_Commercial!$B$22:$B$33,MONTH(TIMELINE!AH7))</f>
        <v/>
      </c>
      <c r="AM18" s="31">
        <f>$D18        *(1+$E18)^((YEAR(TIMELINE!AI7)-2025)+(MONTH(TIMELINE!AI7)-1)/12)        /12        *INDEX(Assumptions_Commercial!$B$22:$B$33,MONTH(TIMELINE!AI7))</f>
        <v/>
      </c>
      <c r="AN18" s="31">
        <f>$D18        *(1+$E18)^((YEAR(TIMELINE!AJ7)-2025)+(MONTH(TIMELINE!AJ7)-1)/12)        /12        *INDEX(Assumptions_Commercial!$B$22:$B$33,MONTH(TIMELINE!AJ7))</f>
        <v/>
      </c>
      <c r="AO18" s="31">
        <f>$D18        *(1+$E18)^((YEAR(TIMELINE!AK7)-2025)+(MONTH(TIMELINE!AK7)-1)/12)        /12        *INDEX(Assumptions_Commercial!$B$22:$B$33,MONTH(TIMELINE!AK7))</f>
        <v/>
      </c>
      <c r="AP18" s="31">
        <f>$D18        *(1+$E18)^((YEAR(TIMELINE!AL7)-2025)+(MONTH(TIMELINE!AL7)-1)/12)        /12        *INDEX(Assumptions_Commercial!$B$22:$B$33,MONTH(TIMELINE!AL7))</f>
        <v/>
      </c>
      <c r="AQ18" s="31">
        <f>$D18        *(1+$E18)^((YEAR(TIMELINE!AM7)-2025)+(MONTH(TIMELINE!AM7)-1)/12)        /12        *INDEX(Assumptions_Commercial!$B$22:$B$33,MONTH(TIMELINE!AM7))</f>
        <v/>
      </c>
      <c r="AR18" s="31">
        <f>$D18        *(1+$E18)^((YEAR(TIMELINE!AN7)-2025)+(MONTH(TIMELINE!AN7)-1)/12)        /12        *INDEX(Assumptions_Commercial!$B$22:$B$33,MONTH(TIMELINE!AN7))</f>
        <v/>
      </c>
      <c r="AS18" s="31">
        <f>$D18        *(1+$E18)^((YEAR(TIMELINE!AO7)-2025)+(MONTH(TIMELINE!AO7)-1)/12)        /12        *INDEX(Assumptions_Commercial!$B$22:$B$33,MONTH(TIMELINE!AO7))</f>
        <v/>
      </c>
      <c r="AT18" s="31">
        <f>$D18        *(1+$E18)^((YEAR(TIMELINE!AP7)-2025)+(MONTH(TIMELINE!AP7)-1)/12)        /12        *INDEX(Assumptions_Commercial!$B$22:$B$33,MONTH(TIMELINE!AP7))</f>
        <v/>
      </c>
      <c r="AU18" s="31">
        <f>$D18        *(1+$E18)^((YEAR(TIMELINE!AQ7)-2025)+(MONTH(TIMELINE!AQ7)-1)/12)        /12        *INDEX(Assumptions_Commercial!$B$22:$B$33,MONTH(TIMELINE!AQ7))</f>
        <v/>
      </c>
      <c r="AV18" s="31">
        <f>$D18        *(1+$E18)^((YEAR(TIMELINE!AR7)-2025)+(MONTH(TIMELINE!AR7)-1)/12)        /12        *INDEX(Assumptions_Commercial!$B$22:$B$33,MONTH(TIMELINE!AR7))</f>
        <v/>
      </c>
      <c r="AW18" s="31">
        <f>$D18        *(1+$E18)^((YEAR(TIMELINE!AS7)-2025)+(MONTH(TIMELINE!AS7)-1)/12)        /12        *INDEX(Assumptions_Commercial!$B$22:$B$33,MONTH(TIMELINE!AS7))</f>
        <v/>
      </c>
      <c r="AX18" s="31">
        <f>$D18        *(1+$E18)^((YEAR(TIMELINE!AT7)-2025)+(MONTH(TIMELINE!AT7)-1)/12)        /12        *INDEX(Assumptions_Commercial!$B$22:$B$33,MONTH(TIMELINE!AT7))</f>
        <v/>
      </c>
      <c r="AY18" s="31">
        <f>$D18        *(1+$E18)^((YEAR(TIMELINE!AU7)-2025)+(MONTH(TIMELINE!AU7)-1)/12)        /12        *INDEX(Assumptions_Commercial!$B$22:$B$33,MONTH(TIMELINE!AU7))</f>
        <v/>
      </c>
      <c r="AZ18" s="31">
        <f>$D18        *(1+$E18)^((YEAR(TIMELINE!AV7)-2025)+(MONTH(TIMELINE!AV7)-1)/12)        /12        *INDEX(Assumptions_Commercial!$B$22:$B$33,MONTH(TIMELINE!AV7))</f>
        <v/>
      </c>
      <c r="BA18" s="31">
        <f>$D18        *(1+$E18)^((YEAR(TIMELINE!AW7)-2025)+(MONTH(TIMELINE!AW7)-1)/12)        /12        *INDEX(Assumptions_Commercial!$B$22:$B$33,MONTH(TIMELINE!AW7))</f>
        <v/>
      </c>
      <c r="BB18" s="31">
        <f>$D18        *(1+$E18)^((YEAR(TIMELINE!AX7)-2025)+(MONTH(TIMELINE!AX7)-1)/12)        /12        *INDEX(Assumptions_Commercial!$B$22:$B$33,MONTH(TIMELINE!AX7))</f>
        <v/>
      </c>
      <c r="BC18" s="31">
        <f>$D18        *(1+$E18)^((YEAR(TIMELINE!AY7)-2025)+(MONTH(TIMELINE!AY7)-1)/12)        /12        *INDEX(Assumptions_Commercial!$B$22:$B$33,MONTH(TIMELINE!AY7))</f>
        <v/>
      </c>
      <c r="BD18" s="31">
        <f>$D18        *(1+$E18)^((YEAR(TIMELINE!AZ7)-2025)+(MONTH(TIMELINE!AZ7)-1)/12)        /12        *INDEX(Assumptions_Commercial!$B$22:$B$33,MONTH(TIMELINE!AZ7))</f>
        <v/>
      </c>
      <c r="BE18" s="31">
        <f>$D18        *(1+$E18)^((YEAR(TIMELINE!BA7)-2025)+(MONTH(TIMELINE!BA7)-1)/12)        /12        *INDEX(Assumptions_Commercial!$B$22:$B$33,MONTH(TIMELINE!BA7))</f>
        <v/>
      </c>
      <c r="BF18" s="31">
        <f>$D18        *(1+$E18)^((YEAR(TIMELINE!BB7)-2025)+(MONTH(TIMELINE!BB7)-1)/12)        /12        *INDEX(Assumptions_Commercial!$B$22:$B$33,MONTH(TIMELINE!BB7))</f>
        <v/>
      </c>
      <c r="BG18" s="31">
        <f>$D18        *(1+$E18)^((YEAR(TIMELINE!BC7)-2025)+(MONTH(TIMELINE!BC7)-1)/12)        /12        *INDEX(Assumptions_Commercial!$B$22:$B$33,MONTH(TIMELINE!BC7))</f>
        <v/>
      </c>
      <c r="BH18" s="31">
        <f>$D18        *(1+$E18)^((YEAR(TIMELINE!BD7)-2025)+(MONTH(TIMELINE!BD7)-1)/12)        /12        *INDEX(Assumptions_Commercial!$B$22:$B$33,MONTH(TIMELINE!BD7))</f>
        <v/>
      </c>
      <c r="BI18" s="31">
        <f>$D18        *(1+$E18)^((YEAR(TIMELINE!BE7)-2025)+(MONTH(TIMELINE!BE7)-1)/12)        /12        *INDEX(Assumptions_Commercial!$B$22:$B$33,MONTH(TIMELINE!BE7))</f>
        <v/>
      </c>
      <c r="BJ18" s="31">
        <f>$D18        *(1+$E18)^((YEAR(TIMELINE!BF7)-2025)+(MONTH(TIMELINE!BF7)-1)/12)        /12        *INDEX(Assumptions_Commercial!$B$22:$B$33,MONTH(TIMELINE!BF7))</f>
        <v/>
      </c>
      <c r="BK18" s="31">
        <f>$D18        *(1+$E18)^((YEAR(TIMELINE!BG7)-2025)+(MONTH(TIMELINE!BG7)-1)/12)        /12        *INDEX(Assumptions_Commercial!$B$22:$B$33,MONTH(TIMELINE!BG7))</f>
        <v/>
      </c>
      <c r="BL18" s="31">
        <f>$D18        *(1+$E18)^((YEAR(TIMELINE!BH7)-2025)+(MONTH(TIMELINE!BH7)-1)/12)        /12        *INDEX(Assumptions_Commercial!$B$22:$B$33,MONTH(TIMELINE!BH7))</f>
        <v/>
      </c>
      <c r="BM18" s="31">
        <f>$D18        *(1+$E18)^((YEAR(TIMELINE!BI7)-2025)+(MONTH(TIMELINE!BI7)-1)/12)        /12        *INDEX(Assumptions_Commercial!$B$22:$B$33,MONTH(TIMELINE!BI7))</f>
        <v/>
      </c>
      <c r="BN18" s="31">
        <f>$D18        *(1+$E18)^((YEAR(TIMELINE!BJ7)-2025)+(MONTH(TIMELINE!BJ7)-1)/12)        /12        *INDEX(Assumptions_Commercial!$B$22:$B$33,MONTH(TIMELINE!BJ7))</f>
        <v/>
      </c>
      <c r="BO18" s="31">
        <f>$D18        *(1+$E18)^((YEAR(TIMELINE!BK7)-2025)+(MONTH(TIMELINE!BK7)-1)/12)        /12        *INDEX(Assumptions_Commercial!$B$22:$B$33,MONTH(TIMELINE!BK7))</f>
        <v/>
      </c>
      <c r="BP18" s="31">
        <f>$D18        *(1+$E18)^((YEAR(TIMELINE!BL7)-2025)+(MONTH(TIMELINE!BL7)-1)/12)        /12        *INDEX(Assumptions_Commercial!$B$22:$B$33,MONTH(TIMELINE!BL7))</f>
        <v/>
      </c>
      <c r="BQ18" s="31">
        <f>$D18        *(1+$E18)^((YEAR(TIMELINE!BM7)-2025)+(MONTH(TIMELINE!BM7)-1)/12)        /12        *INDEX(Assumptions_Commercial!$B$22:$B$33,MONTH(TIMELINE!BM7))</f>
        <v/>
      </c>
      <c r="BR18" s="31">
        <f>$D18        *(1+$E18)^((YEAR(TIMELINE!BN7)-2025)+(MONTH(TIMELINE!BN7)-1)/12)        /12        *INDEX(Assumptions_Commercial!$B$22:$B$33,MONTH(TIMELINE!BN7))</f>
        <v/>
      </c>
      <c r="BS18" s="31">
        <f>$D18        *(1+$E18)^((YEAR(TIMELINE!BO7)-2025)+(MONTH(TIMELINE!BO7)-1)/12)        /12        *INDEX(Assumptions_Commercial!$B$22:$B$33,MONTH(TIMELINE!BO7))</f>
        <v/>
      </c>
      <c r="BT18" s="31">
        <f>$D18        *(1+$E18)^((YEAR(TIMELINE!BP7)-2025)+(MONTH(TIMELINE!BP7)-1)/12)        /12        *INDEX(Assumptions_Commercial!$B$22:$B$33,MONTH(TIMELINE!BP7))</f>
        <v/>
      </c>
      <c r="BU18" s="31">
        <f>$D18        *(1+$E18)^((YEAR(TIMELINE!BQ7)-2025)+(MONTH(TIMELINE!BQ7)-1)/12)        /12        *INDEX(Assumptions_Commercial!$B$22:$B$33,MONTH(TIMELINE!BQ7))</f>
        <v/>
      </c>
      <c r="BV18" s="31">
        <f>$D18        *(1+$E18)^((YEAR(TIMELINE!BR7)-2025)+(MONTH(TIMELINE!BR7)-1)/12)        /12        *INDEX(Assumptions_Commercial!$B$22:$B$33,MONTH(TIMELINE!BR7))</f>
        <v/>
      </c>
      <c r="BW18" s="31">
        <f>$D18        *(1+$E18)^((YEAR(TIMELINE!BS7)-2025)+(MONTH(TIMELINE!BS7)-1)/12)        /12        *INDEX(Assumptions_Commercial!$B$22:$B$33,MONTH(TIMELINE!BS7))</f>
        <v/>
      </c>
      <c r="BX18" s="31">
        <f>$D18        *(1+$E18)^((YEAR(TIMELINE!BT7)-2025)+(MONTH(TIMELINE!BT7)-1)/12)        /12        *INDEX(Assumptions_Commercial!$B$22:$B$33,MONTH(TIMELINE!BT7))</f>
        <v/>
      </c>
      <c r="BY18" s="31">
        <f>$D18        *(1+$E18)^((YEAR(TIMELINE!BU7)-2025)+(MONTH(TIMELINE!BU7)-1)/12)        /12        *INDEX(Assumptions_Commercial!$B$22:$B$33,MONTH(TIMELINE!BU7))</f>
        <v/>
      </c>
      <c r="BZ18" s="31">
        <f>$D18        *(1+$E18)^((YEAR(TIMELINE!BV7)-2025)+(MONTH(TIMELINE!BV7)-1)/12)        /12        *INDEX(Assumptions_Commercial!$B$22:$B$33,MONTH(TIMELINE!BV7))</f>
        <v/>
      </c>
      <c r="CA18" s="31">
        <f>$D18        *(1+$E18)^((YEAR(TIMELINE!BW7)-2025)+(MONTH(TIMELINE!BW7)-1)/12)        /12        *INDEX(Assumptions_Commercial!$B$22:$B$33,MONTH(TIMELINE!BW7))</f>
        <v/>
      </c>
      <c r="CB18" s="31">
        <f>$D18        *(1+$E18)^((YEAR(TIMELINE!BX7)-2025)+(MONTH(TIMELINE!BX7)-1)/12)        /12        *INDEX(Assumptions_Commercial!$B$22:$B$33,MONTH(TIMELINE!BX7))</f>
        <v/>
      </c>
      <c r="CC18" s="31">
        <f>$D18        *(1+$E18)^((YEAR(TIMELINE!BY7)-2025)+(MONTH(TIMELINE!BY7)-1)/12)        /12        *INDEX(Assumptions_Commercial!$B$22:$B$33,MONTH(TIMELINE!BY7))</f>
        <v/>
      </c>
      <c r="CD18" s="31">
        <f>$D18        *(1+$E18)^((YEAR(TIMELINE!BZ7)-2025)+(MONTH(TIMELINE!BZ7)-1)/12)        /12        *INDEX(Assumptions_Commercial!$B$22:$B$33,MONTH(TIMELINE!BZ7))</f>
        <v/>
      </c>
      <c r="CE18" s="31">
        <f>$D18        *(1+$E18)^((YEAR(TIMELINE!CA7)-2025)+(MONTH(TIMELINE!CA7)-1)/12)        /12        *INDEX(Assumptions_Commercial!$B$22:$B$33,MONTH(TIMELINE!CA7))</f>
        <v/>
      </c>
      <c r="CF18" s="31">
        <f>$D18        *(1+$E18)^((YEAR(TIMELINE!CB7)-2025)+(MONTH(TIMELINE!CB7)-1)/12)        /12        *INDEX(Assumptions_Commercial!$B$22:$B$33,MONTH(TIMELINE!CB7))</f>
        <v/>
      </c>
      <c r="CG18" s="31">
        <f>$D18        *(1+$E18)^((YEAR(TIMELINE!CC7)-2025)+(MONTH(TIMELINE!CC7)-1)/12)        /12        *INDEX(Assumptions_Commercial!$B$22:$B$33,MONTH(TIMELINE!CC7))</f>
        <v/>
      </c>
      <c r="CH18" s="31">
        <f>$D18        *(1+$E18)^((YEAR(TIMELINE!CD7)-2025)+(MONTH(TIMELINE!CD7)-1)/12)        /12        *INDEX(Assumptions_Commercial!$B$22:$B$33,MONTH(TIMELINE!CD7))</f>
        <v/>
      </c>
      <c r="CI18" s="31">
        <f>$D18        *(1+$E18)^((YEAR(TIMELINE!CE7)-2025)+(MONTH(TIMELINE!CE7)-1)/12)        /12        *INDEX(Assumptions_Commercial!$B$22:$B$33,MONTH(TIMELINE!CE7))</f>
        <v/>
      </c>
      <c r="CJ18" s="31">
        <f>$D18        *(1+$E18)^((YEAR(TIMELINE!CF7)-2025)+(MONTH(TIMELINE!CF7)-1)/12)        /12        *INDEX(Assumptions_Commercial!$B$22:$B$33,MONTH(TIMELINE!CF7))</f>
        <v/>
      </c>
      <c r="CK18" s="31">
        <f>$D18        *(1+$E18)^((YEAR(TIMELINE!CG7)-2025)+(MONTH(TIMELINE!CG7)-1)/12)        /12        *INDEX(Assumptions_Commercial!$B$22:$B$33,MONTH(TIMELINE!CG7))</f>
        <v/>
      </c>
      <c r="CL18" s="31">
        <f>$D18        *(1+$E18)^((YEAR(TIMELINE!CH7)-2025)+(MONTH(TIMELINE!CH7)-1)/12)        /12        *INDEX(Assumptions_Commercial!$B$22:$B$33,MONTH(TIMELINE!CH7))</f>
        <v/>
      </c>
      <c r="CM18" s="31">
        <f>$D18        *(1+$E18)^((YEAR(TIMELINE!CI7)-2025)+(MONTH(TIMELINE!CI7)-1)/12)        /12        *INDEX(Assumptions_Commercial!$B$22:$B$33,MONTH(TIMELINE!CI7))</f>
        <v/>
      </c>
      <c r="CN18" s="31">
        <f>$D18        *(1+$E18)^((YEAR(TIMELINE!CJ7)-2025)+(MONTH(TIMELINE!CJ7)-1)/12)        /12        *INDEX(Assumptions_Commercial!$B$22:$B$33,MONTH(TIMELINE!CJ7))</f>
        <v/>
      </c>
      <c r="CO18" s="31">
        <f>$D18        *(1+$E18)^((YEAR(TIMELINE!CK7)-2025)+(MONTH(TIMELINE!CK7)-1)/12)        /12        *INDEX(Assumptions_Commercial!$B$22:$B$33,MONTH(TIMELINE!CK7))</f>
        <v/>
      </c>
      <c r="CP18" s="31">
        <f>$D18        *(1+$E18)^((YEAR(TIMELINE!CL7)-2025)+(MONTH(TIMELINE!CL7)-1)/12)        /12        *INDEX(Assumptions_Commercial!$B$22:$B$33,MONTH(TIMELINE!CL7))</f>
        <v/>
      </c>
      <c r="CQ18" s="31">
        <f>$D18        *(1+$E18)^((YEAR(TIMELINE!CM7)-2025)+(MONTH(TIMELINE!CM7)-1)/12)        /12        *INDEX(Assumptions_Commercial!$B$22:$B$33,MONTH(TIMELINE!CM7))</f>
        <v/>
      </c>
      <c r="CR18" s="31">
        <f>$D18        *(1+$E18)^((YEAR(TIMELINE!CN7)-2025)+(MONTH(TIMELINE!CN7)-1)/12)        /12        *INDEX(Assumptions_Commercial!$B$22:$B$33,MONTH(TIMELINE!CN7))</f>
        <v/>
      </c>
      <c r="CS18" s="31">
        <f>$D18        *(1+$E18)^((YEAR(TIMELINE!CO7)-2025)+(MONTH(TIMELINE!CO7)-1)/12)        /12        *INDEX(Assumptions_Commercial!$B$22:$B$33,MONTH(TIMELINE!CO7))</f>
        <v/>
      </c>
      <c r="CT18" s="31">
        <f>$D18        *(1+$E18)^((YEAR(TIMELINE!CP7)-2025)+(MONTH(TIMELINE!CP7)-1)/12)        /12        *INDEX(Assumptions_Commercial!$B$22:$B$33,MONTH(TIMELINE!CP7))</f>
        <v/>
      </c>
      <c r="CU18" s="31">
        <f>$D18        *(1+$E18)^((YEAR(TIMELINE!CQ7)-2025)+(MONTH(TIMELINE!CQ7)-1)/12)        /12        *INDEX(Assumptions_Commercial!$B$22:$B$33,MONTH(TIMELINE!CQ7))</f>
        <v/>
      </c>
      <c r="CV18" s="31">
        <f>$D18        *(1+$E18)^((YEAR(TIMELINE!CR7)-2025)+(MONTH(TIMELINE!CR7)-1)/12)        /12        *INDEX(Assumptions_Commercial!$B$22:$B$33,MONTH(TIMELINE!CR7))</f>
        <v/>
      </c>
      <c r="CW18" s="31">
        <f>$D18        *(1+$E18)^((YEAR(TIMELINE!CS7)-2025)+(MONTH(TIMELINE!CS7)-1)/12)        /12        *INDEX(Assumptions_Commercial!$B$22:$B$33,MONTH(TIMELINE!CS7))</f>
        <v/>
      </c>
      <c r="CX18" s="31">
        <f>$D18        *(1+$E18)^((YEAR(TIMELINE!CT7)-2025)+(MONTH(TIMELINE!CT7)-1)/12)        /12        *INDEX(Assumptions_Commercial!$B$22:$B$33,MONTH(TIMELINE!CT7))</f>
        <v/>
      </c>
      <c r="CY18" s="31">
        <f>$D18        *(1+$E18)^((YEAR(TIMELINE!CU7)-2025)+(MONTH(TIMELINE!CU7)-1)/12)        /12        *INDEX(Assumptions_Commercial!$B$22:$B$33,MONTH(TIMELINE!CU7))</f>
        <v/>
      </c>
      <c r="CZ18" s="31">
        <f>$D18        *(1+$E18)^((YEAR(TIMELINE!CV7)-2025)+(MONTH(TIMELINE!CV7)-1)/12)        /12        *INDEX(Assumptions_Commercial!$B$22:$B$33,MONTH(TIMELINE!CV7))</f>
        <v/>
      </c>
      <c r="DA18" s="31">
        <f>$D18        *(1+$E18)^((YEAR(TIMELINE!CW7)-2025)+(MONTH(TIMELINE!CW7)-1)/12)        /12        *INDEX(Assumptions_Commercial!$B$22:$B$33,MONTH(TIMELINE!CW7))</f>
        <v/>
      </c>
      <c r="DB18" s="31">
        <f>$D18        *(1+$E18)^((YEAR(TIMELINE!CX7)-2025)+(MONTH(TIMELINE!CX7)-1)/12)        /12        *INDEX(Assumptions_Commercial!$B$22:$B$33,MONTH(TIMELINE!CX7))</f>
        <v/>
      </c>
      <c r="DC18" s="31">
        <f>$D18        *(1+$E18)^((YEAR(TIMELINE!CY7)-2025)+(MONTH(TIMELINE!CY7)-1)/12)        /12        *INDEX(Assumptions_Commercial!$B$22:$B$33,MONTH(TIMELINE!CY7))</f>
        <v/>
      </c>
      <c r="DD18" s="31">
        <f>$D18        *(1+$E18)^((YEAR(TIMELINE!CZ7)-2025)+(MONTH(TIMELINE!CZ7)-1)/12)        /12        *INDEX(Assumptions_Commercial!$B$22:$B$33,MONTH(TIMELINE!CZ7))</f>
        <v/>
      </c>
      <c r="DE18" s="31">
        <f>$D18        *(1+$E18)^((YEAR(TIMELINE!DA7)-2025)+(MONTH(TIMELINE!DA7)-1)/12)        /12        *INDEX(Assumptions_Commercial!$B$22:$B$33,MONTH(TIMELINE!DA7))</f>
        <v/>
      </c>
      <c r="DF18" s="31">
        <f>$D18        *(1+$E18)^((YEAR(TIMELINE!DB7)-2025)+(MONTH(TIMELINE!DB7)-1)/12)        /12        *INDEX(Assumptions_Commercial!$B$22:$B$33,MONTH(TIMELINE!DB7))</f>
        <v/>
      </c>
      <c r="DG18" s="31">
        <f>$D18        *(1+$E18)^((YEAR(TIMELINE!DC7)-2025)+(MONTH(TIMELINE!DC7)-1)/12)        /12        *INDEX(Assumptions_Commercial!$B$22:$B$33,MONTH(TIMELINE!DC7))</f>
        <v/>
      </c>
      <c r="DH18" s="31">
        <f>$D18        *(1+$E18)^((YEAR(TIMELINE!DD7)-2025)+(MONTH(TIMELINE!DD7)-1)/12)        /12        *INDEX(Assumptions_Commercial!$B$22:$B$33,MONTH(TIMELINE!DD7))</f>
        <v/>
      </c>
      <c r="DI18" s="31">
        <f>$D18        *(1+$E18)^((YEAR(TIMELINE!DE7)-2025)+(MONTH(TIMELINE!DE7)-1)/12)        /12        *INDEX(Assumptions_Commercial!$B$22:$B$33,MONTH(TIMELINE!DE7))</f>
        <v/>
      </c>
      <c r="DJ18" s="31">
        <f>$D18        *(1+$E18)^((YEAR(TIMELINE!DF7)-2025)+(MONTH(TIMELINE!DF7)-1)/12)        /12        *INDEX(Assumptions_Commercial!$B$22:$B$33,MONTH(TIMELINE!DF7))</f>
        <v/>
      </c>
      <c r="DK18" s="31">
        <f>$D18        *(1+$E18)^((YEAR(TIMELINE!DG7)-2025)+(MONTH(TIMELINE!DG7)-1)/12)        /12        *INDEX(Assumptions_Commercial!$B$22:$B$33,MONTH(TIMELINE!DG7))</f>
        <v/>
      </c>
      <c r="DL18" s="31">
        <f>$D18        *(1+$E18)^((YEAR(TIMELINE!DH7)-2025)+(MONTH(TIMELINE!DH7)-1)/12)        /12        *INDEX(Assumptions_Commercial!$B$22:$B$33,MONTH(TIMELINE!DH7))</f>
        <v/>
      </c>
      <c r="DM18" s="31">
        <f>$D18        *(1+$E18)^((YEAR(TIMELINE!DI7)-2025)+(MONTH(TIMELINE!DI7)-1)/12)        /12        *INDEX(Assumptions_Commercial!$B$22:$B$33,MONTH(TIMELINE!DI7))</f>
        <v/>
      </c>
      <c r="DN18" s="31">
        <f>$D18        *(1+$E18)^((YEAR(TIMELINE!DJ7)-2025)+(MONTH(TIMELINE!DJ7)-1)/12)        /12        *INDEX(Assumptions_Commercial!$B$22:$B$33,MONTH(TIMELINE!DJ7))</f>
        <v/>
      </c>
      <c r="DO18" s="31">
        <f>$D18        *(1+$E18)^((YEAR(TIMELINE!DK7)-2025)+(MONTH(TIMELINE!DK7)-1)/12)        /12        *INDEX(Assumptions_Commercial!$B$22:$B$33,MONTH(TIMELINE!DK7))</f>
        <v/>
      </c>
      <c r="DP18" s="31">
        <f>$D18        *(1+$E18)^((YEAR(TIMELINE!DL7)-2025)+(MONTH(TIMELINE!DL7)-1)/12)        /12        *INDEX(Assumptions_Commercial!$B$22:$B$33,MONTH(TIMELINE!DL7))</f>
        <v/>
      </c>
      <c r="DQ18" s="31">
        <f>$D18        *(1+$E18)^((YEAR(TIMELINE!DM7)-2025)+(MONTH(TIMELINE!DM7)-1)/12)        /12        *INDEX(Assumptions_Commercial!$B$22:$B$33,MONTH(TIMELINE!DM7))</f>
        <v/>
      </c>
      <c r="DR18" s="31">
        <f>$D18        *(1+$E18)^((YEAR(TIMELINE!DN7)-2025)+(MONTH(TIMELINE!DN7)-1)/12)        /12        *INDEX(Assumptions_Commercial!$B$22:$B$33,MONTH(TIMELINE!DN7))</f>
        <v/>
      </c>
      <c r="DS18" s="31">
        <f>$D18        *(1+$E18)^((YEAR(TIMELINE!DO7)-2025)+(MONTH(TIMELINE!DO7)-1)/12)        /12        *INDEX(Assumptions_Commercial!$B$22:$B$33,MONTH(TIMELINE!DO7))</f>
        <v/>
      </c>
      <c r="DT18" s="31">
        <f>$D18        *(1+$E18)^((YEAR(TIMELINE!DP7)-2025)+(MONTH(TIMELINE!DP7)-1)/12)        /12        *INDEX(Assumptions_Commercial!$B$22:$B$33,MONTH(TIMELINE!DP7))</f>
        <v/>
      </c>
      <c r="DU18" s="31">
        <f>$D18        *(1+$E18)^((YEAR(TIMELINE!DQ7)-2025)+(MONTH(TIMELINE!DQ7)-1)/12)        /12        *INDEX(Assumptions_Commercial!$B$22:$B$33,MONTH(TIMELINE!DQ7))</f>
        <v/>
      </c>
    </row>
    <row r="19">
      <c r="A19" t="inlineStr">
        <is>
          <t>SKU-03</t>
        </is>
      </c>
      <c r="B19" t="inlineStr">
        <is>
          <t>On-Trade</t>
        </is>
      </c>
      <c r="C19" t="inlineStr">
        <is>
          <t>NZ</t>
        </is>
      </c>
      <c r="D19" s="14" t="n">
        <v>12000</v>
      </c>
      <c r="E19" s="30">
        <f>INDEX(Assumptions_Commercial!$B$6:$D$6,CONTROL!$B$5)</f>
        <v/>
      </c>
      <c r="F19" s="31">
        <f>$D19        *(1+$E19)^((YEAR(TIMELINE!B7)-2025)+(MONTH(TIMELINE!B7)-1)/12)        /12        *INDEX(Assumptions_Commercial!$B$22:$B$33,MONTH(TIMELINE!B7))</f>
        <v/>
      </c>
      <c r="G19" s="31">
        <f>$D19        *(1+$E19)^((YEAR(TIMELINE!C7)-2025)+(MONTH(TIMELINE!C7)-1)/12)        /12        *INDEX(Assumptions_Commercial!$B$22:$B$33,MONTH(TIMELINE!C7))</f>
        <v/>
      </c>
      <c r="H19" s="31">
        <f>$D19        *(1+$E19)^((YEAR(TIMELINE!D7)-2025)+(MONTH(TIMELINE!D7)-1)/12)        /12        *INDEX(Assumptions_Commercial!$B$22:$B$33,MONTH(TIMELINE!D7))</f>
        <v/>
      </c>
      <c r="I19" s="31">
        <f>$D19        *(1+$E19)^((YEAR(TIMELINE!E7)-2025)+(MONTH(TIMELINE!E7)-1)/12)        /12        *INDEX(Assumptions_Commercial!$B$22:$B$33,MONTH(TIMELINE!E7))</f>
        <v/>
      </c>
      <c r="J19" s="31">
        <f>$D19        *(1+$E19)^((YEAR(TIMELINE!F7)-2025)+(MONTH(TIMELINE!F7)-1)/12)        /12        *INDEX(Assumptions_Commercial!$B$22:$B$33,MONTH(TIMELINE!F7))</f>
        <v/>
      </c>
      <c r="K19" s="31">
        <f>$D19        *(1+$E19)^((YEAR(TIMELINE!G7)-2025)+(MONTH(TIMELINE!G7)-1)/12)        /12        *INDEX(Assumptions_Commercial!$B$22:$B$33,MONTH(TIMELINE!G7))</f>
        <v/>
      </c>
      <c r="L19" s="31">
        <f>$D19        *(1+$E19)^((YEAR(TIMELINE!H7)-2025)+(MONTH(TIMELINE!H7)-1)/12)        /12        *INDEX(Assumptions_Commercial!$B$22:$B$33,MONTH(TIMELINE!H7))</f>
        <v/>
      </c>
      <c r="M19" s="31">
        <f>$D19        *(1+$E19)^((YEAR(TIMELINE!I7)-2025)+(MONTH(TIMELINE!I7)-1)/12)        /12        *INDEX(Assumptions_Commercial!$B$22:$B$33,MONTH(TIMELINE!I7))</f>
        <v/>
      </c>
      <c r="N19" s="31">
        <f>$D19        *(1+$E19)^((YEAR(TIMELINE!J7)-2025)+(MONTH(TIMELINE!J7)-1)/12)        /12        *INDEX(Assumptions_Commercial!$B$22:$B$33,MONTH(TIMELINE!J7))</f>
        <v/>
      </c>
      <c r="O19" s="31">
        <f>$D19        *(1+$E19)^((YEAR(TIMELINE!K7)-2025)+(MONTH(TIMELINE!K7)-1)/12)        /12        *INDEX(Assumptions_Commercial!$B$22:$B$33,MONTH(TIMELINE!K7))</f>
        <v/>
      </c>
      <c r="P19" s="31">
        <f>$D19        *(1+$E19)^((YEAR(TIMELINE!L7)-2025)+(MONTH(TIMELINE!L7)-1)/12)        /12        *INDEX(Assumptions_Commercial!$B$22:$B$33,MONTH(TIMELINE!L7))</f>
        <v/>
      </c>
      <c r="Q19" s="31">
        <f>$D19        *(1+$E19)^((YEAR(TIMELINE!M7)-2025)+(MONTH(TIMELINE!M7)-1)/12)        /12        *INDEX(Assumptions_Commercial!$B$22:$B$33,MONTH(TIMELINE!M7))</f>
        <v/>
      </c>
      <c r="R19" s="31">
        <f>$D19        *(1+$E19)^((YEAR(TIMELINE!N7)-2025)+(MONTH(TIMELINE!N7)-1)/12)        /12        *INDEX(Assumptions_Commercial!$B$22:$B$33,MONTH(TIMELINE!N7))</f>
        <v/>
      </c>
      <c r="S19" s="31">
        <f>$D19        *(1+$E19)^((YEAR(TIMELINE!O7)-2025)+(MONTH(TIMELINE!O7)-1)/12)        /12        *INDEX(Assumptions_Commercial!$B$22:$B$33,MONTH(TIMELINE!O7))</f>
        <v/>
      </c>
      <c r="T19" s="31">
        <f>$D19        *(1+$E19)^((YEAR(TIMELINE!P7)-2025)+(MONTH(TIMELINE!P7)-1)/12)        /12        *INDEX(Assumptions_Commercial!$B$22:$B$33,MONTH(TIMELINE!P7))</f>
        <v/>
      </c>
      <c r="U19" s="31">
        <f>$D19        *(1+$E19)^((YEAR(TIMELINE!Q7)-2025)+(MONTH(TIMELINE!Q7)-1)/12)        /12        *INDEX(Assumptions_Commercial!$B$22:$B$33,MONTH(TIMELINE!Q7))</f>
        <v/>
      </c>
      <c r="V19" s="31">
        <f>$D19        *(1+$E19)^((YEAR(TIMELINE!R7)-2025)+(MONTH(TIMELINE!R7)-1)/12)        /12        *INDEX(Assumptions_Commercial!$B$22:$B$33,MONTH(TIMELINE!R7))</f>
        <v/>
      </c>
      <c r="W19" s="31">
        <f>$D19        *(1+$E19)^((YEAR(TIMELINE!S7)-2025)+(MONTH(TIMELINE!S7)-1)/12)        /12        *INDEX(Assumptions_Commercial!$B$22:$B$33,MONTH(TIMELINE!S7))</f>
        <v/>
      </c>
      <c r="X19" s="31">
        <f>$D19        *(1+$E19)^((YEAR(TIMELINE!T7)-2025)+(MONTH(TIMELINE!T7)-1)/12)        /12        *INDEX(Assumptions_Commercial!$B$22:$B$33,MONTH(TIMELINE!T7))</f>
        <v/>
      </c>
      <c r="Y19" s="31">
        <f>$D19        *(1+$E19)^((YEAR(TIMELINE!U7)-2025)+(MONTH(TIMELINE!U7)-1)/12)        /12        *INDEX(Assumptions_Commercial!$B$22:$B$33,MONTH(TIMELINE!U7))</f>
        <v/>
      </c>
      <c r="Z19" s="31">
        <f>$D19        *(1+$E19)^((YEAR(TIMELINE!V7)-2025)+(MONTH(TIMELINE!V7)-1)/12)        /12        *INDEX(Assumptions_Commercial!$B$22:$B$33,MONTH(TIMELINE!V7))</f>
        <v/>
      </c>
      <c r="AA19" s="31">
        <f>$D19        *(1+$E19)^((YEAR(TIMELINE!W7)-2025)+(MONTH(TIMELINE!W7)-1)/12)        /12        *INDEX(Assumptions_Commercial!$B$22:$B$33,MONTH(TIMELINE!W7))</f>
        <v/>
      </c>
      <c r="AB19" s="31">
        <f>$D19        *(1+$E19)^((YEAR(TIMELINE!X7)-2025)+(MONTH(TIMELINE!X7)-1)/12)        /12        *INDEX(Assumptions_Commercial!$B$22:$B$33,MONTH(TIMELINE!X7))</f>
        <v/>
      </c>
      <c r="AC19" s="31">
        <f>$D19        *(1+$E19)^((YEAR(TIMELINE!Y7)-2025)+(MONTH(TIMELINE!Y7)-1)/12)        /12        *INDEX(Assumptions_Commercial!$B$22:$B$33,MONTH(TIMELINE!Y7))</f>
        <v/>
      </c>
      <c r="AD19" s="31">
        <f>$D19        *(1+$E19)^((YEAR(TIMELINE!Z7)-2025)+(MONTH(TIMELINE!Z7)-1)/12)        /12        *INDEX(Assumptions_Commercial!$B$22:$B$33,MONTH(TIMELINE!Z7))</f>
        <v/>
      </c>
      <c r="AE19" s="31">
        <f>$D19        *(1+$E19)^((YEAR(TIMELINE!AA7)-2025)+(MONTH(TIMELINE!AA7)-1)/12)        /12        *INDEX(Assumptions_Commercial!$B$22:$B$33,MONTH(TIMELINE!AA7))</f>
        <v/>
      </c>
      <c r="AF19" s="31">
        <f>$D19        *(1+$E19)^((YEAR(TIMELINE!AB7)-2025)+(MONTH(TIMELINE!AB7)-1)/12)        /12        *INDEX(Assumptions_Commercial!$B$22:$B$33,MONTH(TIMELINE!AB7))</f>
        <v/>
      </c>
      <c r="AG19" s="31">
        <f>$D19        *(1+$E19)^((YEAR(TIMELINE!AC7)-2025)+(MONTH(TIMELINE!AC7)-1)/12)        /12        *INDEX(Assumptions_Commercial!$B$22:$B$33,MONTH(TIMELINE!AC7))</f>
        <v/>
      </c>
      <c r="AH19" s="31">
        <f>$D19        *(1+$E19)^((YEAR(TIMELINE!AD7)-2025)+(MONTH(TIMELINE!AD7)-1)/12)        /12        *INDEX(Assumptions_Commercial!$B$22:$B$33,MONTH(TIMELINE!AD7))</f>
        <v/>
      </c>
      <c r="AI19" s="31">
        <f>$D19        *(1+$E19)^((YEAR(TIMELINE!AE7)-2025)+(MONTH(TIMELINE!AE7)-1)/12)        /12        *INDEX(Assumptions_Commercial!$B$22:$B$33,MONTH(TIMELINE!AE7))</f>
        <v/>
      </c>
      <c r="AJ19" s="31">
        <f>$D19        *(1+$E19)^((YEAR(TIMELINE!AF7)-2025)+(MONTH(TIMELINE!AF7)-1)/12)        /12        *INDEX(Assumptions_Commercial!$B$22:$B$33,MONTH(TIMELINE!AF7))</f>
        <v/>
      </c>
      <c r="AK19" s="31">
        <f>$D19        *(1+$E19)^((YEAR(TIMELINE!AG7)-2025)+(MONTH(TIMELINE!AG7)-1)/12)        /12        *INDEX(Assumptions_Commercial!$B$22:$B$33,MONTH(TIMELINE!AG7))</f>
        <v/>
      </c>
      <c r="AL19" s="31">
        <f>$D19        *(1+$E19)^((YEAR(TIMELINE!AH7)-2025)+(MONTH(TIMELINE!AH7)-1)/12)        /12        *INDEX(Assumptions_Commercial!$B$22:$B$33,MONTH(TIMELINE!AH7))</f>
        <v/>
      </c>
      <c r="AM19" s="31">
        <f>$D19        *(1+$E19)^((YEAR(TIMELINE!AI7)-2025)+(MONTH(TIMELINE!AI7)-1)/12)        /12        *INDEX(Assumptions_Commercial!$B$22:$B$33,MONTH(TIMELINE!AI7))</f>
        <v/>
      </c>
      <c r="AN19" s="31">
        <f>$D19        *(1+$E19)^((YEAR(TIMELINE!AJ7)-2025)+(MONTH(TIMELINE!AJ7)-1)/12)        /12        *INDEX(Assumptions_Commercial!$B$22:$B$33,MONTH(TIMELINE!AJ7))</f>
        <v/>
      </c>
      <c r="AO19" s="31">
        <f>$D19        *(1+$E19)^((YEAR(TIMELINE!AK7)-2025)+(MONTH(TIMELINE!AK7)-1)/12)        /12        *INDEX(Assumptions_Commercial!$B$22:$B$33,MONTH(TIMELINE!AK7))</f>
        <v/>
      </c>
      <c r="AP19" s="31">
        <f>$D19        *(1+$E19)^((YEAR(TIMELINE!AL7)-2025)+(MONTH(TIMELINE!AL7)-1)/12)        /12        *INDEX(Assumptions_Commercial!$B$22:$B$33,MONTH(TIMELINE!AL7))</f>
        <v/>
      </c>
      <c r="AQ19" s="31">
        <f>$D19        *(1+$E19)^((YEAR(TIMELINE!AM7)-2025)+(MONTH(TIMELINE!AM7)-1)/12)        /12        *INDEX(Assumptions_Commercial!$B$22:$B$33,MONTH(TIMELINE!AM7))</f>
        <v/>
      </c>
      <c r="AR19" s="31">
        <f>$D19        *(1+$E19)^((YEAR(TIMELINE!AN7)-2025)+(MONTH(TIMELINE!AN7)-1)/12)        /12        *INDEX(Assumptions_Commercial!$B$22:$B$33,MONTH(TIMELINE!AN7))</f>
        <v/>
      </c>
      <c r="AS19" s="31">
        <f>$D19        *(1+$E19)^((YEAR(TIMELINE!AO7)-2025)+(MONTH(TIMELINE!AO7)-1)/12)        /12        *INDEX(Assumptions_Commercial!$B$22:$B$33,MONTH(TIMELINE!AO7))</f>
        <v/>
      </c>
      <c r="AT19" s="31">
        <f>$D19        *(1+$E19)^((YEAR(TIMELINE!AP7)-2025)+(MONTH(TIMELINE!AP7)-1)/12)        /12        *INDEX(Assumptions_Commercial!$B$22:$B$33,MONTH(TIMELINE!AP7))</f>
        <v/>
      </c>
      <c r="AU19" s="31">
        <f>$D19        *(1+$E19)^((YEAR(TIMELINE!AQ7)-2025)+(MONTH(TIMELINE!AQ7)-1)/12)        /12        *INDEX(Assumptions_Commercial!$B$22:$B$33,MONTH(TIMELINE!AQ7))</f>
        <v/>
      </c>
      <c r="AV19" s="31">
        <f>$D19        *(1+$E19)^((YEAR(TIMELINE!AR7)-2025)+(MONTH(TIMELINE!AR7)-1)/12)        /12        *INDEX(Assumptions_Commercial!$B$22:$B$33,MONTH(TIMELINE!AR7))</f>
        <v/>
      </c>
      <c r="AW19" s="31">
        <f>$D19        *(1+$E19)^((YEAR(TIMELINE!AS7)-2025)+(MONTH(TIMELINE!AS7)-1)/12)        /12        *INDEX(Assumptions_Commercial!$B$22:$B$33,MONTH(TIMELINE!AS7))</f>
        <v/>
      </c>
      <c r="AX19" s="31">
        <f>$D19        *(1+$E19)^((YEAR(TIMELINE!AT7)-2025)+(MONTH(TIMELINE!AT7)-1)/12)        /12        *INDEX(Assumptions_Commercial!$B$22:$B$33,MONTH(TIMELINE!AT7))</f>
        <v/>
      </c>
      <c r="AY19" s="31">
        <f>$D19        *(1+$E19)^((YEAR(TIMELINE!AU7)-2025)+(MONTH(TIMELINE!AU7)-1)/12)        /12        *INDEX(Assumptions_Commercial!$B$22:$B$33,MONTH(TIMELINE!AU7))</f>
        <v/>
      </c>
      <c r="AZ19" s="31">
        <f>$D19        *(1+$E19)^((YEAR(TIMELINE!AV7)-2025)+(MONTH(TIMELINE!AV7)-1)/12)        /12        *INDEX(Assumptions_Commercial!$B$22:$B$33,MONTH(TIMELINE!AV7))</f>
        <v/>
      </c>
      <c r="BA19" s="31">
        <f>$D19        *(1+$E19)^((YEAR(TIMELINE!AW7)-2025)+(MONTH(TIMELINE!AW7)-1)/12)        /12        *INDEX(Assumptions_Commercial!$B$22:$B$33,MONTH(TIMELINE!AW7))</f>
        <v/>
      </c>
      <c r="BB19" s="31">
        <f>$D19        *(1+$E19)^((YEAR(TIMELINE!AX7)-2025)+(MONTH(TIMELINE!AX7)-1)/12)        /12        *INDEX(Assumptions_Commercial!$B$22:$B$33,MONTH(TIMELINE!AX7))</f>
        <v/>
      </c>
      <c r="BC19" s="31">
        <f>$D19        *(1+$E19)^((YEAR(TIMELINE!AY7)-2025)+(MONTH(TIMELINE!AY7)-1)/12)        /12        *INDEX(Assumptions_Commercial!$B$22:$B$33,MONTH(TIMELINE!AY7))</f>
        <v/>
      </c>
      <c r="BD19" s="31">
        <f>$D19        *(1+$E19)^((YEAR(TIMELINE!AZ7)-2025)+(MONTH(TIMELINE!AZ7)-1)/12)        /12        *INDEX(Assumptions_Commercial!$B$22:$B$33,MONTH(TIMELINE!AZ7))</f>
        <v/>
      </c>
      <c r="BE19" s="31">
        <f>$D19        *(1+$E19)^((YEAR(TIMELINE!BA7)-2025)+(MONTH(TIMELINE!BA7)-1)/12)        /12        *INDEX(Assumptions_Commercial!$B$22:$B$33,MONTH(TIMELINE!BA7))</f>
        <v/>
      </c>
      <c r="BF19" s="31">
        <f>$D19        *(1+$E19)^((YEAR(TIMELINE!BB7)-2025)+(MONTH(TIMELINE!BB7)-1)/12)        /12        *INDEX(Assumptions_Commercial!$B$22:$B$33,MONTH(TIMELINE!BB7))</f>
        <v/>
      </c>
      <c r="BG19" s="31">
        <f>$D19        *(1+$E19)^((YEAR(TIMELINE!BC7)-2025)+(MONTH(TIMELINE!BC7)-1)/12)        /12        *INDEX(Assumptions_Commercial!$B$22:$B$33,MONTH(TIMELINE!BC7))</f>
        <v/>
      </c>
      <c r="BH19" s="31">
        <f>$D19        *(1+$E19)^((YEAR(TIMELINE!BD7)-2025)+(MONTH(TIMELINE!BD7)-1)/12)        /12        *INDEX(Assumptions_Commercial!$B$22:$B$33,MONTH(TIMELINE!BD7))</f>
        <v/>
      </c>
      <c r="BI19" s="31">
        <f>$D19        *(1+$E19)^((YEAR(TIMELINE!BE7)-2025)+(MONTH(TIMELINE!BE7)-1)/12)        /12        *INDEX(Assumptions_Commercial!$B$22:$B$33,MONTH(TIMELINE!BE7))</f>
        <v/>
      </c>
      <c r="BJ19" s="31">
        <f>$D19        *(1+$E19)^((YEAR(TIMELINE!BF7)-2025)+(MONTH(TIMELINE!BF7)-1)/12)        /12        *INDEX(Assumptions_Commercial!$B$22:$B$33,MONTH(TIMELINE!BF7))</f>
        <v/>
      </c>
      <c r="BK19" s="31">
        <f>$D19        *(1+$E19)^((YEAR(TIMELINE!BG7)-2025)+(MONTH(TIMELINE!BG7)-1)/12)        /12        *INDEX(Assumptions_Commercial!$B$22:$B$33,MONTH(TIMELINE!BG7))</f>
        <v/>
      </c>
      <c r="BL19" s="31">
        <f>$D19        *(1+$E19)^((YEAR(TIMELINE!BH7)-2025)+(MONTH(TIMELINE!BH7)-1)/12)        /12        *INDEX(Assumptions_Commercial!$B$22:$B$33,MONTH(TIMELINE!BH7))</f>
        <v/>
      </c>
      <c r="BM19" s="31">
        <f>$D19        *(1+$E19)^((YEAR(TIMELINE!BI7)-2025)+(MONTH(TIMELINE!BI7)-1)/12)        /12        *INDEX(Assumptions_Commercial!$B$22:$B$33,MONTH(TIMELINE!BI7))</f>
        <v/>
      </c>
      <c r="BN19" s="31">
        <f>$D19        *(1+$E19)^((YEAR(TIMELINE!BJ7)-2025)+(MONTH(TIMELINE!BJ7)-1)/12)        /12        *INDEX(Assumptions_Commercial!$B$22:$B$33,MONTH(TIMELINE!BJ7))</f>
        <v/>
      </c>
      <c r="BO19" s="31">
        <f>$D19        *(1+$E19)^((YEAR(TIMELINE!BK7)-2025)+(MONTH(TIMELINE!BK7)-1)/12)        /12        *INDEX(Assumptions_Commercial!$B$22:$B$33,MONTH(TIMELINE!BK7))</f>
        <v/>
      </c>
      <c r="BP19" s="31">
        <f>$D19        *(1+$E19)^((YEAR(TIMELINE!BL7)-2025)+(MONTH(TIMELINE!BL7)-1)/12)        /12        *INDEX(Assumptions_Commercial!$B$22:$B$33,MONTH(TIMELINE!BL7))</f>
        <v/>
      </c>
      <c r="BQ19" s="31">
        <f>$D19        *(1+$E19)^((YEAR(TIMELINE!BM7)-2025)+(MONTH(TIMELINE!BM7)-1)/12)        /12        *INDEX(Assumptions_Commercial!$B$22:$B$33,MONTH(TIMELINE!BM7))</f>
        <v/>
      </c>
      <c r="BR19" s="31">
        <f>$D19        *(1+$E19)^((YEAR(TIMELINE!BN7)-2025)+(MONTH(TIMELINE!BN7)-1)/12)        /12        *INDEX(Assumptions_Commercial!$B$22:$B$33,MONTH(TIMELINE!BN7))</f>
        <v/>
      </c>
      <c r="BS19" s="31">
        <f>$D19        *(1+$E19)^((YEAR(TIMELINE!BO7)-2025)+(MONTH(TIMELINE!BO7)-1)/12)        /12        *INDEX(Assumptions_Commercial!$B$22:$B$33,MONTH(TIMELINE!BO7))</f>
        <v/>
      </c>
      <c r="BT19" s="31">
        <f>$D19        *(1+$E19)^((YEAR(TIMELINE!BP7)-2025)+(MONTH(TIMELINE!BP7)-1)/12)        /12        *INDEX(Assumptions_Commercial!$B$22:$B$33,MONTH(TIMELINE!BP7))</f>
        <v/>
      </c>
      <c r="BU19" s="31">
        <f>$D19        *(1+$E19)^((YEAR(TIMELINE!BQ7)-2025)+(MONTH(TIMELINE!BQ7)-1)/12)        /12        *INDEX(Assumptions_Commercial!$B$22:$B$33,MONTH(TIMELINE!BQ7))</f>
        <v/>
      </c>
      <c r="BV19" s="31">
        <f>$D19        *(1+$E19)^((YEAR(TIMELINE!BR7)-2025)+(MONTH(TIMELINE!BR7)-1)/12)        /12        *INDEX(Assumptions_Commercial!$B$22:$B$33,MONTH(TIMELINE!BR7))</f>
        <v/>
      </c>
      <c r="BW19" s="31">
        <f>$D19        *(1+$E19)^((YEAR(TIMELINE!BS7)-2025)+(MONTH(TIMELINE!BS7)-1)/12)        /12        *INDEX(Assumptions_Commercial!$B$22:$B$33,MONTH(TIMELINE!BS7))</f>
        <v/>
      </c>
      <c r="BX19" s="31">
        <f>$D19        *(1+$E19)^((YEAR(TIMELINE!BT7)-2025)+(MONTH(TIMELINE!BT7)-1)/12)        /12        *INDEX(Assumptions_Commercial!$B$22:$B$33,MONTH(TIMELINE!BT7))</f>
        <v/>
      </c>
      <c r="BY19" s="31">
        <f>$D19        *(1+$E19)^((YEAR(TIMELINE!BU7)-2025)+(MONTH(TIMELINE!BU7)-1)/12)        /12        *INDEX(Assumptions_Commercial!$B$22:$B$33,MONTH(TIMELINE!BU7))</f>
        <v/>
      </c>
      <c r="BZ19" s="31">
        <f>$D19        *(1+$E19)^((YEAR(TIMELINE!BV7)-2025)+(MONTH(TIMELINE!BV7)-1)/12)        /12        *INDEX(Assumptions_Commercial!$B$22:$B$33,MONTH(TIMELINE!BV7))</f>
        <v/>
      </c>
      <c r="CA19" s="31">
        <f>$D19        *(1+$E19)^((YEAR(TIMELINE!BW7)-2025)+(MONTH(TIMELINE!BW7)-1)/12)        /12        *INDEX(Assumptions_Commercial!$B$22:$B$33,MONTH(TIMELINE!BW7))</f>
        <v/>
      </c>
      <c r="CB19" s="31">
        <f>$D19        *(1+$E19)^((YEAR(TIMELINE!BX7)-2025)+(MONTH(TIMELINE!BX7)-1)/12)        /12        *INDEX(Assumptions_Commercial!$B$22:$B$33,MONTH(TIMELINE!BX7))</f>
        <v/>
      </c>
      <c r="CC19" s="31">
        <f>$D19        *(1+$E19)^((YEAR(TIMELINE!BY7)-2025)+(MONTH(TIMELINE!BY7)-1)/12)        /12        *INDEX(Assumptions_Commercial!$B$22:$B$33,MONTH(TIMELINE!BY7))</f>
        <v/>
      </c>
      <c r="CD19" s="31">
        <f>$D19        *(1+$E19)^((YEAR(TIMELINE!BZ7)-2025)+(MONTH(TIMELINE!BZ7)-1)/12)        /12        *INDEX(Assumptions_Commercial!$B$22:$B$33,MONTH(TIMELINE!BZ7))</f>
        <v/>
      </c>
      <c r="CE19" s="31">
        <f>$D19        *(1+$E19)^((YEAR(TIMELINE!CA7)-2025)+(MONTH(TIMELINE!CA7)-1)/12)        /12        *INDEX(Assumptions_Commercial!$B$22:$B$33,MONTH(TIMELINE!CA7))</f>
        <v/>
      </c>
      <c r="CF19" s="31">
        <f>$D19        *(1+$E19)^((YEAR(TIMELINE!CB7)-2025)+(MONTH(TIMELINE!CB7)-1)/12)        /12        *INDEX(Assumptions_Commercial!$B$22:$B$33,MONTH(TIMELINE!CB7))</f>
        <v/>
      </c>
      <c r="CG19" s="31">
        <f>$D19        *(1+$E19)^((YEAR(TIMELINE!CC7)-2025)+(MONTH(TIMELINE!CC7)-1)/12)        /12        *INDEX(Assumptions_Commercial!$B$22:$B$33,MONTH(TIMELINE!CC7))</f>
        <v/>
      </c>
      <c r="CH19" s="31">
        <f>$D19        *(1+$E19)^((YEAR(TIMELINE!CD7)-2025)+(MONTH(TIMELINE!CD7)-1)/12)        /12        *INDEX(Assumptions_Commercial!$B$22:$B$33,MONTH(TIMELINE!CD7))</f>
        <v/>
      </c>
      <c r="CI19" s="31">
        <f>$D19        *(1+$E19)^((YEAR(TIMELINE!CE7)-2025)+(MONTH(TIMELINE!CE7)-1)/12)        /12        *INDEX(Assumptions_Commercial!$B$22:$B$33,MONTH(TIMELINE!CE7))</f>
        <v/>
      </c>
      <c r="CJ19" s="31">
        <f>$D19        *(1+$E19)^((YEAR(TIMELINE!CF7)-2025)+(MONTH(TIMELINE!CF7)-1)/12)        /12        *INDEX(Assumptions_Commercial!$B$22:$B$33,MONTH(TIMELINE!CF7))</f>
        <v/>
      </c>
      <c r="CK19" s="31">
        <f>$D19        *(1+$E19)^((YEAR(TIMELINE!CG7)-2025)+(MONTH(TIMELINE!CG7)-1)/12)        /12        *INDEX(Assumptions_Commercial!$B$22:$B$33,MONTH(TIMELINE!CG7))</f>
        <v/>
      </c>
      <c r="CL19" s="31">
        <f>$D19        *(1+$E19)^((YEAR(TIMELINE!CH7)-2025)+(MONTH(TIMELINE!CH7)-1)/12)        /12        *INDEX(Assumptions_Commercial!$B$22:$B$33,MONTH(TIMELINE!CH7))</f>
        <v/>
      </c>
      <c r="CM19" s="31">
        <f>$D19        *(1+$E19)^((YEAR(TIMELINE!CI7)-2025)+(MONTH(TIMELINE!CI7)-1)/12)        /12        *INDEX(Assumptions_Commercial!$B$22:$B$33,MONTH(TIMELINE!CI7))</f>
        <v/>
      </c>
      <c r="CN19" s="31">
        <f>$D19        *(1+$E19)^((YEAR(TIMELINE!CJ7)-2025)+(MONTH(TIMELINE!CJ7)-1)/12)        /12        *INDEX(Assumptions_Commercial!$B$22:$B$33,MONTH(TIMELINE!CJ7))</f>
        <v/>
      </c>
      <c r="CO19" s="31">
        <f>$D19        *(1+$E19)^((YEAR(TIMELINE!CK7)-2025)+(MONTH(TIMELINE!CK7)-1)/12)        /12        *INDEX(Assumptions_Commercial!$B$22:$B$33,MONTH(TIMELINE!CK7))</f>
        <v/>
      </c>
      <c r="CP19" s="31">
        <f>$D19        *(1+$E19)^((YEAR(TIMELINE!CL7)-2025)+(MONTH(TIMELINE!CL7)-1)/12)        /12        *INDEX(Assumptions_Commercial!$B$22:$B$33,MONTH(TIMELINE!CL7))</f>
        <v/>
      </c>
      <c r="CQ19" s="31">
        <f>$D19        *(1+$E19)^((YEAR(TIMELINE!CM7)-2025)+(MONTH(TIMELINE!CM7)-1)/12)        /12        *INDEX(Assumptions_Commercial!$B$22:$B$33,MONTH(TIMELINE!CM7))</f>
        <v/>
      </c>
      <c r="CR19" s="31">
        <f>$D19        *(1+$E19)^((YEAR(TIMELINE!CN7)-2025)+(MONTH(TIMELINE!CN7)-1)/12)        /12        *INDEX(Assumptions_Commercial!$B$22:$B$33,MONTH(TIMELINE!CN7))</f>
        <v/>
      </c>
      <c r="CS19" s="31">
        <f>$D19        *(1+$E19)^((YEAR(TIMELINE!CO7)-2025)+(MONTH(TIMELINE!CO7)-1)/12)        /12        *INDEX(Assumptions_Commercial!$B$22:$B$33,MONTH(TIMELINE!CO7))</f>
        <v/>
      </c>
      <c r="CT19" s="31">
        <f>$D19        *(1+$E19)^((YEAR(TIMELINE!CP7)-2025)+(MONTH(TIMELINE!CP7)-1)/12)        /12        *INDEX(Assumptions_Commercial!$B$22:$B$33,MONTH(TIMELINE!CP7))</f>
        <v/>
      </c>
      <c r="CU19" s="31">
        <f>$D19        *(1+$E19)^((YEAR(TIMELINE!CQ7)-2025)+(MONTH(TIMELINE!CQ7)-1)/12)        /12        *INDEX(Assumptions_Commercial!$B$22:$B$33,MONTH(TIMELINE!CQ7))</f>
        <v/>
      </c>
      <c r="CV19" s="31">
        <f>$D19        *(1+$E19)^((YEAR(TIMELINE!CR7)-2025)+(MONTH(TIMELINE!CR7)-1)/12)        /12        *INDEX(Assumptions_Commercial!$B$22:$B$33,MONTH(TIMELINE!CR7))</f>
        <v/>
      </c>
      <c r="CW19" s="31">
        <f>$D19        *(1+$E19)^((YEAR(TIMELINE!CS7)-2025)+(MONTH(TIMELINE!CS7)-1)/12)        /12        *INDEX(Assumptions_Commercial!$B$22:$B$33,MONTH(TIMELINE!CS7))</f>
        <v/>
      </c>
      <c r="CX19" s="31">
        <f>$D19        *(1+$E19)^((YEAR(TIMELINE!CT7)-2025)+(MONTH(TIMELINE!CT7)-1)/12)        /12        *INDEX(Assumptions_Commercial!$B$22:$B$33,MONTH(TIMELINE!CT7))</f>
        <v/>
      </c>
      <c r="CY19" s="31">
        <f>$D19        *(1+$E19)^((YEAR(TIMELINE!CU7)-2025)+(MONTH(TIMELINE!CU7)-1)/12)        /12        *INDEX(Assumptions_Commercial!$B$22:$B$33,MONTH(TIMELINE!CU7))</f>
        <v/>
      </c>
      <c r="CZ19" s="31">
        <f>$D19        *(1+$E19)^((YEAR(TIMELINE!CV7)-2025)+(MONTH(TIMELINE!CV7)-1)/12)        /12        *INDEX(Assumptions_Commercial!$B$22:$B$33,MONTH(TIMELINE!CV7))</f>
        <v/>
      </c>
      <c r="DA19" s="31">
        <f>$D19        *(1+$E19)^((YEAR(TIMELINE!CW7)-2025)+(MONTH(TIMELINE!CW7)-1)/12)        /12        *INDEX(Assumptions_Commercial!$B$22:$B$33,MONTH(TIMELINE!CW7))</f>
        <v/>
      </c>
      <c r="DB19" s="31">
        <f>$D19        *(1+$E19)^((YEAR(TIMELINE!CX7)-2025)+(MONTH(TIMELINE!CX7)-1)/12)        /12        *INDEX(Assumptions_Commercial!$B$22:$B$33,MONTH(TIMELINE!CX7))</f>
        <v/>
      </c>
      <c r="DC19" s="31">
        <f>$D19        *(1+$E19)^((YEAR(TIMELINE!CY7)-2025)+(MONTH(TIMELINE!CY7)-1)/12)        /12        *INDEX(Assumptions_Commercial!$B$22:$B$33,MONTH(TIMELINE!CY7))</f>
        <v/>
      </c>
      <c r="DD19" s="31">
        <f>$D19        *(1+$E19)^((YEAR(TIMELINE!CZ7)-2025)+(MONTH(TIMELINE!CZ7)-1)/12)        /12        *INDEX(Assumptions_Commercial!$B$22:$B$33,MONTH(TIMELINE!CZ7))</f>
        <v/>
      </c>
      <c r="DE19" s="31">
        <f>$D19        *(1+$E19)^((YEAR(TIMELINE!DA7)-2025)+(MONTH(TIMELINE!DA7)-1)/12)        /12        *INDEX(Assumptions_Commercial!$B$22:$B$33,MONTH(TIMELINE!DA7))</f>
        <v/>
      </c>
      <c r="DF19" s="31">
        <f>$D19        *(1+$E19)^((YEAR(TIMELINE!DB7)-2025)+(MONTH(TIMELINE!DB7)-1)/12)        /12        *INDEX(Assumptions_Commercial!$B$22:$B$33,MONTH(TIMELINE!DB7))</f>
        <v/>
      </c>
      <c r="DG19" s="31">
        <f>$D19        *(1+$E19)^((YEAR(TIMELINE!DC7)-2025)+(MONTH(TIMELINE!DC7)-1)/12)        /12        *INDEX(Assumptions_Commercial!$B$22:$B$33,MONTH(TIMELINE!DC7))</f>
        <v/>
      </c>
      <c r="DH19" s="31">
        <f>$D19        *(1+$E19)^((YEAR(TIMELINE!DD7)-2025)+(MONTH(TIMELINE!DD7)-1)/12)        /12        *INDEX(Assumptions_Commercial!$B$22:$B$33,MONTH(TIMELINE!DD7))</f>
        <v/>
      </c>
      <c r="DI19" s="31">
        <f>$D19        *(1+$E19)^((YEAR(TIMELINE!DE7)-2025)+(MONTH(TIMELINE!DE7)-1)/12)        /12        *INDEX(Assumptions_Commercial!$B$22:$B$33,MONTH(TIMELINE!DE7))</f>
        <v/>
      </c>
      <c r="DJ19" s="31">
        <f>$D19        *(1+$E19)^((YEAR(TIMELINE!DF7)-2025)+(MONTH(TIMELINE!DF7)-1)/12)        /12        *INDEX(Assumptions_Commercial!$B$22:$B$33,MONTH(TIMELINE!DF7))</f>
        <v/>
      </c>
      <c r="DK19" s="31">
        <f>$D19        *(1+$E19)^((YEAR(TIMELINE!DG7)-2025)+(MONTH(TIMELINE!DG7)-1)/12)        /12        *INDEX(Assumptions_Commercial!$B$22:$B$33,MONTH(TIMELINE!DG7))</f>
        <v/>
      </c>
      <c r="DL19" s="31">
        <f>$D19        *(1+$E19)^((YEAR(TIMELINE!DH7)-2025)+(MONTH(TIMELINE!DH7)-1)/12)        /12        *INDEX(Assumptions_Commercial!$B$22:$B$33,MONTH(TIMELINE!DH7))</f>
        <v/>
      </c>
      <c r="DM19" s="31">
        <f>$D19        *(1+$E19)^((YEAR(TIMELINE!DI7)-2025)+(MONTH(TIMELINE!DI7)-1)/12)        /12        *INDEX(Assumptions_Commercial!$B$22:$B$33,MONTH(TIMELINE!DI7))</f>
        <v/>
      </c>
      <c r="DN19" s="31">
        <f>$D19        *(1+$E19)^((YEAR(TIMELINE!DJ7)-2025)+(MONTH(TIMELINE!DJ7)-1)/12)        /12        *INDEX(Assumptions_Commercial!$B$22:$B$33,MONTH(TIMELINE!DJ7))</f>
        <v/>
      </c>
      <c r="DO19" s="31">
        <f>$D19        *(1+$E19)^((YEAR(TIMELINE!DK7)-2025)+(MONTH(TIMELINE!DK7)-1)/12)        /12        *INDEX(Assumptions_Commercial!$B$22:$B$33,MONTH(TIMELINE!DK7))</f>
        <v/>
      </c>
      <c r="DP19" s="31">
        <f>$D19        *(1+$E19)^((YEAR(TIMELINE!DL7)-2025)+(MONTH(TIMELINE!DL7)-1)/12)        /12        *INDEX(Assumptions_Commercial!$B$22:$B$33,MONTH(TIMELINE!DL7))</f>
        <v/>
      </c>
      <c r="DQ19" s="31">
        <f>$D19        *(1+$E19)^((YEAR(TIMELINE!DM7)-2025)+(MONTH(TIMELINE!DM7)-1)/12)        /12        *INDEX(Assumptions_Commercial!$B$22:$B$33,MONTH(TIMELINE!DM7))</f>
        <v/>
      </c>
      <c r="DR19" s="31">
        <f>$D19        *(1+$E19)^((YEAR(TIMELINE!DN7)-2025)+(MONTH(TIMELINE!DN7)-1)/12)        /12        *INDEX(Assumptions_Commercial!$B$22:$B$33,MONTH(TIMELINE!DN7))</f>
        <v/>
      </c>
      <c r="DS19" s="31">
        <f>$D19        *(1+$E19)^((YEAR(TIMELINE!DO7)-2025)+(MONTH(TIMELINE!DO7)-1)/12)        /12        *INDEX(Assumptions_Commercial!$B$22:$B$33,MONTH(TIMELINE!DO7))</f>
        <v/>
      </c>
      <c r="DT19" s="31">
        <f>$D19        *(1+$E19)^((YEAR(TIMELINE!DP7)-2025)+(MONTH(TIMELINE!DP7)-1)/12)        /12        *INDEX(Assumptions_Commercial!$B$22:$B$33,MONTH(TIMELINE!DP7))</f>
        <v/>
      </c>
      <c r="DU19" s="31">
        <f>$D19        *(1+$E19)^((YEAR(TIMELINE!DQ7)-2025)+(MONTH(TIMELINE!DQ7)-1)/12)        /12        *INDEX(Assumptions_Commercial!$B$22:$B$33,MONTH(TIMELINE!DQ7))</f>
        <v/>
      </c>
    </row>
    <row r="20">
      <c r="A20" s="32" t="inlineStr">
        <is>
          <t>TOTAL HL</t>
        </is>
      </c>
      <c r="F20" s="33">
        <f>SUM(F4:F19)</f>
        <v/>
      </c>
      <c r="G20" s="33">
        <f>SUM(G4:G19)</f>
        <v/>
      </c>
      <c r="H20" s="33">
        <f>SUM(H4:H19)</f>
        <v/>
      </c>
      <c r="I20" s="33">
        <f>SUM(I4:I19)</f>
        <v/>
      </c>
      <c r="J20" s="33">
        <f>SUM(J4:J19)</f>
        <v/>
      </c>
      <c r="K20" s="33">
        <f>SUM(K4:K19)</f>
        <v/>
      </c>
      <c r="L20" s="33">
        <f>SUM(L4:L19)</f>
        <v/>
      </c>
      <c r="M20" s="33">
        <f>SUM(M4:M19)</f>
        <v/>
      </c>
      <c r="N20" s="33">
        <f>SUM(N4:N19)</f>
        <v/>
      </c>
      <c r="O20" s="33">
        <f>SUM(O4:O19)</f>
        <v/>
      </c>
      <c r="P20" s="33">
        <f>SUM(P4:P19)</f>
        <v/>
      </c>
      <c r="Q20" s="33">
        <f>SUM(Q4:Q19)</f>
        <v/>
      </c>
      <c r="R20" s="33">
        <f>SUM(R4:R19)</f>
        <v/>
      </c>
      <c r="S20" s="33">
        <f>SUM(S4:S19)</f>
        <v/>
      </c>
      <c r="T20" s="33">
        <f>SUM(T4:T19)</f>
        <v/>
      </c>
      <c r="U20" s="33">
        <f>SUM(U4:U19)</f>
        <v/>
      </c>
      <c r="V20" s="33">
        <f>SUM(V4:V19)</f>
        <v/>
      </c>
      <c r="W20" s="33">
        <f>SUM(W4:W19)</f>
        <v/>
      </c>
      <c r="X20" s="33">
        <f>SUM(X4:X19)</f>
        <v/>
      </c>
      <c r="Y20" s="33">
        <f>SUM(Y4:Y19)</f>
        <v/>
      </c>
      <c r="Z20" s="33">
        <f>SUM(Z4:Z19)</f>
        <v/>
      </c>
      <c r="AA20" s="33">
        <f>SUM(AA4:AA19)</f>
        <v/>
      </c>
      <c r="AB20" s="33">
        <f>SUM(AB4:AB19)</f>
        <v/>
      </c>
      <c r="AC20" s="33">
        <f>SUM(AC4:AC19)</f>
        <v/>
      </c>
      <c r="AD20" s="33">
        <f>SUM(AD4:AD19)</f>
        <v/>
      </c>
      <c r="AE20" s="33">
        <f>SUM(AE4:AE19)</f>
        <v/>
      </c>
      <c r="AF20" s="33">
        <f>SUM(AF4:AF19)</f>
        <v/>
      </c>
      <c r="AG20" s="33">
        <f>SUM(AG4:AG19)</f>
        <v/>
      </c>
      <c r="AH20" s="33">
        <f>SUM(AH4:AH19)</f>
        <v/>
      </c>
      <c r="AI20" s="33">
        <f>SUM(AI4:AI19)</f>
        <v/>
      </c>
      <c r="AJ20" s="33">
        <f>SUM(AJ4:AJ19)</f>
        <v/>
      </c>
      <c r="AK20" s="33">
        <f>SUM(AK4:AK19)</f>
        <v/>
      </c>
      <c r="AL20" s="33">
        <f>SUM(AL4:AL19)</f>
        <v/>
      </c>
      <c r="AM20" s="33">
        <f>SUM(AM4:AM19)</f>
        <v/>
      </c>
      <c r="AN20" s="33">
        <f>SUM(AN4:AN19)</f>
        <v/>
      </c>
      <c r="AO20" s="33">
        <f>SUM(AO4:AO19)</f>
        <v/>
      </c>
      <c r="AP20" s="33">
        <f>SUM(AP4:AP19)</f>
        <v/>
      </c>
      <c r="AQ20" s="33">
        <f>SUM(AQ4:AQ19)</f>
        <v/>
      </c>
      <c r="AR20" s="33">
        <f>SUM(AR4:AR19)</f>
        <v/>
      </c>
      <c r="AS20" s="33">
        <f>SUM(AS4:AS19)</f>
        <v/>
      </c>
      <c r="AT20" s="33">
        <f>SUM(AT4:AT19)</f>
        <v/>
      </c>
      <c r="AU20" s="33">
        <f>SUM(AU4:AU19)</f>
        <v/>
      </c>
      <c r="AV20" s="33">
        <f>SUM(AV4:AV19)</f>
        <v/>
      </c>
      <c r="AW20" s="33">
        <f>SUM(AW4:AW19)</f>
        <v/>
      </c>
      <c r="AX20" s="33">
        <f>SUM(AX4:AX19)</f>
        <v/>
      </c>
      <c r="AY20" s="33">
        <f>SUM(AY4:AY19)</f>
        <v/>
      </c>
      <c r="AZ20" s="33">
        <f>SUM(AZ4:AZ19)</f>
        <v/>
      </c>
      <c r="BA20" s="33">
        <f>SUM(BA4:BA19)</f>
        <v/>
      </c>
      <c r="BB20" s="33">
        <f>SUM(BB4:BB19)</f>
        <v/>
      </c>
      <c r="BC20" s="33">
        <f>SUM(BC4:BC19)</f>
        <v/>
      </c>
      <c r="BD20" s="33">
        <f>SUM(BD4:BD19)</f>
        <v/>
      </c>
      <c r="BE20" s="33">
        <f>SUM(BE4:BE19)</f>
        <v/>
      </c>
      <c r="BF20" s="33">
        <f>SUM(BF4:BF19)</f>
        <v/>
      </c>
      <c r="BG20" s="33">
        <f>SUM(BG4:BG19)</f>
        <v/>
      </c>
      <c r="BH20" s="33">
        <f>SUM(BH4:BH19)</f>
        <v/>
      </c>
      <c r="BI20" s="33">
        <f>SUM(BI4:BI19)</f>
        <v/>
      </c>
      <c r="BJ20" s="33">
        <f>SUM(BJ4:BJ19)</f>
        <v/>
      </c>
      <c r="BK20" s="33">
        <f>SUM(BK4:BK19)</f>
        <v/>
      </c>
      <c r="BL20" s="33">
        <f>SUM(BL4:BL19)</f>
        <v/>
      </c>
      <c r="BM20" s="33">
        <f>SUM(BM4:BM19)</f>
        <v/>
      </c>
      <c r="BN20" s="33">
        <f>SUM(BN4:BN19)</f>
        <v/>
      </c>
      <c r="BO20" s="33">
        <f>SUM(BO4:BO19)</f>
        <v/>
      </c>
      <c r="BP20" s="33">
        <f>SUM(BP4:BP19)</f>
        <v/>
      </c>
      <c r="BQ20" s="33">
        <f>SUM(BQ4:BQ19)</f>
        <v/>
      </c>
      <c r="BR20" s="33">
        <f>SUM(BR4:BR19)</f>
        <v/>
      </c>
      <c r="BS20" s="33">
        <f>SUM(BS4:BS19)</f>
        <v/>
      </c>
      <c r="BT20" s="33">
        <f>SUM(BT4:BT19)</f>
        <v/>
      </c>
      <c r="BU20" s="33">
        <f>SUM(BU4:BU19)</f>
        <v/>
      </c>
      <c r="BV20" s="33">
        <f>SUM(BV4:BV19)</f>
        <v/>
      </c>
      <c r="BW20" s="33">
        <f>SUM(BW4:BW19)</f>
        <v/>
      </c>
      <c r="BX20" s="33">
        <f>SUM(BX4:BX19)</f>
        <v/>
      </c>
      <c r="BY20" s="33">
        <f>SUM(BY4:BY19)</f>
        <v/>
      </c>
      <c r="BZ20" s="33">
        <f>SUM(BZ4:BZ19)</f>
        <v/>
      </c>
      <c r="CA20" s="33">
        <f>SUM(CA4:CA19)</f>
        <v/>
      </c>
      <c r="CB20" s="33">
        <f>SUM(CB4:CB19)</f>
        <v/>
      </c>
      <c r="CC20" s="33">
        <f>SUM(CC4:CC19)</f>
        <v/>
      </c>
      <c r="CD20" s="33">
        <f>SUM(CD4:CD19)</f>
        <v/>
      </c>
      <c r="CE20" s="33">
        <f>SUM(CE4:CE19)</f>
        <v/>
      </c>
      <c r="CF20" s="33">
        <f>SUM(CF4:CF19)</f>
        <v/>
      </c>
      <c r="CG20" s="33">
        <f>SUM(CG4:CG19)</f>
        <v/>
      </c>
      <c r="CH20" s="33">
        <f>SUM(CH4:CH19)</f>
        <v/>
      </c>
      <c r="CI20" s="33">
        <f>SUM(CI4:CI19)</f>
        <v/>
      </c>
      <c r="CJ20" s="33">
        <f>SUM(CJ4:CJ19)</f>
        <v/>
      </c>
      <c r="CK20" s="33">
        <f>SUM(CK4:CK19)</f>
        <v/>
      </c>
      <c r="CL20" s="33">
        <f>SUM(CL4:CL19)</f>
        <v/>
      </c>
      <c r="CM20" s="33">
        <f>SUM(CM4:CM19)</f>
        <v/>
      </c>
      <c r="CN20" s="33">
        <f>SUM(CN4:CN19)</f>
        <v/>
      </c>
      <c r="CO20" s="33">
        <f>SUM(CO4:CO19)</f>
        <v/>
      </c>
      <c r="CP20" s="33">
        <f>SUM(CP4:CP19)</f>
        <v/>
      </c>
      <c r="CQ20" s="33">
        <f>SUM(CQ4:CQ19)</f>
        <v/>
      </c>
      <c r="CR20" s="33">
        <f>SUM(CR4:CR19)</f>
        <v/>
      </c>
      <c r="CS20" s="33">
        <f>SUM(CS4:CS19)</f>
        <v/>
      </c>
      <c r="CT20" s="33">
        <f>SUM(CT4:CT19)</f>
        <v/>
      </c>
      <c r="CU20" s="33">
        <f>SUM(CU4:CU19)</f>
        <v/>
      </c>
      <c r="CV20" s="33">
        <f>SUM(CV4:CV19)</f>
        <v/>
      </c>
      <c r="CW20" s="33">
        <f>SUM(CW4:CW19)</f>
        <v/>
      </c>
      <c r="CX20" s="33">
        <f>SUM(CX4:CX19)</f>
        <v/>
      </c>
      <c r="CY20" s="33">
        <f>SUM(CY4:CY19)</f>
        <v/>
      </c>
      <c r="CZ20" s="33">
        <f>SUM(CZ4:CZ19)</f>
        <v/>
      </c>
      <c r="DA20" s="33">
        <f>SUM(DA4:DA19)</f>
        <v/>
      </c>
      <c r="DB20" s="33">
        <f>SUM(DB4:DB19)</f>
        <v/>
      </c>
      <c r="DC20" s="33">
        <f>SUM(DC4:DC19)</f>
        <v/>
      </c>
      <c r="DD20" s="33">
        <f>SUM(DD4:DD19)</f>
        <v/>
      </c>
      <c r="DE20" s="33">
        <f>SUM(DE4:DE19)</f>
        <v/>
      </c>
      <c r="DF20" s="33">
        <f>SUM(DF4:DF19)</f>
        <v/>
      </c>
      <c r="DG20" s="33">
        <f>SUM(DG4:DG19)</f>
        <v/>
      </c>
      <c r="DH20" s="33">
        <f>SUM(DH4:DH19)</f>
        <v/>
      </c>
      <c r="DI20" s="33">
        <f>SUM(DI4:DI19)</f>
        <v/>
      </c>
      <c r="DJ20" s="33">
        <f>SUM(DJ4:DJ19)</f>
        <v/>
      </c>
      <c r="DK20" s="33">
        <f>SUM(DK4:DK19)</f>
        <v/>
      </c>
      <c r="DL20" s="33">
        <f>SUM(DL4:DL19)</f>
        <v/>
      </c>
      <c r="DM20" s="33">
        <f>SUM(DM4:DM19)</f>
        <v/>
      </c>
      <c r="DN20" s="33">
        <f>SUM(DN4:DN19)</f>
        <v/>
      </c>
      <c r="DO20" s="33">
        <f>SUM(DO4:DO19)</f>
        <v/>
      </c>
      <c r="DP20" s="33">
        <f>SUM(DP4:DP19)</f>
        <v/>
      </c>
      <c r="DQ20" s="33">
        <f>SUM(DQ4:DQ19)</f>
        <v/>
      </c>
      <c r="DR20" s="33">
        <f>SUM(DR4:DR19)</f>
        <v/>
      </c>
      <c r="DS20" s="33">
        <f>SUM(DS4:DS19)</f>
        <v/>
      </c>
      <c r="DT20" s="33">
        <f>SUM(DT4:DT19)</f>
        <v/>
      </c>
      <c r="DU20" s="33">
        <f>SUM(DU4:DU19)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PRICING</t>
        </is>
      </c>
    </row>
    <row r="3">
      <c r="A3" s="17" t="inlineStr">
        <is>
          <t>Sheet structure to be completed in Phase 2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EXCISE</t>
        </is>
      </c>
    </row>
    <row r="3">
      <c r="A3" s="17" t="inlineStr">
        <is>
          <t>Sheet structure to be completed in Phase 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Q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  <col width="10" customWidth="1" min="70" max="70"/>
    <col width="10" customWidth="1" min="71" max="71"/>
    <col width="10" customWidth="1" min="72" max="72"/>
    <col width="10" customWidth="1" min="73" max="73"/>
    <col width="10" customWidth="1" min="74" max="74"/>
    <col width="10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0" customWidth="1" min="83" max="83"/>
    <col width="10" customWidth="1" min="84" max="84"/>
    <col width="10" customWidth="1" min="85" max="85"/>
    <col width="10" customWidth="1" min="86" max="86"/>
    <col width="10" customWidth="1" min="87" max="87"/>
    <col width="10" customWidth="1" min="88" max="88"/>
    <col width="10" customWidth="1" min="89" max="89"/>
    <col width="10" customWidth="1" min="90" max="90"/>
    <col width="10" customWidth="1" min="91" max="91"/>
    <col width="10" customWidth="1" min="92" max="92"/>
    <col width="10" customWidth="1" min="93" max="93"/>
    <col width="10" customWidth="1" min="94" max="94"/>
    <col width="10" customWidth="1" min="95" max="95"/>
    <col width="10" customWidth="1" min="96" max="96"/>
    <col width="10" customWidth="1" min="97" max="97"/>
    <col width="10" customWidth="1" min="98" max="98"/>
    <col width="10" customWidth="1" min="99" max="99"/>
    <col width="10" customWidth="1" min="100" max="100"/>
    <col width="10" customWidth="1" min="101" max="101"/>
    <col width="10" customWidth="1" min="102" max="102"/>
    <col width="10" customWidth="1" min="103" max="103"/>
    <col width="10" customWidth="1" min="104" max="104"/>
    <col width="10" customWidth="1" min="105" max="105"/>
    <col width="10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0" customWidth="1" min="111" max="111"/>
    <col width="10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0" customWidth="1" min="117" max="117"/>
    <col width="10" customWidth="1" min="118" max="118"/>
    <col width="10" customWidth="1" min="119" max="119"/>
    <col width="10" customWidth="1" min="120" max="120"/>
    <col width="10" customWidth="1" min="121" max="121"/>
  </cols>
  <sheetData>
    <row r="1">
      <c r="A1" s="2" t="inlineStr">
        <is>
          <t>REVENUE (AUD '000)</t>
        </is>
      </c>
    </row>
    <row r="3">
      <c r="A3" s="6" t="inlineStr">
        <is>
          <t>Line Item</t>
        </is>
      </c>
      <c r="B3" s="29">
        <f>TIMELINE!B7</f>
        <v/>
      </c>
      <c r="C3" s="29">
        <f>TIMELINE!C7</f>
        <v/>
      </c>
      <c r="D3" s="29">
        <f>TIMELINE!D7</f>
        <v/>
      </c>
      <c r="E3" s="29">
        <f>TIMELINE!E7</f>
        <v/>
      </c>
      <c r="F3" s="29">
        <f>TIMELINE!F7</f>
        <v/>
      </c>
      <c r="G3" s="29">
        <f>TIMELINE!G7</f>
        <v/>
      </c>
      <c r="H3" s="29">
        <f>TIMELINE!H7</f>
        <v/>
      </c>
      <c r="I3" s="29">
        <f>TIMELINE!I7</f>
        <v/>
      </c>
      <c r="J3" s="29">
        <f>TIMELINE!J7</f>
        <v/>
      </c>
      <c r="K3" s="29">
        <f>TIMELINE!K7</f>
        <v/>
      </c>
      <c r="L3" s="29">
        <f>TIMELINE!L7</f>
        <v/>
      </c>
      <c r="M3" s="29">
        <f>TIMELINE!M7</f>
        <v/>
      </c>
      <c r="N3" s="29">
        <f>TIMELINE!N7</f>
        <v/>
      </c>
      <c r="O3" s="29">
        <f>TIMELINE!O7</f>
        <v/>
      </c>
      <c r="P3" s="29">
        <f>TIMELINE!P7</f>
        <v/>
      </c>
      <c r="Q3" s="29">
        <f>TIMELINE!Q7</f>
        <v/>
      </c>
      <c r="R3" s="29">
        <f>TIMELINE!R7</f>
        <v/>
      </c>
      <c r="S3" s="29">
        <f>TIMELINE!S7</f>
        <v/>
      </c>
      <c r="T3" s="29">
        <f>TIMELINE!T7</f>
        <v/>
      </c>
      <c r="U3" s="29">
        <f>TIMELINE!U7</f>
        <v/>
      </c>
      <c r="V3" s="29">
        <f>TIMELINE!V7</f>
        <v/>
      </c>
      <c r="W3" s="29">
        <f>TIMELINE!W7</f>
        <v/>
      </c>
      <c r="X3" s="29">
        <f>TIMELINE!X7</f>
        <v/>
      </c>
      <c r="Y3" s="29">
        <f>TIMELINE!Y7</f>
        <v/>
      </c>
      <c r="Z3" s="29">
        <f>TIMELINE!Z7</f>
        <v/>
      </c>
      <c r="AA3" s="29">
        <f>TIMELINE!AA7</f>
        <v/>
      </c>
      <c r="AB3" s="29">
        <f>TIMELINE!AB7</f>
        <v/>
      </c>
      <c r="AC3" s="29">
        <f>TIMELINE!AC7</f>
        <v/>
      </c>
      <c r="AD3" s="29">
        <f>TIMELINE!AD7</f>
        <v/>
      </c>
      <c r="AE3" s="29">
        <f>TIMELINE!AE7</f>
        <v/>
      </c>
      <c r="AF3" s="29">
        <f>TIMELINE!AF7</f>
        <v/>
      </c>
      <c r="AG3" s="29">
        <f>TIMELINE!AG7</f>
        <v/>
      </c>
      <c r="AH3" s="29">
        <f>TIMELINE!AH7</f>
        <v/>
      </c>
      <c r="AI3" s="29">
        <f>TIMELINE!AI7</f>
        <v/>
      </c>
      <c r="AJ3" s="29">
        <f>TIMELINE!AJ7</f>
        <v/>
      </c>
      <c r="AK3" s="29">
        <f>TIMELINE!AK7</f>
        <v/>
      </c>
      <c r="AL3" s="29">
        <f>TIMELINE!AL7</f>
        <v/>
      </c>
      <c r="AM3" s="29">
        <f>TIMELINE!AM7</f>
        <v/>
      </c>
      <c r="AN3" s="29">
        <f>TIMELINE!AN7</f>
        <v/>
      </c>
      <c r="AO3" s="29">
        <f>TIMELINE!AO7</f>
        <v/>
      </c>
      <c r="AP3" s="29">
        <f>TIMELINE!AP7</f>
        <v/>
      </c>
      <c r="AQ3" s="29">
        <f>TIMELINE!AQ7</f>
        <v/>
      </c>
      <c r="AR3" s="29">
        <f>TIMELINE!AR7</f>
        <v/>
      </c>
      <c r="AS3" s="29">
        <f>TIMELINE!AS7</f>
        <v/>
      </c>
      <c r="AT3" s="29">
        <f>TIMELINE!AT7</f>
        <v/>
      </c>
      <c r="AU3" s="29">
        <f>TIMELINE!AU7</f>
        <v/>
      </c>
      <c r="AV3" s="29">
        <f>TIMELINE!AV7</f>
        <v/>
      </c>
      <c r="AW3" s="29">
        <f>TIMELINE!AW7</f>
        <v/>
      </c>
      <c r="AX3" s="29">
        <f>TIMELINE!AX7</f>
        <v/>
      </c>
      <c r="AY3" s="29">
        <f>TIMELINE!AY7</f>
        <v/>
      </c>
      <c r="AZ3" s="29">
        <f>TIMELINE!AZ7</f>
        <v/>
      </c>
      <c r="BA3" s="29">
        <f>TIMELINE!BA7</f>
        <v/>
      </c>
      <c r="BB3" s="29">
        <f>TIMELINE!BB7</f>
        <v/>
      </c>
      <c r="BC3" s="29">
        <f>TIMELINE!BC7</f>
        <v/>
      </c>
      <c r="BD3" s="29">
        <f>TIMELINE!BD7</f>
        <v/>
      </c>
      <c r="BE3" s="29">
        <f>TIMELINE!BE7</f>
        <v/>
      </c>
      <c r="BF3" s="29">
        <f>TIMELINE!BF7</f>
        <v/>
      </c>
      <c r="BG3" s="29">
        <f>TIMELINE!BG7</f>
        <v/>
      </c>
      <c r="BH3" s="29">
        <f>TIMELINE!BH7</f>
        <v/>
      </c>
      <c r="BI3" s="29">
        <f>TIMELINE!BI7</f>
        <v/>
      </c>
      <c r="BJ3" s="29">
        <f>TIMELINE!BJ7</f>
        <v/>
      </c>
      <c r="BK3" s="29">
        <f>TIMELINE!BK7</f>
        <v/>
      </c>
      <c r="BL3" s="29">
        <f>TIMELINE!BL7</f>
        <v/>
      </c>
      <c r="BM3" s="29">
        <f>TIMELINE!BM7</f>
        <v/>
      </c>
      <c r="BN3" s="29">
        <f>TIMELINE!BN7</f>
        <v/>
      </c>
      <c r="BO3" s="29">
        <f>TIMELINE!BO7</f>
        <v/>
      </c>
      <c r="BP3" s="29">
        <f>TIMELINE!BP7</f>
        <v/>
      </c>
      <c r="BQ3" s="29">
        <f>TIMELINE!BQ7</f>
        <v/>
      </c>
      <c r="BR3" s="29">
        <f>TIMELINE!BR7</f>
        <v/>
      </c>
      <c r="BS3" s="29">
        <f>TIMELINE!BS7</f>
        <v/>
      </c>
      <c r="BT3" s="29">
        <f>TIMELINE!BT7</f>
        <v/>
      </c>
      <c r="BU3" s="29">
        <f>TIMELINE!BU7</f>
        <v/>
      </c>
      <c r="BV3" s="29">
        <f>TIMELINE!BV7</f>
        <v/>
      </c>
      <c r="BW3" s="29">
        <f>TIMELINE!BW7</f>
        <v/>
      </c>
      <c r="BX3" s="29">
        <f>TIMELINE!BX7</f>
        <v/>
      </c>
      <c r="BY3" s="29">
        <f>TIMELINE!BY7</f>
        <v/>
      </c>
      <c r="BZ3" s="29">
        <f>TIMELINE!BZ7</f>
        <v/>
      </c>
      <c r="CA3" s="29">
        <f>TIMELINE!CA7</f>
        <v/>
      </c>
      <c r="CB3" s="29">
        <f>TIMELINE!CB7</f>
        <v/>
      </c>
      <c r="CC3" s="29">
        <f>TIMELINE!CC7</f>
        <v/>
      </c>
      <c r="CD3" s="29">
        <f>TIMELINE!CD7</f>
        <v/>
      </c>
      <c r="CE3" s="29">
        <f>TIMELINE!CE7</f>
        <v/>
      </c>
      <c r="CF3" s="29">
        <f>TIMELINE!CF7</f>
        <v/>
      </c>
      <c r="CG3" s="29">
        <f>TIMELINE!CG7</f>
        <v/>
      </c>
      <c r="CH3" s="29">
        <f>TIMELINE!CH7</f>
        <v/>
      </c>
      <c r="CI3" s="29">
        <f>TIMELINE!CI7</f>
        <v/>
      </c>
      <c r="CJ3" s="29">
        <f>TIMELINE!CJ7</f>
        <v/>
      </c>
      <c r="CK3" s="29">
        <f>TIMELINE!CK7</f>
        <v/>
      </c>
      <c r="CL3" s="29">
        <f>TIMELINE!CL7</f>
        <v/>
      </c>
      <c r="CM3" s="29">
        <f>TIMELINE!CM7</f>
        <v/>
      </c>
      <c r="CN3" s="29">
        <f>TIMELINE!CN7</f>
        <v/>
      </c>
      <c r="CO3" s="29">
        <f>TIMELINE!CO7</f>
        <v/>
      </c>
      <c r="CP3" s="29">
        <f>TIMELINE!CP7</f>
        <v/>
      </c>
      <c r="CQ3" s="29">
        <f>TIMELINE!CQ7</f>
        <v/>
      </c>
      <c r="CR3" s="29">
        <f>TIMELINE!CR7</f>
        <v/>
      </c>
      <c r="CS3" s="29">
        <f>TIMELINE!CS7</f>
        <v/>
      </c>
      <c r="CT3" s="29">
        <f>TIMELINE!CT7</f>
        <v/>
      </c>
      <c r="CU3" s="29">
        <f>TIMELINE!CU7</f>
        <v/>
      </c>
      <c r="CV3" s="29">
        <f>TIMELINE!CV7</f>
        <v/>
      </c>
      <c r="CW3" s="29">
        <f>TIMELINE!CW7</f>
        <v/>
      </c>
      <c r="CX3" s="29">
        <f>TIMELINE!CX7</f>
        <v/>
      </c>
      <c r="CY3" s="29">
        <f>TIMELINE!CY7</f>
        <v/>
      </c>
      <c r="CZ3" s="29">
        <f>TIMELINE!CZ7</f>
        <v/>
      </c>
      <c r="DA3" s="29">
        <f>TIMELINE!DA7</f>
        <v/>
      </c>
      <c r="DB3" s="29">
        <f>TIMELINE!DB7</f>
        <v/>
      </c>
      <c r="DC3" s="29">
        <f>TIMELINE!DC7</f>
        <v/>
      </c>
      <c r="DD3" s="29">
        <f>TIMELINE!DD7</f>
        <v/>
      </c>
      <c r="DE3" s="29">
        <f>TIMELINE!DE7</f>
        <v/>
      </c>
      <c r="DF3" s="29">
        <f>TIMELINE!DF7</f>
        <v/>
      </c>
      <c r="DG3" s="29">
        <f>TIMELINE!DG7</f>
        <v/>
      </c>
      <c r="DH3" s="29">
        <f>TIMELINE!DH7</f>
        <v/>
      </c>
      <c r="DI3" s="29">
        <f>TIMELINE!DI7</f>
        <v/>
      </c>
      <c r="DJ3" s="29">
        <f>TIMELINE!DJ7</f>
        <v/>
      </c>
      <c r="DK3" s="29">
        <f>TIMELINE!DK7</f>
        <v/>
      </c>
      <c r="DL3" s="29">
        <f>TIMELINE!DL7</f>
        <v/>
      </c>
      <c r="DM3" s="29">
        <f>TIMELINE!DM7</f>
        <v/>
      </c>
      <c r="DN3" s="29">
        <f>TIMELINE!DN7</f>
        <v/>
      </c>
      <c r="DO3" s="29">
        <f>TIMELINE!DO7</f>
        <v/>
      </c>
      <c r="DP3" s="29">
        <f>TIMELINE!DP7</f>
        <v/>
      </c>
      <c r="DQ3" s="29">
        <f>TIMELINE!DQ7</f>
        <v/>
      </c>
    </row>
    <row r="4">
      <c r="A4" t="inlineStr">
        <is>
          <t>Total HL Sold</t>
        </is>
      </c>
      <c r="B4" s="31">
        <f>Volume_Build!B20</f>
        <v/>
      </c>
      <c r="C4" s="31">
        <f>Volume_Build!C20</f>
        <v/>
      </c>
      <c r="D4" s="31">
        <f>Volume_Build!D20</f>
        <v/>
      </c>
      <c r="E4" s="31">
        <f>Volume_Build!E20</f>
        <v/>
      </c>
      <c r="F4" s="31">
        <f>Volume_Build!F20</f>
        <v/>
      </c>
      <c r="G4" s="31">
        <f>Volume_Build!G20</f>
        <v/>
      </c>
      <c r="H4" s="31">
        <f>Volume_Build!H20</f>
        <v/>
      </c>
      <c r="I4" s="31">
        <f>Volume_Build!I20</f>
        <v/>
      </c>
      <c r="J4" s="31">
        <f>Volume_Build!J20</f>
        <v/>
      </c>
      <c r="K4" s="31">
        <f>Volume_Build!K20</f>
        <v/>
      </c>
      <c r="L4" s="31">
        <f>Volume_Build!L20</f>
        <v/>
      </c>
      <c r="M4" s="31">
        <f>Volume_Build!M20</f>
        <v/>
      </c>
      <c r="N4" s="31">
        <f>Volume_Build!N20</f>
        <v/>
      </c>
      <c r="O4" s="31">
        <f>Volume_Build!O20</f>
        <v/>
      </c>
      <c r="P4" s="31">
        <f>Volume_Build!P20</f>
        <v/>
      </c>
      <c r="Q4" s="31">
        <f>Volume_Build!Q20</f>
        <v/>
      </c>
      <c r="R4" s="31">
        <f>Volume_Build!R20</f>
        <v/>
      </c>
      <c r="S4" s="31">
        <f>Volume_Build!S20</f>
        <v/>
      </c>
      <c r="T4" s="31">
        <f>Volume_Build!T20</f>
        <v/>
      </c>
      <c r="U4" s="31">
        <f>Volume_Build!U20</f>
        <v/>
      </c>
      <c r="V4" s="31">
        <f>Volume_Build!V20</f>
        <v/>
      </c>
      <c r="W4" s="31">
        <f>Volume_Build!W20</f>
        <v/>
      </c>
      <c r="X4" s="31">
        <f>Volume_Build!X20</f>
        <v/>
      </c>
      <c r="Y4" s="31">
        <f>Volume_Build!Y20</f>
        <v/>
      </c>
      <c r="Z4" s="31">
        <f>Volume_Build!Z20</f>
        <v/>
      </c>
      <c r="AA4" s="31">
        <f>Volume_Build!AA20</f>
        <v/>
      </c>
      <c r="AB4" s="31">
        <f>Volume_Build!AB20</f>
        <v/>
      </c>
      <c r="AC4" s="31">
        <f>Volume_Build!AC20</f>
        <v/>
      </c>
      <c r="AD4" s="31">
        <f>Volume_Build!AD20</f>
        <v/>
      </c>
      <c r="AE4" s="31">
        <f>Volume_Build!AE20</f>
        <v/>
      </c>
      <c r="AF4" s="31">
        <f>Volume_Build!AF20</f>
        <v/>
      </c>
      <c r="AG4" s="31">
        <f>Volume_Build!AG20</f>
        <v/>
      </c>
      <c r="AH4" s="31">
        <f>Volume_Build!AH20</f>
        <v/>
      </c>
      <c r="AI4" s="31">
        <f>Volume_Build!AI20</f>
        <v/>
      </c>
      <c r="AJ4" s="31">
        <f>Volume_Build!AJ20</f>
        <v/>
      </c>
      <c r="AK4" s="31">
        <f>Volume_Build!AK20</f>
        <v/>
      </c>
      <c r="AL4" s="31">
        <f>Volume_Build!AL20</f>
        <v/>
      </c>
      <c r="AM4" s="31">
        <f>Volume_Build!AM20</f>
        <v/>
      </c>
      <c r="AN4" s="31">
        <f>Volume_Build!AN20</f>
        <v/>
      </c>
      <c r="AO4" s="31">
        <f>Volume_Build!AO20</f>
        <v/>
      </c>
      <c r="AP4" s="31">
        <f>Volume_Build!AP20</f>
        <v/>
      </c>
      <c r="AQ4" s="31">
        <f>Volume_Build!AQ20</f>
        <v/>
      </c>
      <c r="AR4" s="31">
        <f>Volume_Build!AR20</f>
        <v/>
      </c>
      <c r="AS4" s="31">
        <f>Volume_Build!AS20</f>
        <v/>
      </c>
      <c r="AT4" s="31">
        <f>Volume_Build!AT20</f>
        <v/>
      </c>
      <c r="AU4" s="31">
        <f>Volume_Build!AU20</f>
        <v/>
      </c>
      <c r="AV4" s="31">
        <f>Volume_Build!AV20</f>
        <v/>
      </c>
      <c r="AW4" s="31">
        <f>Volume_Build!AW20</f>
        <v/>
      </c>
      <c r="AX4" s="31">
        <f>Volume_Build!AX20</f>
        <v/>
      </c>
      <c r="AY4" s="31">
        <f>Volume_Build!AY20</f>
        <v/>
      </c>
      <c r="AZ4" s="31">
        <f>Volume_Build!AZ20</f>
        <v/>
      </c>
      <c r="BA4" s="31">
        <f>Volume_Build!BA20</f>
        <v/>
      </c>
      <c r="BB4" s="31">
        <f>Volume_Build!BB20</f>
        <v/>
      </c>
      <c r="BC4" s="31">
        <f>Volume_Build!BC20</f>
        <v/>
      </c>
      <c r="BD4" s="31">
        <f>Volume_Build!BD20</f>
        <v/>
      </c>
      <c r="BE4" s="31">
        <f>Volume_Build!BE20</f>
        <v/>
      </c>
      <c r="BF4" s="31">
        <f>Volume_Build!BF20</f>
        <v/>
      </c>
      <c r="BG4" s="31">
        <f>Volume_Build!BG20</f>
        <v/>
      </c>
      <c r="BH4" s="31">
        <f>Volume_Build!BH20</f>
        <v/>
      </c>
      <c r="BI4" s="31">
        <f>Volume_Build!BI20</f>
        <v/>
      </c>
      <c r="BJ4" s="31">
        <f>Volume_Build!BJ20</f>
        <v/>
      </c>
      <c r="BK4" s="31">
        <f>Volume_Build!BK20</f>
        <v/>
      </c>
      <c r="BL4" s="31">
        <f>Volume_Build!BL20</f>
        <v/>
      </c>
      <c r="BM4" s="31">
        <f>Volume_Build!BM20</f>
        <v/>
      </c>
      <c r="BN4" s="31">
        <f>Volume_Build!BN20</f>
        <v/>
      </c>
      <c r="BO4" s="31">
        <f>Volume_Build!BO20</f>
        <v/>
      </c>
      <c r="BP4" s="31">
        <f>Volume_Build!BP20</f>
        <v/>
      </c>
      <c r="BQ4" s="31">
        <f>Volume_Build!BQ20</f>
        <v/>
      </c>
      <c r="BR4" s="31">
        <f>Volume_Build!BR20</f>
        <v/>
      </c>
      <c r="BS4" s="31">
        <f>Volume_Build!BS20</f>
        <v/>
      </c>
      <c r="BT4" s="31">
        <f>Volume_Build!BT20</f>
        <v/>
      </c>
      <c r="BU4" s="31">
        <f>Volume_Build!BU20</f>
        <v/>
      </c>
      <c r="BV4" s="31">
        <f>Volume_Build!BV20</f>
        <v/>
      </c>
      <c r="BW4" s="31">
        <f>Volume_Build!BW20</f>
        <v/>
      </c>
      <c r="BX4" s="31">
        <f>Volume_Build!BX20</f>
        <v/>
      </c>
      <c r="BY4" s="31">
        <f>Volume_Build!BY20</f>
        <v/>
      </c>
      <c r="BZ4" s="31">
        <f>Volume_Build!BZ20</f>
        <v/>
      </c>
      <c r="CA4" s="31">
        <f>Volume_Build!CA20</f>
        <v/>
      </c>
      <c r="CB4" s="31">
        <f>Volume_Build!CB20</f>
        <v/>
      </c>
      <c r="CC4" s="31">
        <f>Volume_Build!CC20</f>
        <v/>
      </c>
      <c r="CD4" s="31">
        <f>Volume_Build!CD20</f>
        <v/>
      </c>
      <c r="CE4" s="31">
        <f>Volume_Build!CE20</f>
        <v/>
      </c>
      <c r="CF4" s="31">
        <f>Volume_Build!CF20</f>
        <v/>
      </c>
      <c r="CG4" s="31">
        <f>Volume_Build!CG20</f>
        <v/>
      </c>
      <c r="CH4" s="31">
        <f>Volume_Build!CH20</f>
        <v/>
      </c>
      <c r="CI4" s="31">
        <f>Volume_Build!CI20</f>
        <v/>
      </c>
      <c r="CJ4" s="31">
        <f>Volume_Build!CJ20</f>
        <v/>
      </c>
      <c r="CK4" s="31">
        <f>Volume_Build!CK20</f>
        <v/>
      </c>
      <c r="CL4" s="31">
        <f>Volume_Build!CL20</f>
        <v/>
      </c>
      <c r="CM4" s="31">
        <f>Volume_Build!CM20</f>
        <v/>
      </c>
      <c r="CN4" s="31">
        <f>Volume_Build!CN20</f>
        <v/>
      </c>
      <c r="CO4" s="31">
        <f>Volume_Build!CO20</f>
        <v/>
      </c>
      <c r="CP4" s="31">
        <f>Volume_Build!CP20</f>
        <v/>
      </c>
      <c r="CQ4" s="31">
        <f>Volume_Build!CQ20</f>
        <v/>
      </c>
      <c r="CR4" s="31">
        <f>Volume_Build!CR20</f>
        <v/>
      </c>
      <c r="CS4" s="31">
        <f>Volume_Build!CS20</f>
        <v/>
      </c>
      <c r="CT4" s="31">
        <f>Volume_Build!CT20</f>
        <v/>
      </c>
      <c r="CU4" s="31">
        <f>Volume_Build!CU20</f>
        <v/>
      </c>
      <c r="CV4" s="31">
        <f>Volume_Build!CV20</f>
        <v/>
      </c>
      <c r="CW4" s="31">
        <f>Volume_Build!CW20</f>
        <v/>
      </c>
      <c r="CX4" s="31">
        <f>Volume_Build!CX20</f>
        <v/>
      </c>
      <c r="CY4" s="31">
        <f>Volume_Build!CY20</f>
        <v/>
      </c>
      <c r="CZ4" s="31">
        <f>Volume_Build!CZ20</f>
        <v/>
      </c>
      <c r="DA4" s="31">
        <f>Volume_Build!DA20</f>
        <v/>
      </c>
      <c r="DB4" s="31">
        <f>Volume_Build!DB20</f>
        <v/>
      </c>
      <c r="DC4" s="31">
        <f>Volume_Build!DC20</f>
        <v/>
      </c>
      <c r="DD4" s="31">
        <f>Volume_Build!DD20</f>
        <v/>
      </c>
      <c r="DE4" s="31">
        <f>Volume_Build!DE20</f>
        <v/>
      </c>
      <c r="DF4" s="31">
        <f>Volume_Build!DF20</f>
        <v/>
      </c>
      <c r="DG4" s="31">
        <f>Volume_Build!DG20</f>
        <v/>
      </c>
      <c r="DH4" s="31">
        <f>Volume_Build!DH20</f>
        <v/>
      </c>
      <c r="DI4" s="31">
        <f>Volume_Build!DI20</f>
        <v/>
      </c>
      <c r="DJ4" s="31">
        <f>Volume_Build!DJ20</f>
        <v/>
      </c>
      <c r="DK4" s="31">
        <f>Volume_Build!DK20</f>
        <v/>
      </c>
      <c r="DL4" s="31">
        <f>Volume_Build!DL20</f>
        <v/>
      </c>
      <c r="DM4" s="31">
        <f>Volume_Build!DM20</f>
        <v/>
      </c>
      <c r="DN4" s="31">
        <f>Volume_Build!DN20</f>
        <v/>
      </c>
      <c r="DO4" s="31">
        <f>Volume_Build!DO20</f>
        <v/>
      </c>
      <c r="DP4" s="31">
        <f>Volume_Build!DP20</f>
        <v/>
      </c>
      <c r="DQ4" s="31">
        <f>Volume_Build!DQ20</f>
        <v/>
      </c>
    </row>
    <row r="5">
      <c r="A5" t="inlineStr">
        <is>
          <t>Avg Net Revenue per HL (AUD)</t>
        </is>
      </c>
      <c r="B5" s="14" t="n">
        <v>215</v>
      </c>
      <c r="C5" s="14" t="n">
        <v>215</v>
      </c>
      <c r="D5" s="14" t="n">
        <v>215</v>
      </c>
      <c r="E5" s="14" t="n">
        <v>215</v>
      </c>
      <c r="F5" s="14" t="n">
        <v>215</v>
      </c>
      <c r="G5" s="14" t="n">
        <v>215</v>
      </c>
      <c r="H5" s="14" t="n">
        <v>215</v>
      </c>
      <c r="I5" s="14" t="n">
        <v>215</v>
      </c>
      <c r="J5" s="14" t="n">
        <v>215</v>
      </c>
      <c r="K5" s="14" t="n">
        <v>215</v>
      </c>
      <c r="L5" s="14" t="n">
        <v>215</v>
      </c>
      <c r="M5" s="14" t="n">
        <v>215</v>
      </c>
      <c r="N5" s="14" t="n">
        <v>215</v>
      </c>
      <c r="O5" s="14" t="n">
        <v>215</v>
      </c>
      <c r="P5" s="14" t="n">
        <v>215</v>
      </c>
      <c r="Q5" s="14" t="n">
        <v>215</v>
      </c>
      <c r="R5" s="14" t="n">
        <v>215</v>
      </c>
      <c r="S5" s="14" t="n">
        <v>215</v>
      </c>
      <c r="T5" s="14" t="n">
        <v>215</v>
      </c>
      <c r="U5" s="14" t="n">
        <v>215</v>
      </c>
      <c r="V5" s="14" t="n">
        <v>215</v>
      </c>
      <c r="W5" s="14" t="n">
        <v>215</v>
      </c>
      <c r="X5" s="14" t="n">
        <v>215</v>
      </c>
      <c r="Y5" s="14" t="n">
        <v>215</v>
      </c>
      <c r="Z5" s="14" t="n">
        <v>215</v>
      </c>
      <c r="AA5" s="14" t="n">
        <v>215</v>
      </c>
      <c r="AB5" s="14" t="n">
        <v>215</v>
      </c>
      <c r="AC5" s="14" t="n">
        <v>215</v>
      </c>
      <c r="AD5" s="14" t="n">
        <v>215</v>
      </c>
      <c r="AE5" s="14" t="n">
        <v>215</v>
      </c>
      <c r="AF5" s="14" t="n">
        <v>215</v>
      </c>
      <c r="AG5" s="14" t="n">
        <v>215</v>
      </c>
      <c r="AH5" s="14" t="n">
        <v>215</v>
      </c>
      <c r="AI5" s="14" t="n">
        <v>215</v>
      </c>
      <c r="AJ5" s="14" t="n">
        <v>215</v>
      </c>
      <c r="AK5" s="14" t="n">
        <v>215</v>
      </c>
      <c r="AL5" s="14" t="n">
        <v>215</v>
      </c>
      <c r="AM5" s="14" t="n">
        <v>215</v>
      </c>
      <c r="AN5" s="14" t="n">
        <v>215</v>
      </c>
      <c r="AO5" s="14" t="n">
        <v>215</v>
      </c>
      <c r="AP5" s="14" t="n">
        <v>215</v>
      </c>
      <c r="AQ5" s="14" t="n">
        <v>215</v>
      </c>
      <c r="AR5" s="14" t="n">
        <v>215</v>
      </c>
      <c r="AS5" s="14" t="n">
        <v>215</v>
      </c>
      <c r="AT5" s="14" t="n">
        <v>215</v>
      </c>
      <c r="AU5" s="14" t="n">
        <v>215</v>
      </c>
      <c r="AV5" s="14" t="n">
        <v>215</v>
      </c>
      <c r="AW5" s="14" t="n">
        <v>215</v>
      </c>
      <c r="AX5" s="14" t="n">
        <v>215</v>
      </c>
      <c r="AY5" s="14" t="n">
        <v>215</v>
      </c>
      <c r="AZ5" s="14" t="n">
        <v>215</v>
      </c>
      <c r="BA5" s="14" t="n">
        <v>215</v>
      </c>
      <c r="BB5" s="14" t="n">
        <v>215</v>
      </c>
      <c r="BC5" s="14" t="n">
        <v>215</v>
      </c>
      <c r="BD5" s="14" t="n">
        <v>215</v>
      </c>
      <c r="BE5" s="14" t="n">
        <v>215</v>
      </c>
      <c r="BF5" s="14" t="n">
        <v>215</v>
      </c>
      <c r="BG5" s="14" t="n">
        <v>215</v>
      </c>
      <c r="BH5" s="14" t="n">
        <v>215</v>
      </c>
      <c r="BI5" s="14" t="n">
        <v>215</v>
      </c>
      <c r="BJ5" s="14" t="n">
        <v>215</v>
      </c>
      <c r="BK5" s="14" t="n">
        <v>215</v>
      </c>
      <c r="BL5" s="14" t="n">
        <v>215</v>
      </c>
      <c r="BM5" s="14" t="n">
        <v>215</v>
      </c>
      <c r="BN5" s="14" t="n">
        <v>215</v>
      </c>
      <c r="BO5" s="14" t="n">
        <v>215</v>
      </c>
      <c r="BP5" s="14" t="n">
        <v>215</v>
      </c>
      <c r="BQ5" s="14" t="n">
        <v>215</v>
      </c>
      <c r="BR5" s="14" t="n">
        <v>215</v>
      </c>
      <c r="BS5" s="14" t="n">
        <v>215</v>
      </c>
      <c r="BT5" s="14" t="n">
        <v>215</v>
      </c>
      <c r="BU5" s="14" t="n">
        <v>215</v>
      </c>
      <c r="BV5" s="14" t="n">
        <v>215</v>
      </c>
      <c r="BW5" s="14" t="n">
        <v>215</v>
      </c>
      <c r="BX5" s="14" t="n">
        <v>215</v>
      </c>
      <c r="BY5" s="14" t="n">
        <v>215</v>
      </c>
      <c r="BZ5" s="14" t="n">
        <v>215</v>
      </c>
      <c r="CA5" s="14" t="n">
        <v>215</v>
      </c>
      <c r="CB5" s="14" t="n">
        <v>215</v>
      </c>
      <c r="CC5" s="14" t="n">
        <v>215</v>
      </c>
      <c r="CD5" s="14" t="n">
        <v>215</v>
      </c>
      <c r="CE5" s="14" t="n">
        <v>215</v>
      </c>
      <c r="CF5" s="14" t="n">
        <v>215</v>
      </c>
      <c r="CG5" s="14" t="n">
        <v>215</v>
      </c>
      <c r="CH5" s="14" t="n">
        <v>215</v>
      </c>
      <c r="CI5" s="14" t="n">
        <v>215</v>
      </c>
      <c r="CJ5" s="14" t="n">
        <v>215</v>
      </c>
      <c r="CK5" s="14" t="n">
        <v>215</v>
      </c>
      <c r="CL5" s="14" t="n">
        <v>215</v>
      </c>
      <c r="CM5" s="14" t="n">
        <v>215</v>
      </c>
      <c r="CN5" s="14" t="n">
        <v>215</v>
      </c>
      <c r="CO5" s="14" t="n">
        <v>215</v>
      </c>
      <c r="CP5" s="14" t="n">
        <v>215</v>
      </c>
      <c r="CQ5" s="14" t="n">
        <v>215</v>
      </c>
      <c r="CR5" s="14" t="n">
        <v>215</v>
      </c>
      <c r="CS5" s="14" t="n">
        <v>215</v>
      </c>
      <c r="CT5" s="14" t="n">
        <v>215</v>
      </c>
      <c r="CU5" s="14" t="n">
        <v>215</v>
      </c>
      <c r="CV5" s="14" t="n">
        <v>215</v>
      </c>
      <c r="CW5" s="14" t="n">
        <v>215</v>
      </c>
      <c r="CX5" s="14" t="n">
        <v>215</v>
      </c>
      <c r="CY5" s="14" t="n">
        <v>215</v>
      </c>
      <c r="CZ5" s="14" t="n">
        <v>215</v>
      </c>
      <c r="DA5" s="14" t="n">
        <v>215</v>
      </c>
      <c r="DB5" s="14" t="n">
        <v>215</v>
      </c>
      <c r="DC5" s="14" t="n">
        <v>215</v>
      </c>
      <c r="DD5" s="14" t="n">
        <v>215</v>
      </c>
      <c r="DE5" s="14" t="n">
        <v>215</v>
      </c>
      <c r="DF5" s="14" t="n">
        <v>215</v>
      </c>
      <c r="DG5" s="14" t="n">
        <v>215</v>
      </c>
      <c r="DH5" s="14" t="n">
        <v>215</v>
      </c>
      <c r="DI5" s="14" t="n">
        <v>215</v>
      </c>
      <c r="DJ5" s="14" t="n">
        <v>215</v>
      </c>
      <c r="DK5" s="14" t="n">
        <v>215</v>
      </c>
      <c r="DL5" s="14" t="n">
        <v>215</v>
      </c>
      <c r="DM5" s="14" t="n">
        <v>215</v>
      </c>
      <c r="DN5" s="14" t="n">
        <v>215</v>
      </c>
      <c r="DO5" s="14" t="n">
        <v>215</v>
      </c>
      <c r="DP5" s="14" t="n">
        <v>215</v>
      </c>
      <c r="DQ5" s="14" t="n">
        <v>215</v>
      </c>
    </row>
    <row r="6">
      <c r="A6" s="3" t="inlineStr">
        <is>
          <t>Gross Revenue</t>
        </is>
      </c>
      <c r="B6" s="34">
        <f>B4*B5/1000</f>
        <v/>
      </c>
      <c r="C6" s="34">
        <f>C4*C5/1000</f>
        <v/>
      </c>
      <c r="D6" s="34">
        <f>D4*D5/1000</f>
        <v/>
      </c>
      <c r="E6" s="34">
        <f>E4*E5/1000</f>
        <v/>
      </c>
      <c r="F6" s="34">
        <f>F4*F5/1000</f>
        <v/>
      </c>
      <c r="G6" s="34">
        <f>G4*G5/1000</f>
        <v/>
      </c>
      <c r="H6" s="34">
        <f>H4*H5/1000</f>
        <v/>
      </c>
      <c r="I6" s="34">
        <f>I4*I5/1000</f>
        <v/>
      </c>
      <c r="J6" s="34">
        <f>J4*J5/1000</f>
        <v/>
      </c>
      <c r="K6" s="34">
        <f>K4*K5/1000</f>
        <v/>
      </c>
      <c r="L6" s="34">
        <f>L4*L5/1000</f>
        <v/>
      </c>
      <c r="M6" s="34">
        <f>M4*M5/1000</f>
        <v/>
      </c>
      <c r="N6" s="34">
        <f>N4*N5/1000</f>
        <v/>
      </c>
      <c r="O6" s="34">
        <f>O4*O5/1000</f>
        <v/>
      </c>
      <c r="P6" s="34">
        <f>P4*P5/1000</f>
        <v/>
      </c>
      <c r="Q6" s="34">
        <f>Q4*Q5/1000</f>
        <v/>
      </c>
      <c r="R6" s="34">
        <f>R4*R5/1000</f>
        <v/>
      </c>
      <c r="S6" s="34">
        <f>S4*S5/1000</f>
        <v/>
      </c>
      <c r="T6" s="34">
        <f>T4*T5/1000</f>
        <v/>
      </c>
      <c r="U6" s="34">
        <f>U4*U5/1000</f>
        <v/>
      </c>
      <c r="V6" s="34">
        <f>V4*V5/1000</f>
        <v/>
      </c>
      <c r="W6" s="34">
        <f>W4*W5/1000</f>
        <v/>
      </c>
      <c r="X6" s="34">
        <f>X4*X5/1000</f>
        <v/>
      </c>
      <c r="Y6" s="34">
        <f>Y4*Y5/1000</f>
        <v/>
      </c>
      <c r="Z6" s="34">
        <f>Z4*Z5/1000</f>
        <v/>
      </c>
      <c r="AA6" s="34">
        <f>AA4*AA5/1000</f>
        <v/>
      </c>
      <c r="AB6" s="34">
        <f>AB4*AB5/1000</f>
        <v/>
      </c>
      <c r="AC6" s="34">
        <f>AC4*AC5/1000</f>
        <v/>
      </c>
      <c r="AD6" s="34">
        <f>AD4*AD5/1000</f>
        <v/>
      </c>
      <c r="AE6" s="34">
        <f>AE4*AE5/1000</f>
        <v/>
      </c>
      <c r="AF6" s="34">
        <f>AF4*AF5/1000</f>
        <v/>
      </c>
      <c r="AG6" s="34">
        <f>AG4*AG5/1000</f>
        <v/>
      </c>
      <c r="AH6" s="34">
        <f>AH4*AH5/1000</f>
        <v/>
      </c>
      <c r="AI6" s="34">
        <f>AI4*AI5/1000</f>
        <v/>
      </c>
      <c r="AJ6" s="34">
        <f>AJ4*AJ5/1000</f>
        <v/>
      </c>
      <c r="AK6" s="34">
        <f>AK4*AK5/1000</f>
        <v/>
      </c>
      <c r="AL6" s="34">
        <f>AL4*AL5/1000</f>
        <v/>
      </c>
      <c r="AM6" s="34">
        <f>AM4*AM5/1000</f>
        <v/>
      </c>
      <c r="AN6" s="34">
        <f>AN4*AN5/1000</f>
        <v/>
      </c>
      <c r="AO6" s="34">
        <f>AO4*AO5/1000</f>
        <v/>
      </c>
      <c r="AP6" s="34">
        <f>AP4*AP5/1000</f>
        <v/>
      </c>
      <c r="AQ6" s="34">
        <f>AQ4*AQ5/1000</f>
        <v/>
      </c>
      <c r="AR6" s="34">
        <f>AR4*AR5/1000</f>
        <v/>
      </c>
      <c r="AS6" s="34">
        <f>AS4*AS5/1000</f>
        <v/>
      </c>
      <c r="AT6" s="34">
        <f>AT4*AT5/1000</f>
        <v/>
      </c>
      <c r="AU6" s="34">
        <f>AU4*AU5/1000</f>
        <v/>
      </c>
      <c r="AV6" s="34">
        <f>AV4*AV5/1000</f>
        <v/>
      </c>
      <c r="AW6" s="34">
        <f>AW4*AW5/1000</f>
        <v/>
      </c>
      <c r="AX6" s="34">
        <f>AX4*AX5/1000</f>
        <v/>
      </c>
      <c r="AY6" s="34">
        <f>AY4*AY5/1000</f>
        <v/>
      </c>
      <c r="AZ6" s="34">
        <f>AZ4*AZ5/1000</f>
        <v/>
      </c>
      <c r="BA6" s="34">
        <f>BA4*BA5/1000</f>
        <v/>
      </c>
      <c r="BB6" s="34">
        <f>BB4*BB5/1000</f>
        <v/>
      </c>
      <c r="BC6" s="34">
        <f>BC4*BC5/1000</f>
        <v/>
      </c>
      <c r="BD6" s="34">
        <f>BD4*BD5/1000</f>
        <v/>
      </c>
      <c r="BE6" s="34">
        <f>BE4*BE5/1000</f>
        <v/>
      </c>
      <c r="BF6" s="34">
        <f>BF4*BF5/1000</f>
        <v/>
      </c>
      <c r="BG6" s="34">
        <f>BG4*BG5/1000</f>
        <v/>
      </c>
      <c r="BH6" s="34">
        <f>BH4*BH5/1000</f>
        <v/>
      </c>
      <c r="BI6" s="34">
        <f>BI4*BI5/1000</f>
        <v/>
      </c>
      <c r="BJ6" s="34">
        <f>BJ4*BJ5/1000</f>
        <v/>
      </c>
      <c r="BK6" s="34">
        <f>BK4*BK5/1000</f>
        <v/>
      </c>
      <c r="BL6" s="34">
        <f>BL4*BL5/1000</f>
        <v/>
      </c>
      <c r="BM6" s="34">
        <f>BM4*BM5/1000</f>
        <v/>
      </c>
      <c r="BN6" s="34">
        <f>BN4*BN5/1000</f>
        <v/>
      </c>
      <c r="BO6" s="34">
        <f>BO4*BO5/1000</f>
        <v/>
      </c>
      <c r="BP6" s="34">
        <f>BP4*BP5/1000</f>
        <v/>
      </c>
      <c r="BQ6" s="34">
        <f>BQ4*BQ5/1000</f>
        <v/>
      </c>
      <c r="BR6" s="34">
        <f>BR4*BR5/1000</f>
        <v/>
      </c>
      <c r="BS6" s="34">
        <f>BS4*BS5/1000</f>
        <v/>
      </c>
      <c r="BT6" s="34">
        <f>BT4*BT5/1000</f>
        <v/>
      </c>
      <c r="BU6" s="34">
        <f>BU4*BU5/1000</f>
        <v/>
      </c>
      <c r="BV6" s="34">
        <f>BV4*BV5/1000</f>
        <v/>
      </c>
      <c r="BW6" s="34">
        <f>BW4*BW5/1000</f>
        <v/>
      </c>
      <c r="BX6" s="34">
        <f>BX4*BX5/1000</f>
        <v/>
      </c>
      <c r="BY6" s="34">
        <f>BY4*BY5/1000</f>
        <v/>
      </c>
      <c r="BZ6" s="34">
        <f>BZ4*BZ5/1000</f>
        <v/>
      </c>
      <c r="CA6" s="34">
        <f>CA4*CA5/1000</f>
        <v/>
      </c>
      <c r="CB6" s="34">
        <f>CB4*CB5/1000</f>
        <v/>
      </c>
      <c r="CC6" s="34">
        <f>CC4*CC5/1000</f>
        <v/>
      </c>
      <c r="CD6" s="34">
        <f>CD4*CD5/1000</f>
        <v/>
      </c>
      <c r="CE6" s="34">
        <f>CE4*CE5/1000</f>
        <v/>
      </c>
      <c r="CF6" s="34">
        <f>CF4*CF5/1000</f>
        <v/>
      </c>
      <c r="CG6" s="34">
        <f>CG4*CG5/1000</f>
        <v/>
      </c>
      <c r="CH6" s="34">
        <f>CH4*CH5/1000</f>
        <v/>
      </c>
      <c r="CI6" s="34">
        <f>CI4*CI5/1000</f>
        <v/>
      </c>
      <c r="CJ6" s="34">
        <f>CJ4*CJ5/1000</f>
        <v/>
      </c>
      <c r="CK6" s="34">
        <f>CK4*CK5/1000</f>
        <v/>
      </c>
      <c r="CL6" s="34">
        <f>CL4*CL5/1000</f>
        <v/>
      </c>
      <c r="CM6" s="34">
        <f>CM4*CM5/1000</f>
        <v/>
      </c>
      <c r="CN6" s="34">
        <f>CN4*CN5/1000</f>
        <v/>
      </c>
      <c r="CO6" s="34">
        <f>CO4*CO5/1000</f>
        <v/>
      </c>
      <c r="CP6" s="34">
        <f>CP4*CP5/1000</f>
        <v/>
      </c>
      <c r="CQ6" s="34">
        <f>CQ4*CQ5/1000</f>
        <v/>
      </c>
      <c r="CR6" s="34">
        <f>CR4*CR5/1000</f>
        <v/>
      </c>
      <c r="CS6" s="34">
        <f>CS4*CS5/1000</f>
        <v/>
      </c>
      <c r="CT6" s="34">
        <f>CT4*CT5/1000</f>
        <v/>
      </c>
      <c r="CU6" s="34">
        <f>CU4*CU5/1000</f>
        <v/>
      </c>
      <c r="CV6" s="34">
        <f>CV4*CV5/1000</f>
        <v/>
      </c>
      <c r="CW6" s="34">
        <f>CW4*CW5/1000</f>
        <v/>
      </c>
      <c r="CX6" s="34">
        <f>CX4*CX5/1000</f>
        <v/>
      </c>
      <c r="CY6" s="34">
        <f>CY4*CY5/1000</f>
        <v/>
      </c>
      <c r="CZ6" s="34">
        <f>CZ4*CZ5/1000</f>
        <v/>
      </c>
      <c r="DA6" s="34">
        <f>DA4*DA5/1000</f>
        <v/>
      </c>
      <c r="DB6" s="34">
        <f>DB4*DB5/1000</f>
        <v/>
      </c>
      <c r="DC6" s="34">
        <f>DC4*DC5/1000</f>
        <v/>
      </c>
      <c r="DD6" s="34">
        <f>DD4*DD5/1000</f>
        <v/>
      </c>
      <c r="DE6" s="34">
        <f>DE4*DE5/1000</f>
        <v/>
      </c>
      <c r="DF6" s="34">
        <f>DF4*DF5/1000</f>
        <v/>
      </c>
      <c r="DG6" s="34">
        <f>DG4*DG5/1000</f>
        <v/>
      </c>
      <c r="DH6" s="34">
        <f>DH4*DH5/1000</f>
        <v/>
      </c>
      <c r="DI6" s="34">
        <f>DI4*DI5/1000</f>
        <v/>
      </c>
      <c r="DJ6" s="34">
        <f>DJ4*DJ5/1000</f>
        <v/>
      </c>
      <c r="DK6" s="34">
        <f>DK4*DK5/1000</f>
        <v/>
      </c>
      <c r="DL6" s="34">
        <f>DL4*DL5/1000</f>
        <v/>
      </c>
      <c r="DM6" s="34">
        <f>DM4*DM5/1000</f>
        <v/>
      </c>
      <c r="DN6" s="34">
        <f>DN4*DN5/1000</f>
        <v/>
      </c>
      <c r="DO6" s="34">
        <f>DO4*DO5/1000</f>
        <v/>
      </c>
      <c r="DP6" s="34">
        <f>DP4*DP5/1000</f>
        <v/>
      </c>
      <c r="DQ6" s="34">
        <f>DQ4*DQ5/1000</f>
        <v/>
      </c>
    </row>
    <row r="7">
      <c r="A7" t="inlineStr">
        <is>
          <t>Less: Discounts &amp; Promotions (8%)</t>
        </is>
      </c>
      <c r="B7" s="34">
        <f>-B6*0.08</f>
        <v/>
      </c>
      <c r="C7" s="34">
        <f>-C6*0.08</f>
        <v/>
      </c>
      <c r="D7" s="34">
        <f>-D6*0.08</f>
        <v/>
      </c>
      <c r="E7" s="34">
        <f>-E6*0.08</f>
        <v/>
      </c>
      <c r="F7" s="34">
        <f>-F6*0.08</f>
        <v/>
      </c>
      <c r="G7" s="34">
        <f>-G6*0.08</f>
        <v/>
      </c>
      <c r="H7" s="34">
        <f>-H6*0.08</f>
        <v/>
      </c>
      <c r="I7" s="34">
        <f>-I6*0.08</f>
        <v/>
      </c>
      <c r="J7" s="34">
        <f>-J6*0.08</f>
        <v/>
      </c>
      <c r="K7" s="34">
        <f>-K6*0.08</f>
        <v/>
      </c>
      <c r="L7" s="34">
        <f>-L6*0.08</f>
        <v/>
      </c>
      <c r="M7" s="34">
        <f>-M6*0.08</f>
        <v/>
      </c>
      <c r="N7" s="34">
        <f>-N6*0.08</f>
        <v/>
      </c>
      <c r="O7" s="34">
        <f>-O6*0.08</f>
        <v/>
      </c>
      <c r="P7" s="34">
        <f>-P6*0.08</f>
        <v/>
      </c>
      <c r="Q7" s="34">
        <f>-Q6*0.08</f>
        <v/>
      </c>
      <c r="R7" s="34">
        <f>-R6*0.08</f>
        <v/>
      </c>
      <c r="S7" s="34">
        <f>-S6*0.08</f>
        <v/>
      </c>
      <c r="T7" s="34">
        <f>-T6*0.08</f>
        <v/>
      </c>
      <c r="U7" s="34">
        <f>-U6*0.08</f>
        <v/>
      </c>
      <c r="V7" s="34">
        <f>-V6*0.08</f>
        <v/>
      </c>
      <c r="W7" s="34">
        <f>-W6*0.08</f>
        <v/>
      </c>
      <c r="X7" s="34">
        <f>-X6*0.08</f>
        <v/>
      </c>
      <c r="Y7" s="34">
        <f>-Y6*0.08</f>
        <v/>
      </c>
      <c r="Z7" s="34">
        <f>-Z6*0.08</f>
        <v/>
      </c>
      <c r="AA7" s="34">
        <f>-AA6*0.08</f>
        <v/>
      </c>
      <c r="AB7" s="34">
        <f>-AB6*0.08</f>
        <v/>
      </c>
      <c r="AC7" s="34">
        <f>-AC6*0.08</f>
        <v/>
      </c>
      <c r="AD7" s="34">
        <f>-AD6*0.08</f>
        <v/>
      </c>
      <c r="AE7" s="34">
        <f>-AE6*0.08</f>
        <v/>
      </c>
      <c r="AF7" s="34">
        <f>-AF6*0.08</f>
        <v/>
      </c>
      <c r="AG7" s="34">
        <f>-AG6*0.08</f>
        <v/>
      </c>
      <c r="AH7" s="34">
        <f>-AH6*0.08</f>
        <v/>
      </c>
      <c r="AI7" s="34">
        <f>-AI6*0.08</f>
        <v/>
      </c>
      <c r="AJ7" s="34">
        <f>-AJ6*0.08</f>
        <v/>
      </c>
      <c r="AK7" s="34">
        <f>-AK6*0.08</f>
        <v/>
      </c>
      <c r="AL7" s="34">
        <f>-AL6*0.08</f>
        <v/>
      </c>
      <c r="AM7" s="34">
        <f>-AM6*0.08</f>
        <v/>
      </c>
      <c r="AN7" s="34">
        <f>-AN6*0.08</f>
        <v/>
      </c>
      <c r="AO7" s="34">
        <f>-AO6*0.08</f>
        <v/>
      </c>
      <c r="AP7" s="34">
        <f>-AP6*0.08</f>
        <v/>
      </c>
      <c r="AQ7" s="34">
        <f>-AQ6*0.08</f>
        <v/>
      </c>
      <c r="AR7" s="34">
        <f>-AR6*0.08</f>
        <v/>
      </c>
      <c r="AS7" s="34">
        <f>-AS6*0.08</f>
        <v/>
      </c>
      <c r="AT7" s="34">
        <f>-AT6*0.08</f>
        <v/>
      </c>
      <c r="AU7" s="34">
        <f>-AU6*0.08</f>
        <v/>
      </c>
      <c r="AV7" s="34">
        <f>-AV6*0.08</f>
        <v/>
      </c>
      <c r="AW7" s="34">
        <f>-AW6*0.08</f>
        <v/>
      </c>
      <c r="AX7" s="34">
        <f>-AX6*0.08</f>
        <v/>
      </c>
      <c r="AY7" s="34">
        <f>-AY6*0.08</f>
        <v/>
      </c>
      <c r="AZ7" s="34">
        <f>-AZ6*0.08</f>
        <v/>
      </c>
      <c r="BA7" s="34">
        <f>-BA6*0.08</f>
        <v/>
      </c>
      <c r="BB7" s="34">
        <f>-BB6*0.08</f>
        <v/>
      </c>
      <c r="BC7" s="34">
        <f>-BC6*0.08</f>
        <v/>
      </c>
      <c r="BD7" s="34">
        <f>-BD6*0.08</f>
        <v/>
      </c>
      <c r="BE7" s="34">
        <f>-BE6*0.08</f>
        <v/>
      </c>
      <c r="BF7" s="34">
        <f>-BF6*0.08</f>
        <v/>
      </c>
      <c r="BG7" s="34">
        <f>-BG6*0.08</f>
        <v/>
      </c>
      <c r="BH7" s="34">
        <f>-BH6*0.08</f>
        <v/>
      </c>
      <c r="BI7" s="34">
        <f>-BI6*0.08</f>
        <v/>
      </c>
      <c r="BJ7" s="34">
        <f>-BJ6*0.08</f>
        <v/>
      </c>
      <c r="BK7" s="34">
        <f>-BK6*0.08</f>
        <v/>
      </c>
      <c r="BL7" s="34">
        <f>-BL6*0.08</f>
        <v/>
      </c>
      <c r="BM7" s="34">
        <f>-BM6*0.08</f>
        <v/>
      </c>
      <c r="BN7" s="34">
        <f>-BN6*0.08</f>
        <v/>
      </c>
      <c r="BO7" s="34">
        <f>-BO6*0.08</f>
        <v/>
      </c>
      <c r="BP7" s="34">
        <f>-BP6*0.08</f>
        <v/>
      </c>
      <c r="BQ7" s="34">
        <f>-BQ6*0.08</f>
        <v/>
      </c>
      <c r="BR7" s="34">
        <f>-BR6*0.08</f>
        <v/>
      </c>
      <c r="BS7" s="34">
        <f>-BS6*0.08</f>
        <v/>
      </c>
      <c r="BT7" s="34">
        <f>-BT6*0.08</f>
        <v/>
      </c>
      <c r="BU7" s="34">
        <f>-BU6*0.08</f>
        <v/>
      </c>
      <c r="BV7" s="34">
        <f>-BV6*0.08</f>
        <v/>
      </c>
      <c r="BW7" s="34">
        <f>-BW6*0.08</f>
        <v/>
      </c>
      <c r="BX7" s="34">
        <f>-BX6*0.08</f>
        <v/>
      </c>
      <c r="BY7" s="34">
        <f>-BY6*0.08</f>
        <v/>
      </c>
      <c r="BZ7" s="34">
        <f>-BZ6*0.08</f>
        <v/>
      </c>
      <c r="CA7" s="34">
        <f>-CA6*0.08</f>
        <v/>
      </c>
      <c r="CB7" s="34">
        <f>-CB6*0.08</f>
        <v/>
      </c>
      <c r="CC7" s="34">
        <f>-CC6*0.08</f>
        <v/>
      </c>
      <c r="CD7" s="34">
        <f>-CD6*0.08</f>
        <v/>
      </c>
      <c r="CE7" s="34">
        <f>-CE6*0.08</f>
        <v/>
      </c>
      <c r="CF7" s="34">
        <f>-CF6*0.08</f>
        <v/>
      </c>
      <c r="CG7" s="34">
        <f>-CG6*0.08</f>
        <v/>
      </c>
      <c r="CH7" s="34">
        <f>-CH6*0.08</f>
        <v/>
      </c>
      <c r="CI7" s="34">
        <f>-CI6*0.08</f>
        <v/>
      </c>
      <c r="CJ7" s="34">
        <f>-CJ6*0.08</f>
        <v/>
      </c>
      <c r="CK7" s="34">
        <f>-CK6*0.08</f>
        <v/>
      </c>
      <c r="CL7" s="34">
        <f>-CL6*0.08</f>
        <v/>
      </c>
      <c r="CM7" s="34">
        <f>-CM6*0.08</f>
        <v/>
      </c>
      <c r="CN7" s="34">
        <f>-CN6*0.08</f>
        <v/>
      </c>
      <c r="CO7" s="34">
        <f>-CO6*0.08</f>
        <v/>
      </c>
      <c r="CP7" s="34">
        <f>-CP6*0.08</f>
        <v/>
      </c>
      <c r="CQ7" s="34">
        <f>-CQ6*0.08</f>
        <v/>
      </c>
      <c r="CR7" s="34">
        <f>-CR6*0.08</f>
        <v/>
      </c>
      <c r="CS7" s="34">
        <f>-CS6*0.08</f>
        <v/>
      </c>
      <c r="CT7" s="34">
        <f>-CT6*0.08</f>
        <v/>
      </c>
      <c r="CU7" s="34">
        <f>-CU6*0.08</f>
        <v/>
      </c>
      <c r="CV7" s="34">
        <f>-CV6*0.08</f>
        <v/>
      </c>
      <c r="CW7" s="34">
        <f>-CW6*0.08</f>
        <v/>
      </c>
      <c r="CX7" s="34">
        <f>-CX6*0.08</f>
        <v/>
      </c>
      <c r="CY7" s="34">
        <f>-CY6*0.08</f>
        <v/>
      </c>
      <c r="CZ7" s="34">
        <f>-CZ6*0.08</f>
        <v/>
      </c>
      <c r="DA7" s="34">
        <f>-DA6*0.08</f>
        <v/>
      </c>
      <c r="DB7" s="34">
        <f>-DB6*0.08</f>
        <v/>
      </c>
      <c r="DC7" s="34">
        <f>-DC6*0.08</f>
        <v/>
      </c>
      <c r="DD7" s="34">
        <f>-DD6*0.08</f>
        <v/>
      </c>
      <c r="DE7" s="34">
        <f>-DE6*0.08</f>
        <v/>
      </c>
      <c r="DF7" s="34">
        <f>-DF6*0.08</f>
        <v/>
      </c>
      <c r="DG7" s="34">
        <f>-DG6*0.08</f>
        <v/>
      </c>
      <c r="DH7" s="34">
        <f>-DH6*0.08</f>
        <v/>
      </c>
      <c r="DI7" s="34">
        <f>-DI6*0.08</f>
        <v/>
      </c>
      <c r="DJ7" s="34">
        <f>-DJ6*0.08</f>
        <v/>
      </c>
      <c r="DK7" s="34">
        <f>-DK6*0.08</f>
        <v/>
      </c>
      <c r="DL7" s="34">
        <f>-DL6*0.08</f>
        <v/>
      </c>
      <c r="DM7" s="34">
        <f>-DM6*0.08</f>
        <v/>
      </c>
      <c r="DN7" s="34">
        <f>-DN6*0.08</f>
        <v/>
      </c>
      <c r="DO7" s="34">
        <f>-DO6*0.08</f>
        <v/>
      </c>
      <c r="DP7" s="34">
        <f>-DP6*0.08</f>
        <v/>
      </c>
      <c r="DQ7" s="34">
        <f>-DQ6*0.08</f>
        <v/>
      </c>
    </row>
    <row r="8">
      <c r="A8" t="inlineStr">
        <is>
          <t>Less: Excise Duty (est)</t>
        </is>
      </c>
      <c r="B8" s="34">
        <f>-B4*25/1000</f>
        <v/>
      </c>
      <c r="C8" s="34">
        <f>-C4*25/1000</f>
        <v/>
      </c>
      <c r="D8" s="34">
        <f>-D4*25/1000</f>
        <v/>
      </c>
      <c r="E8" s="34">
        <f>-E4*25/1000</f>
        <v/>
      </c>
      <c r="F8" s="34">
        <f>-F4*25/1000</f>
        <v/>
      </c>
      <c r="G8" s="34">
        <f>-G4*25/1000</f>
        <v/>
      </c>
      <c r="H8" s="34">
        <f>-H4*25/1000</f>
        <v/>
      </c>
      <c r="I8" s="34">
        <f>-I4*25/1000</f>
        <v/>
      </c>
      <c r="J8" s="34">
        <f>-J4*25/1000</f>
        <v/>
      </c>
      <c r="K8" s="34">
        <f>-K4*25/1000</f>
        <v/>
      </c>
      <c r="L8" s="34">
        <f>-L4*25/1000</f>
        <v/>
      </c>
      <c r="M8" s="34">
        <f>-M4*25/1000</f>
        <v/>
      </c>
      <c r="N8" s="34">
        <f>-N4*25/1000</f>
        <v/>
      </c>
      <c r="O8" s="34">
        <f>-O4*25/1000</f>
        <v/>
      </c>
      <c r="P8" s="34">
        <f>-P4*25/1000</f>
        <v/>
      </c>
      <c r="Q8" s="34">
        <f>-Q4*25/1000</f>
        <v/>
      </c>
      <c r="R8" s="34">
        <f>-R4*25/1000</f>
        <v/>
      </c>
      <c r="S8" s="34">
        <f>-S4*25/1000</f>
        <v/>
      </c>
      <c r="T8" s="34">
        <f>-T4*25/1000</f>
        <v/>
      </c>
      <c r="U8" s="34">
        <f>-U4*25/1000</f>
        <v/>
      </c>
      <c r="V8" s="34">
        <f>-V4*25/1000</f>
        <v/>
      </c>
      <c r="W8" s="34">
        <f>-W4*25/1000</f>
        <v/>
      </c>
      <c r="X8" s="34">
        <f>-X4*25/1000</f>
        <v/>
      </c>
      <c r="Y8" s="34">
        <f>-Y4*25/1000</f>
        <v/>
      </c>
      <c r="Z8" s="34">
        <f>-Z4*25/1000</f>
        <v/>
      </c>
      <c r="AA8" s="34">
        <f>-AA4*25/1000</f>
        <v/>
      </c>
      <c r="AB8" s="34">
        <f>-AB4*25/1000</f>
        <v/>
      </c>
      <c r="AC8" s="34">
        <f>-AC4*25/1000</f>
        <v/>
      </c>
      <c r="AD8" s="34">
        <f>-AD4*25/1000</f>
        <v/>
      </c>
      <c r="AE8" s="34">
        <f>-AE4*25/1000</f>
        <v/>
      </c>
      <c r="AF8" s="34">
        <f>-AF4*25/1000</f>
        <v/>
      </c>
      <c r="AG8" s="34">
        <f>-AG4*25/1000</f>
        <v/>
      </c>
      <c r="AH8" s="34">
        <f>-AH4*25/1000</f>
        <v/>
      </c>
      <c r="AI8" s="34">
        <f>-AI4*25/1000</f>
        <v/>
      </c>
      <c r="AJ8" s="34">
        <f>-AJ4*25/1000</f>
        <v/>
      </c>
      <c r="AK8" s="34">
        <f>-AK4*25/1000</f>
        <v/>
      </c>
      <c r="AL8" s="34">
        <f>-AL4*25/1000</f>
        <v/>
      </c>
      <c r="AM8" s="34">
        <f>-AM4*25/1000</f>
        <v/>
      </c>
      <c r="AN8" s="34">
        <f>-AN4*25/1000</f>
        <v/>
      </c>
      <c r="AO8" s="34">
        <f>-AO4*25/1000</f>
        <v/>
      </c>
      <c r="AP8" s="34">
        <f>-AP4*25/1000</f>
        <v/>
      </c>
      <c r="AQ8" s="34">
        <f>-AQ4*25/1000</f>
        <v/>
      </c>
      <c r="AR8" s="34">
        <f>-AR4*25/1000</f>
        <v/>
      </c>
      <c r="AS8" s="34">
        <f>-AS4*25/1000</f>
        <v/>
      </c>
      <c r="AT8" s="34">
        <f>-AT4*25/1000</f>
        <v/>
      </c>
      <c r="AU8" s="34">
        <f>-AU4*25/1000</f>
        <v/>
      </c>
      <c r="AV8" s="34">
        <f>-AV4*25/1000</f>
        <v/>
      </c>
      <c r="AW8" s="34">
        <f>-AW4*25/1000</f>
        <v/>
      </c>
      <c r="AX8" s="34">
        <f>-AX4*25/1000</f>
        <v/>
      </c>
      <c r="AY8" s="34">
        <f>-AY4*25/1000</f>
        <v/>
      </c>
      <c r="AZ8" s="34">
        <f>-AZ4*25/1000</f>
        <v/>
      </c>
      <c r="BA8" s="34">
        <f>-BA4*25/1000</f>
        <v/>
      </c>
      <c r="BB8" s="34">
        <f>-BB4*25/1000</f>
        <v/>
      </c>
      <c r="BC8" s="34">
        <f>-BC4*25/1000</f>
        <v/>
      </c>
      <c r="BD8" s="34">
        <f>-BD4*25/1000</f>
        <v/>
      </c>
      <c r="BE8" s="34">
        <f>-BE4*25/1000</f>
        <v/>
      </c>
      <c r="BF8" s="34">
        <f>-BF4*25/1000</f>
        <v/>
      </c>
      <c r="BG8" s="34">
        <f>-BG4*25/1000</f>
        <v/>
      </c>
      <c r="BH8" s="34">
        <f>-BH4*25/1000</f>
        <v/>
      </c>
      <c r="BI8" s="34">
        <f>-BI4*25/1000</f>
        <v/>
      </c>
      <c r="BJ8" s="34">
        <f>-BJ4*25/1000</f>
        <v/>
      </c>
      <c r="BK8" s="34">
        <f>-BK4*25/1000</f>
        <v/>
      </c>
      <c r="BL8" s="34">
        <f>-BL4*25/1000</f>
        <v/>
      </c>
      <c r="BM8" s="34">
        <f>-BM4*25/1000</f>
        <v/>
      </c>
      <c r="BN8" s="34">
        <f>-BN4*25/1000</f>
        <v/>
      </c>
      <c r="BO8" s="34">
        <f>-BO4*25/1000</f>
        <v/>
      </c>
      <c r="BP8" s="34">
        <f>-BP4*25/1000</f>
        <v/>
      </c>
      <c r="BQ8" s="34">
        <f>-BQ4*25/1000</f>
        <v/>
      </c>
      <c r="BR8" s="34">
        <f>-BR4*25/1000</f>
        <v/>
      </c>
      <c r="BS8" s="34">
        <f>-BS4*25/1000</f>
        <v/>
      </c>
      <c r="BT8" s="34">
        <f>-BT4*25/1000</f>
        <v/>
      </c>
      <c r="BU8" s="34">
        <f>-BU4*25/1000</f>
        <v/>
      </c>
      <c r="BV8" s="34">
        <f>-BV4*25/1000</f>
        <v/>
      </c>
      <c r="BW8" s="34">
        <f>-BW4*25/1000</f>
        <v/>
      </c>
      <c r="BX8" s="34">
        <f>-BX4*25/1000</f>
        <v/>
      </c>
      <c r="BY8" s="34">
        <f>-BY4*25/1000</f>
        <v/>
      </c>
      <c r="BZ8" s="34">
        <f>-BZ4*25/1000</f>
        <v/>
      </c>
      <c r="CA8" s="34">
        <f>-CA4*25/1000</f>
        <v/>
      </c>
      <c r="CB8" s="34">
        <f>-CB4*25/1000</f>
        <v/>
      </c>
      <c r="CC8" s="34">
        <f>-CC4*25/1000</f>
        <v/>
      </c>
      <c r="CD8" s="34">
        <f>-CD4*25/1000</f>
        <v/>
      </c>
      <c r="CE8" s="34">
        <f>-CE4*25/1000</f>
        <v/>
      </c>
      <c r="CF8" s="34">
        <f>-CF4*25/1000</f>
        <v/>
      </c>
      <c r="CG8" s="34">
        <f>-CG4*25/1000</f>
        <v/>
      </c>
      <c r="CH8" s="34">
        <f>-CH4*25/1000</f>
        <v/>
      </c>
      <c r="CI8" s="34">
        <f>-CI4*25/1000</f>
        <v/>
      </c>
      <c r="CJ8" s="34">
        <f>-CJ4*25/1000</f>
        <v/>
      </c>
      <c r="CK8" s="34">
        <f>-CK4*25/1000</f>
        <v/>
      </c>
      <c r="CL8" s="34">
        <f>-CL4*25/1000</f>
        <v/>
      </c>
      <c r="CM8" s="34">
        <f>-CM4*25/1000</f>
        <v/>
      </c>
      <c r="CN8" s="34">
        <f>-CN4*25/1000</f>
        <v/>
      </c>
      <c r="CO8" s="34">
        <f>-CO4*25/1000</f>
        <v/>
      </c>
      <c r="CP8" s="34">
        <f>-CP4*25/1000</f>
        <v/>
      </c>
      <c r="CQ8" s="34">
        <f>-CQ4*25/1000</f>
        <v/>
      </c>
      <c r="CR8" s="34">
        <f>-CR4*25/1000</f>
        <v/>
      </c>
      <c r="CS8" s="34">
        <f>-CS4*25/1000</f>
        <v/>
      </c>
      <c r="CT8" s="34">
        <f>-CT4*25/1000</f>
        <v/>
      </c>
      <c r="CU8" s="34">
        <f>-CU4*25/1000</f>
        <v/>
      </c>
      <c r="CV8" s="34">
        <f>-CV4*25/1000</f>
        <v/>
      </c>
      <c r="CW8" s="34">
        <f>-CW4*25/1000</f>
        <v/>
      </c>
      <c r="CX8" s="34">
        <f>-CX4*25/1000</f>
        <v/>
      </c>
      <c r="CY8" s="34">
        <f>-CY4*25/1000</f>
        <v/>
      </c>
      <c r="CZ8" s="34">
        <f>-CZ4*25/1000</f>
        <v/>
      </c>
      <c r="DA8" s="34">
        <f>-DA4*25/1000</f>
        <v/>
      </c>
      <c r="DB8" s="34">
        <f>-DB4*25/1000</f>
        <v/>
      </c>
      <c r="DC8" s="34">
        <f>-DC4*25/1000</f>
        <v/>
      </c>
      <c r="DD8" s="34">
        <f>-DD4*25/1000</f>
        <v/>
      </c>
      <c r="DE8" s="34">
        <f>-DE4*25/1000</f>
        <v/>
      </c>
      <c r="DF8" s="34">
        <f>-DF4*25/1000</f>
        <v/>
      </c>
      <c r="DG8" s="34">
        <f>-DG4*25/1000</f>
        <v/>
      </c>
      <c r="DH8" s="34">
        <f>-DH4*25/1000</f>
        <v/>
      </c>
      <c r="DI8" s="34">
        <f>-DI4*25/1000</f>
        <v/>
      </c>
      <c r="DJ8" s="34">
        <f>-DJ4*25/1000</f>
        <v/>
      </c>
      <c r="DK8" s="34">
        <f>-DK4*25/1000</f>
        <v/>
      </c>
      <c r="DL8" s="34">
        <f>-DL4*25/1000</f>
        <v/>
      </c>
      <c r="DM8" s="34">
        <f>-DM4*25/1000</f>
        <v/>
      </c>
      <c r="DN8" s="34">
        <f>-DN4*25/1000</f>
        <v/>
      </c>
      <c r="DO8" s="34">
        <f>-DO4*25/1000</f>
        <v/>
      </c>
      <c r="DP8" s="34">
        <f>-DP4*25/1000</f>
        <v/>
      </c>
      <c r="DQ8" s="34">
        <f>-DQ4*25/1000</f>
        <v/>
      </c>
    </row>
    <row r="9">
      <c r="A9" s="3" t="inlineStr">
        <is>
          <t>NET REVENUE</t>
        </is>
      </c>
      <c r="B9" s="35">
        <f>B6+B7+B8</f>
        <v/>
      </c>
      <c r="C9" s="35">
        <f>C6+C7+C8</f>
        <v/>
      </c>
      <c r="D9" s="35">
        <f>D6+D7+D8</f>
        <v/>
      </c>
      <c r="E9" s="35">
        <f>E6+E7+E8</f>
        <v/>
      </c>
      <c r="F9" s="35">
        <f>F6+F7+F8</f>
        <v/>
      </c>
      <c r="G9" s="35">
        <f>G6+G7+G8</f>
        <v/>
      </c>
      <c r="H9" s="35">
        <f>H6+H7+H8</f>
        <v/>
      </c>
      <c r="I9" s="35">
        <f>I6+I7+I8</f>
        <v/>
      </c>
      <c r="J9" s="35">
        <f>J6+J7+J8</f>
        <v/>
      </c>
      <c r="K9" s="35">
        <f>K6+K7+K8</f>
        <v/>
      </c>
      <c r="L9" s="35">
        <f>L6+L7+L8</f>
        <v/>
      </c>
      <c r="M9" s="35">
        <f>M6+M7+M8</f>
        <v/>
      </c>
      <c r="N9" s="35">
        <f>N6+N7+N8</f>
        <v/>
      </c>
      <c r="O9" s="35">
        <f>O6+O7+O8</f>
        <v/>
      </c>
      <c r="P9" s="35">
        <f>P6+P7+P8</f>
        <v/>
      </c>
      <c r="Q9" s="35">
        <f>Q6+Q7+Q8</f>
        <v/>
      </c>
      <c r="R9" s="35">
        <f>R6+R7+R8</f>
        <v/>
      </c>
      <c r="S9" s="35">
        <f>S6+S7+S8</f>
        <v/>
      </c>
      <c r="T9" s="35">
        <f>T6+T7+T8</f>
        <v/>
      </c>
      <c r="U9" s="35">
        <f>U6+U7+U8</f>
        <v/>
      </c>
      <c r="V9" s="35">
        <f>V6+V7+V8</f>
        <v/>
      </c>
      <c r="W9" s="35">
        <f>W6+W7+W8</f>
        <v/>
      </c>
      <c r="X9" s="35">
        <f>X6+X7+X8</f>
        <v/>
      </c>
      <c r="Y9" s="35">
        <f>Y6+Y7+Y8</f>
        <v/>
      </c>
      <c r="Z9" s="35">
        <f>Z6+Z7+Z8</f>
        <v/>
      </c>
      <c r="AA9" s="35">
        <f>AA6+AA7+AA8</f>
        <v/>
      </c>
      <c r="AB9" s="35">
        <f>AB6+AB7+AB8</f>
        <v/>
      </c>
      <c r="AC9" s="35">
        <f>AC6+AC7+AC8</f>
        <v/>
      </c>
      <c r="AD9" s="35">
        <f>AD6+AD7+AD8</f>
        <v/>
      </c>
      <c r="AE9" s="35">
        <f>AE6+AE7+AE8</f>
        <v/>
      </c>
      <c r="AF9" s="35">
        <f>AF6+AF7+AF8</f>
        <v/>
      </c>
      <c r="AG9" s="35">
        <f>AG6+AG7+AG8</f>
        <v/>
      </c>
      <c r="AH9" s="35">
        <f>AH6+AH7+AH8</f>
        <v/>
      </c>
      <c r="AI9" s="35">
        <f>AI6+AI7+AI8</f>
        <v/>
      </c>
      <c r="AJ9" s="35">
        <f>AJ6+AJ7+AJ8</f>
        <v/>
      </c>
      <c r="AK9" s="35">
        <f>AK6+AK7+AK8</f>
        <v/>
      </c>
      <c r="AL9" s="35">
        <f>AL6+AL7+AL8</f>
        <v/>
      </c>
      <c r="AM9" s="35">
        <f>AM6+AM7+AM8</f>
        <v/>
      </c>
      <c r="AN9" s="35">
        <f>AN6+AN7+AN8</f>
        <v/>
      </c>
      <c r="AO9" s="35">
        <f>AO6+AO7+AO8</f>
        <v/>
      </c>
      <c r="AP9" s="35">
        <f>AP6+AP7+AP8</f>
        <v/>
      </c>
      <c r="AQ9" s="35">
        <f>AQ6+AQ7+AQ8</f>
        <v/>
      </c>
      <c r="AR9" s="35">
        <f>AR6+AR7+AR8</f>
        <v/>
      </c>
      <c r="AS9" s="35">
        <f>AS6+AS7+AS8</f>
        <v/>
      </c>
      <c r="AT9" s="35">
        <f>AT6+AT7+AT8</f>
        <v/>
      </c>
      <c r="AU9" s="35">
        <f>AU6+AU7+AU8</f>
        <v/>
      </c>
      <c r="AV9" s="35">
        <f>AV6+AV7+AV8</f>
        <v/>
      </c>
      <c r="AW9" s="35">
        <f>AW6+AW7+AW8</f>
        <v/>
      </c>
      <c r="AX9" s="35">
        <f>AX6+AX7+AX8</f>
        <v/>
      </c>
      <c r="AY9" s="35">
        <f>AY6+AY7+AY8</f>
        <v/>
      </c>
      <c r="AZ9" s="35">
        <f>AZ6+AZ7+AZ8</f>
        <v/>
      </c>
      <c r="BA9" s="35">
        <f>BA6+BA7+BA8</f>
        <v/>
      </c>
      <c r="BB9" s="35">
        <f>BB6+BB7+BB8</f>
        <v/>
      </c>
      <c r="BC9" s="35">
        <f>BC6+BC7+BC8</f>
        <v/>
      </c>
      <c r="BD9" s="35">
        <f>BD6+BD7+BD8</f>
        <v/>
      </c>
      <c r="BE9" s="35">
        <f>BE6+BE7+BE8</f>
        <v/>
      </c>
      <c r="BF9" s="35">
        <f>BF6+BF7+BF8</f>
        <v/>
      </c>
      <c r="BG9" s="35">
        <f>BG6+BG7+BG8</f>
        <v/>
      </c>
      <c r="BH9" s="35">
        <f>BH6+BH7+BH8</f>
        <v/>
      </c>
      <c r="BI9" s="35">
        <f>BI6+BI7+BI8</f>
        <v/>
      </c>
      <c r="BJ9" s="35">
        <f>BJ6+BJ7+BJ8</f>
        <v/>
      </c>
      <c r="BK9" s="35">
        <f>BK6+BK7+BK8</f>
        <v/>
      </c>
      <c r="BL9" s="35">
        <f>BL6+BL7+BL8</f>
        <v/>
      </c>
      <c r="BM9" s="35">
        <f>BM6+BM7+BM8</f>
        <v/>
      </c>
      <c r="BN9" s="35">
        <f>BN6+BN7+BN8</f>
        <v/>
      </c>
      <c r="BO9" s="35">
        <f>BO6+BO7+BO8</f>
        <v/>
      </c>
      <c r="BP9" s="35">
        <f>BP6+BP7+BP8</f>
        <v/>
      </c>
      <c r="BQ9" s="35">
        <f>BQ6+BQ7+BQ8</f>
        <v/>
      </c>
      <c r="BR9" s="35">
        <f>BR6+BR7+BR8</f>
        <v/>
      </c>
      <c r="BS9" s="35">
        <f>BS6+BS7+BS8</f>
        <v/>
      </c>
      <c r="BT9" s="35">
        <f>BT6+BT7+BT8</f>
        <v/>
      </c>
      <c r="BU9" s="35">
        <f>BU6+BU7+BU8</f>
        <v/>
      </c>
      <c r="BV9" s="35">
        <f>BV6+BV7+BV8</f>
        <v/>
      </c>
      <c r="BW9" s="35">
        <f>BW6+BW7+BW8</f>
        <v/>
      </c>
      <c r="BX9" s="35">
        <f>BX6+BX7+BX8</f>
        <v/>
      </c>
      <c r="BY9" s="35">
        <f>BY6+BY7+BY8</f>
        <v/>
      </c>
      <c r="BZ9" s="35">
        <f>BZ6+BZ7+BZ8</f>
        <v/>
      </c>
      <c r="CA9" s="35">
        <f>CA6+CA7+CA8</f>
        <v/>
      </c>
      <c r="CB9" s="35">
        <f>CB6+CB7+CB8</f>
        <v/>
      </c>
      <c r="CC9" s="35">
        <f>CC6+CC7+CC8</f>
        <v/>
      </c>
      <c r="CD9" s="35">
        <f>CD6+CD7+CD8</f>
        <v/>
      </c>
      <c r="CE9" s="35">
        <f>CE6+CE7+CE8</f>
        <v/>
      </c>
      <c r="CF9" s="35">
        <f>CF6+CF7+CF8</f>
        <v/>
      </c>
      <c r="CG9" s="35">
        <f>CG6+CG7+CG8</f>
        <v/>
      </c>
      <c r="CH9" s="35">
        <f>CH6+CH7+CH8</f>
        <v/>
      </c>
      <c r="CI9" s="35">
        <f>CI6+CI7+CI8</f>
        <v/>
      </c>
      <c r="CJ9" s="35">
        <f>CJ6+CJ7+CJ8</f>
        <v/>
      </c>
      <c r="CK9" s="35">
        <f>CK6+CK7+CK8</f>
        <v/>
      </c>
      <c r="CL9" s="35">
        <f>CL6+CL7+CL8</f>
        <v/>
      </c>
      <c r="CM9" s="35">
        <f>CM6+CM7+CM8</f>
        <v/>
      </c>
      <c r="CN9" s="35">
        <f>CN6+CN7+CN8</f>
        <v/>
      </c>
      <c r="CO9" s="35">
        <f>CO6+CO7+CO8</f>
        <v/>
      </c>
      <c r="CP9" s="35">
        <f>CP6+CP7+CP8</f>
        <v/>
      </c>
      <c r="CQ9" s="35">
        <f>CQ6+CQ7+CQ8</f>
        <v/>
      </c>
      <c r="CR9" s="35">
        <f>CR6+CR7+CR8</f>
        <v/>
      </c>
      <c r="CS9" s="35">
        <f>CS6+CS7+CS8</f>
        <v/>
      </c>
      <c r="CT9" s="35">
        <f>CT6+CT7+CT8</f>
        <v/>
      </c>
      <c r="CU9" s="35">
        <f>CU6+CU7+CU8</f>
        <v/>
      </c>
      <c r="CV9" s="35">
        <f>CV6+CV7+CV8</f>
        <v/>
      </c>
      <c r="CW9" s="35">
        <f>CW6+CW7+CW8</f>
        <v/>
      </c>
      <c r="CX9" s="35">
        <f>CX6+CX7+CX8</f>
        <v/>
      </c>
      <c r="CY9" s="35">
        <f>CY6+CY7+CY8</f>
        <v/>
      </c>
      <c r="CZ9" s="35">
        <f>CZ6+CZ7+CZ8</f>
        <v/>
      </c>
      <c r="DA9" s="35">
        <f>DA6+DA7+DA8</f>
        <v/>
      </c>
      <c r="DB9" s="35">
        <f>DB6+DB7+DB8</f>
        <v/>
      </c>
      <c r="DC9" s="35">
        <f>DC6+DC7+DC8</f>
        <v/>
      </c>
      <c r="DD9" s="35">
        <f>DD6+DD7+DD8</f>
        <v/>
      </c>
      <c r="DE9" s="35">
        <f>DE6+DE7+DE8</f>
        <v/>
      </c>
      <c r="DF9" s="35">
        <f>DF6+DF7+DF8</f>
        <v/>
      </c>
      <c r="DG9" s="35">
        <f>DG6+DG7+DG8</f>
        <v/>
      </c>
      <c r="DH9" s="35">
        <f>DH6+DH7+DH8</f>
        <v/>
      </c>
      <c r="DI9" s="35">
        <f>DI6+DI7+DI8</f>
        <v/>
      </c>
      <c r="DJ9" s="35">
        <f>DJ6+DJ7+DJ8</f>
        <v/>
      </c>
      <c r="DK9" s="35">
        <f>DK6+DK7+DK8</f>
        <v/>
      </c>
      <c r="DL9" s="35">
        <f>DL6+DL7+DL8</f>
        <v/>
      </c>
      <c r="DM9" s="35">
        <f>DM6+DM7+DM8</f>
        <v/>
      </c>
      <c r="DN9" s="35">
        <f>DN6+DN7+DN8</f>
        <v/>
      </c>
      <c r="DO9" s="35">
        <f>DO6+DO7+DO8</f>
        <v/>
      </c>
      <c r="DP9" s="35">
        <f>DP6+DP7+DP8</f>
        <v/>
      </c>
      <c r="DQ9" s="35">
        <f>DQ6+DQ7+DQ8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PRODUCTION</t>
        </is>
      </c>
    </row>
    <row r="3">
      <c r="A3" s="17" t="inlineStr">
        <is>
          <t>Sheet structure to be completed in Phase 2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CAPACITY</t>
        </is>
      </c>
    </row>
    <row r="3">
      <c r="A3" s="17" t="inlineStr">
        <is>
          <t>Sheet structure to be completed in Phase 2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COGS MATERIALS</t>
        </is>
      </c>
    </row>
    <row r="3">
      <c r="A3" s="17" t="inlineStr">
        <is>
          <t>Sheet structure to be completed in Phase 2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COGS PACKAGING</t>
        </is>
      </c>
    </row>
    <row r="3">
      <c r="A3" s="17" t="inlineStr">
        <is>
          <t>Sheet structure to be completed in Phase 2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COGS LABOUR</t>
        </is>
      </c>
    </row>
    <row r="3">
      <c r="A3" s="17" t="inlineStr">
        <is>
          <t>Sheet structure to be completed in Phase 2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COGS OVERHEAD</t>
        </is>
      </c>
    </row>
    <row r="3">
      <c r="A3" s="17" t="inlineStr">
        <is>
          <t>Sheet structure to be completed in Phase 2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Q1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  <col width="10" customWidth="1" min="70" max="70"/>
    <col width="10" customWidth="1" min="71" max="71"/>
    <col width="10" customWidth="1" min="72" max="72"/>
    <col width="10" customWidth="1" min="73" max="73"/>
    <col width="10" customWidth="1" min="74" max="74"/>
    <col width="10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0" customWidth="1" min="83" max="83"/>
    <col width="10" customWidth="1" min="84" max="84"/>
    <col width="10" customWidth="1" min="85" max="85"/>
    <col width="10" customWidth="1" min="86" max="86"/>
    <col width="10" customWidth="1" min="87" max="87"/>
    <col width="10" customWidth="1" min="88" max="88"/>
    <col width="10" customWidth="1" min="89" max="89"/>
    <col width="10" customWidth="1" min="90" max="90"/>
    <col width="10" customWidth="1" min="91" max="91"/>
    <col width="10" customWidth="1" min="92" max="92"/>
    <col width="10" customWidth="1" min="93" max="93"/>
    <col width="10" customWidth="1" min="94" max="94"/>
    <col width="10" customWidth="1" min="95" max="95"/>
    <col width="10" customWidth="1" min="96" max="96"/>
    <col width="10" customWidth="1" min="97" max="97"/>
    <col width="10" customWidth="1" min="98" max="98"/>
    <col width="10" customWidth="1" min="99" max="99"/>
    <col width="10" customWidth="1" min="100" max="100"/>
    <col width="10" customWidth="1" min="101" max="101"/>
    <col width="10" customWidth="1" min="102" max="102"/>
    <col width="10" customWidth="1" min="103" max="103"/>
    <col width="10" customWidth="1" min="104" max="104"/>
    <col width="10" customWidth="1" min="105" max="105"/>
    <col width="10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0" customWidth="1" min="111" max="111"/>
    <col width="10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0" customWidth="1" min="117" max="117"/>
    <col width="10" customWidth="1" min="118" max="118"/>
    <col width="10" customWidth="1" min="119" max="119"/>
    <col width="10" customWidth="1" min="120" max="120"/>
    <col width="10" customWidth="1" min="121" max="121"/>
  </cols>
  <sheetData>
    <row r="1">
      <c r="A1" s="2" t="inlineStr">
        <is>
          <t>COST OF GOODS SOLD (AUD '000)</t>
        </is>
      </c>
    </row>
    <row r="3">
      <c r="A3" s="6" t="inlineStr">
        <is>
          <t>Cost Component</t>
        </is>
      </c>
      <c r="B3" s="29">
        <f>TIMELINE!B7</f>
        <v/>
      </c>
      <c r="C3" s="29">
        <f>TIMELINE!C7</f>
        <v/>
      </c>
      <c r="D3" s="29">
        <f>TIMELINE!D7</f>
        <v/>
      </c>
      <c r="E3" s="29">
        <f>TIMELINE!E7</f>
        <v/>
      </c>
      <c r="F3" s="29">
        <f>TIMELINE!F7</f>
        <v/>
      </c>
      <c r="G3" s="29">
        <f>TIMELINE!G7</f>
        <v/>
      </c>
      <c r="H3" s="29">
        <f>TIMELINE!H7</f>
        <v/>
      </c>
      <c r="I3" s="29">
        <f>TIMELINE!I7</f>
        <v/>
      </c>
      <c r="J3" s="29">
        <f>TIMELINE!J7</f>
        <v/>
      </c>
      <c r="K3" s="29">
        <f>TIMELINE!K7</f>
        <v/>
      </c>
      <c r="L3" s="29">
        <f>TIMELINE!L7</f>
        <v/>
      </c>
      <c r="M3" s="29">
        <f>TIMELINE!M7</f>
        <v/>
      </c>
      <c r="N3" s="29">
        <f>TIMELINE!N7</f>
        <v/>
      </c>
      <c r="O3" s="29">
        <f>TIMELINE!O7</f>
        <v/>
      </c>
      <c r="P3" s="29">
        <f>TIMELINE!P7</f>
        <v/>
      </c>
      <c r="Q3" s="29">
        <f>TIMELINE!Q7</f>
        <v/>
      </c>
      <c r="R3" s="29">
        <f>TIMELINE!R7</f>
        <v/>
      </c>
      <c r="S3" s="29">
        <f>TIMELINE!S7</f>
        <v/>
      </c>
      <c r="T3" s="29">
        <f>TIMELINE!T7</f>
        <v/>
      </c>
      <c r="U3" s="29">
        <f>TIMELINE!U7</f>
        <v/>
      </c>
      <c r="V3" s="29">
        <f>TIMELINE!V7</f>
        <v/>
      </c>
      <c r="W3" s="29">
        <f>TIMELINE!W7</f>
        <v/>
      </c>
      <c r="X3" s="29">
        <f>TIMELINE!X7</f>
        <v/>
      </c>
      <c r="Y3" s="29">
        <f>TIMELINE!Y7</f>
        <v/>
      </c>
      <c r="Z3" s="29">
        <f>TIMELINE!Z7</f>
        <v/>
      </c>
      <c r="AA3" s="29">
        <f>TIMELINE!AA7</f>
        <v/>
      </c>
      <c r="AB3" s="29">
        <f>TIMELINE!AB7</f>
        <v/>
      </c>
      <c r="AC3" s="29">
        <f>TIMELINE!AC7</f>
        <v/>
      </c>
      <c r="AD3" s="29">
        <f>TIMELINE!AD7</f>
        <v/>
      </c>
      <c r="AE3" s="29">
        <f>TIMELINE!AE7</f>
        <v/>
      </c>
      <c r="AF3" s="29">
        <f>TIMELINE!AF7</f>
        <v/>
      </c>
      <c r="AG3" s="29">
        <f>TIMELINE!AG7</f>
        <v/>
      </c>
      <c r="AH3" s="29">
        <f>TIMELINE!AH7</f>
        <v/>
      </c>
      <c r="AI3" s="29">
        <f>TIMELINE!AI7</f>
        <v/>
      </c>
      <c r="AJ3" s="29">
        <f>TIMELINE!AJ7</f>
        <v/>
      </c>
      <c r="AK3" s="29">
        <f>TIMELINE!AK7</f>
        <v/>
      </c>
      <c r="AL3" s="29">
        <f>TIMELINE!AL7</f>
        <v/>
      </c>
      <c r="AM3" s="29">
        <f>TIMELINE!AM7</f>
        <v/>
      </c>
      <c r="AN3" s="29">
        <f>TIMELINE!AN7</f>
        <v/>
      </c>
      <c r="AO3" s="29">
        <f>TIMELINE!AO7</f>
        <v/>
      </c>
      <c r="AP3" s="29">
        <f>TIMELINE!AP7</f>
        <v/>
      </c>
      <c r="AQ3" s="29">
        <f>TIMELINE!AQ7</f>
        <v/>
      </c>
      <c r="AR3" s="29">
        <f>TIMELINE!AR7</f>
        <v/>
      </c>
      <c r="AS3" s="29">
        <f>TIMELINE!AS7</f>
        <v/>
      </c>
      <c r="AT3" s="29">
        <f>TIMELINE!AT7</f>
        <v/>
      </c>
      <c r="AU3" s="29">
        <f>TIMELINE!AU7</f>
        <v/>
      </c>
      <c r="AV3" s="29">
        <f>TIMELINE!AV7</f>
        <v/>
      </c>
      <c r="AW3" s="29">
        <f>TIMELINE!AW7</f>
        <v/>
      </c>
      <c r="AX3" s="29">
        <f>TIMELINE!AX7</f>
        <v/>
      </c>
      <c r="AY3" s="29">
        <f>TIMELINE!AY7</f>
        <v/>
      </c>
      <c r="AZ3" s="29">
        <f>TIMELINE!AZ7</f>
        <v/>
      </c>
      <c r="BA3" s="29">
        <f>TIMELINE!BA7</f>
        <v/>
      </c>
      <c r="BB3" s="29">
        <f>TIMELINE!BB7</f>
        <v/>
      </c>
      <c r="BC3" s="29">
        <f>TIMELINE!BC7</f>
        <v/>
      </c>
      <c r="BD3" s="29">
        <f>TIMELINE!BD7</f>
        <v/>
      </c>
      <c r="BE3" s="29">
        <f>TIMELINE!BE7</f>
        <v/>
      </c>
      <c r="BF3" s="29">
        <f>TIMELINE!BF7</f>
        <v/>
      </c>
      <c r="BG3" s="29">
        <f>TIMELINE!BG7</f>
        <v/>
      </c>
      <c r="BH3" s="29">
        <f>TIMELINE!BH7</f>
        <v/>
      </c>
      <c r="BI3" s="29">
        <f>TIMELINE!BI7</f>
        <v/>
      </c>
      <c r="BJ3" s="29">
        <f>TIMELINE!BJ7</f>
        <v/>
      </c>
      <c r="BK3" s="29">
        <f>TIMELINE!BK7</f>
        <v/>
      </c>
      <c r="BL3" s="29">
        <f>TIMELINE!BL7</f>
        <v/>
      </c>
      <c r="BM3" s="29">
        <f>TIMELINE!BM7</f>
        <v/>
      </c>
      <c r="BN3" s="29">
        <f>TIMELINE!BN7</f>
        <v/>
      </c>
      <c r="BO3" s="29">
        <f>TIMELINE!BO7</f>
        <v/>
      </c>
      <c r="BP3" s="29">
        <f>TIMELINE!BP7</f>
        <v/>
      </c>
      <c r="BQ3" s="29">
        <f>TIMELINE!BQ7</f>
        <v/>
      </c>
      <c r="BR3" s="29">
        <f>TIMELINE!BR7</f>
        <v/>
      </c>
      <c r="BS3" s="29">
        <f>TIMELINE!BS7</f>
        <v/>
      </c>
      <c r="BT3" s="29">
        <f>TIMELINE!BT7</f>
        <v/>
      </c>
      <c r="BU3" s="29">
        <f>TIMELINE!BU7</f>
        <v/>
      </c>
      <c r="BV3" s="29">
        <f>TIMELINE!BV7</f>
        <v/>
      </c>
      <c r="BW3" s="29">
        <f>TIMELINE!BW7</f>
        <v/>
      </c>
      <c r="BX3" s="29">
        <f>TIMELINE!BX7</f>
        <v/>
      </c>
      <c r="BY3" s="29">
        <f>TIMELINE!BY7</f>
        <v/>
      </c>
      <c r="BZ3" s="29">
        <f>TIMELINE!BZ7</f>
        <v/>
      </c>
      <c r="CA3" s="29">
        <f>TIMELINE!CA7</f>
        <v/>
      </c>
      <c r="CB3" s="29">
        <f>TIMELINE!CB7</f>
        <v/>
      </c>
      <c r="CC3" s="29">
        <f>TIMELINE!CC7</f>
        <v/>
      </c>
      <c r="CD3" s="29">
        <f>TIMELINE!CD7</f>
        <v/>
      </c>
      <c r="CE3" s="29">
        <f>TIMELINE!CE7</f>
        <v/>
      </c>
      <c r="CF3" s="29">
        <f>TIMELINE!CF7</f>
        <v/>
      </c>
      <c r="CG3" s="29">
        <f>TIMELINE!CG7</f>
        <v/>
      </c>
      <c r="CH3" s="29">
        <f>TIMELINE!CH7</f>
        <v/>
      </c>
      <c r="CI3" s="29">
        <f>TIMELINE!CI7</f>
        <v/>
      </c>
      <c r="CJ3" s="29">
        <f>TIMELINE!CJ7</f>
        <v/>
      </c>
      <c r="CK3" s="29">
        <f>TIMELINE!CK7</f>
        <v/>
      </c>
      <c r="CL3" s="29">
        <f>TIMELINE!CL7</f>
        <v/>
      </c>
      <c r="CM3" s="29">
        <f>TIMELINE!CM7</f>
        <v/>
      </c>
      <c r="CN3" s="29">
        <f>TIMELINE!CN7</f>
        <v/>
      </c>
      <c r="CO3" s="29">
        <f>TIMELINE!CO7</f>
        <v/>
      </c>
      <c r="CP3" s="29">
        <f>TIMELINE!CP7</f>
        <v/>
      </c>
      <c r="CQ3" s="29">
        <f>TIMELINE!CQ7</f>
        <v/>
      </c>
      <c r="CR3" s="29">
        <f>TIMELINE!CR7</f>
        <v/>
      </c>
      <c r="CS3" s="29">
        <f>TIMELINE!CS7</f>
        <v/>
      </c>
      <c r="CT3" s="29">
        <f>TIMELINE!CT7</f>
        <v/>
      </c>
      <c r="CU3" s="29">
        <f>TIMELINE!CU7</f>
        <v/>
      </c>
      <c r="CV3" s="29">
        <f>TIMELINE!CV7</f>
        <v/>
      </c>
      <c r="CW3" s="29">
        <f>TIMELINE!CW7</f>
        <v/>
      </c>
      <c r="CX3" s="29">
        <f>TIMELINE!CX7</f>
        <v/>
      </c>
      <c r="CY3" s="29">
        <f>TIMELINE!CY7</f>
        <v/>
      </c>
      <c r="CZ3" s="29">
        <f>TIMELINE!CZ7</f>
        <v/>
      </c>
      <c r="DA3" s="29">
        <f>TIMELINE!DA7</f>
        <v/>
      </c>
      <c r="DB3" s="29">
        <f>TIMELINE!DB7</f>
        <v/>
      </c>
      <c r="DC3" s="29">
        <f>TIMELINE!DC7</f>
        <v/>
      </c>
      <c r="DD3" s="29">
        <f>TIMELINE!DD7</f>
        <v/>
      </c>
      <c r="DE3" s="29">
        <f>TIMELINE!DE7</f>
        <v/>
      </c>
      <c r="DF3" s="29">
        <f>TIMELINE!DF7</f>
        <v/>
      </c>
      <c r="DG3" s="29">
        <f>TIMELINE!DG7</f>
        <v/>
      </c>
      <c r="DH3" s="29">
        <f>TIMELINE!DH7</f>
        <v/>
      </c>
      <c r="DI3" s="29">
        <f>TIMELINE!DI7</f>
        <v/>
      </c>
      <c r="DJ3" s="29">
        <f>TIMELINE!DJ7</f>
        <v/>
      </c>
      <c r="DK3" s="29">
        <f>TIMELINE!DK7</f>
        <v/>
      </c>
      <c r="DL3" s="29">
        <f>TIMELINE!DL7</f>
        <v/>
      </c>
      <c r="DM3" s="29">
        <f>TIMELINE!DM7</f>
        <v/>
      </c>
      <c r="DN3" s="29">
        <f>TIMELINE!DN7</f>
        <v/>
      </c>
      <c r="DO3" s="29">
        <f>TIMELINE!DO7</f>
        <v/>
      </c>
      <c r="DP3" s="29">
        <f>TIMELINE!DP7</f>
        <v/>
      </c>
      <c r="DQ3" s="29">
        <f>TIMELINE!DQ7</f>
        <v/>
      </c>
    </row>
    <row r="4">
      <c r="A4" t="inlineStr">
        <is>
          <t>HL Produced (from Volume)</t>
        </is>
      </c>
      <c r="B4" s="31">
        <f>Volume_Build!B20</f>
        <v/>
      </c>
      <c r="C4" s="31">
        <f>Volume_Build!C20</f>
        <v/>
      </c>
      <c r="D4" s="31">
        <f>Volume_Build!D20</f>
        <v/>
      </c>
      <c r="E4" s="31">
        <f>Volume_Build!E20</f>
        <v/>
      </c>
      <c r="F4" s="31">
        <f>Volume_Build!F20</f>
        <v/>
      </c>
      <c r="G4" s="31">
        <f>Volume_Build!G20</f>
        <v/>
      </c>
      <c r="H4" s="31">
        <f>Volume_Build!H20</f>
        <v/>
      </c>
      <c r="I4" s="31">
        <f>Volume_Build!I20</f>
        <v/>
      </c>
      <c r="J4" s="31">
        <f>Volume_Build!J20</f>
        <v/>
      </c>
      <c r="K4" s="31">
        <f>Volume_Build!K20</f>
        <v/>
      </c>
      <c r="L4" s="31">
        <f>Volume_Build!L20</f>
        <v/>
      </c>
      <c r="M4" s="31">
        <f>Volume_Build!M20</f>
        <v/>
      </c>
      <c r="N4" s="31">
        <f>Volume_Build!N20</f>
        <v/>
      </c>
      <c r="O4" s="31">
        <f>Volume_Build!O20</f>
        <v/>
      </c>
      <c r="P4" s="31">
        <f>Volume_Build!P20</f>
        <v/>
      </c>
      <c r="Q4" s="31">
        <f>Volume_Build!Q20</f>
        <v/>
      </c>
      <c r="R4" s="31">
        <f>Volume_Build!R20</f>
        <v/>
      </c>
      <c r="S4" s="31">
        <f>Volume_Build!S20</f>
        <v/>
      </c>
      <c r="T4" s="31">
        <f>Volume_Build!T20</f>
        <v/>
      </c>
      <c r="U4" s="31">
        <f>Volume_Build!U20</f>
        <v/>
      </c>
      <c r="V4" s="31">
        <f>Volume_Build!V20</f>
        <v/>
      </c>
      <c r="W4" s="31">
        <f>Volume_Build!W20</f>
        <v/>
      </c>
      <c r="X4" s="31">
        <f>Volume_Build!X20</f>
        <v/>
      </c>
      <c r="Y4" s="31">
        <f>Volume_Build!Y20</f>
        <v/>
      </c>
      <c r="Z4" s="31">
        <f>Volume_Build!Z20</f>
        <v/>
      </c>
      <c r="AA4" s="31">
        <f>Volume_Build!AA20</f>
        <v/>
      </c>
      <c r="AB4" s="31">
        <f>Volume_Build!AB20</f>
        <v/>
      </c>
      <c r="AC4" s="31">
        <f>Volume_Build!AC20</f>
        <v/>
      </c>
      <c r="AD4" s="31">
        <f>Volume_Build!AD20</f>
        <v/>
      </c>
      <c r="AE4" s="31">
        <f>Volume_Build!AE20</f>
        <v/>
      </c>
      <c r="AF4" s="31">
        <f>Volume_Build!AF20</f>
        <v/>
      </c>
      <c r="AG4" s="31">
        <f>Volume_Build!AG20</f>
        <v/>
      </c>
      <c r="AH4" s="31">
        <f>Volume_Build!AH20</f>
        <v/>
      </c>
      <c r="AI4" s="31">
        <f>Volume_Build!AI20</f>
        <v/>
      </c>
      <c r="AJ4" s="31">
        <f>Volume_Build!AJ20</f>
        <v/>
      </c>
      <c r="AK4" s="31">
        <f>Volume_Build!AK20</f>
        <v/>
      </c>
      <c r="AL4" s="31">
        <f>Volume_Build!AL20</f>
        <v/>
      </c>
      <c r="AM4" s="31">
        <f>Volume_Build!AM20</f>
        <v/>
      </c>
      <c r="AN4" s="31">
        <f>Volume_Build!AN20</f>
        <v/>
      </c>
      <c r="AO4" s="31">
        <f>Volume_Build!AO20</f>
        <v/>
      </c>
      <c r="AP4" s="31">
        <f>Volume_Build!AP20</f>
        <v/>
      </c>
      <c r="AQ4" s="31">
        <f>Volume_Build!AQ20</f>
        <v/>
      </c>
      <c r="AR4" s="31">
        <f>Volume_Build!AR20</f>
        <v/>
      </c>
      <c r="AS4" s="31">
        <f>Volume_Build!AS20</f>
        <v/>
      </c>
      <c r="AT4" s="31">
        <f>Volume_Build!AT20</f>
        <v/>
      </c>
      <c r="AU4" s="31">
        <f>Volume_Build!AU20</f>
        <v/>
      </c>
      <c r="AV4" s="31">
        <f>Volume_Build!AV20</f>
        <v/>
      </c>
      <c r="AW4" s="31">
        <f>Volume_Build!AW20</f>
        <v/>
      </c>
      <c r="AX4" s="31">
        <f>Volume_Build!AX20</f>
        <v/>
      </c>
      <c r="AY4" s="31">
        <f>Volume_Build!AY20</f>
        <v/>
      </c>
      <c r="AZ4" s="31">
        <f>Volume_Build!AZ20</f>
        <v/>
      </c>
      <c r="BA4" s="31">
        <f>Volume_Build!BA20</f>
        <v/>
      </c>
      <c r="BB4" s="31">
        <f>Volume_Build!BB20</f>
        <v/>
      </c>
      <c r="BC4" s="31">
        <f>Volume_Build!BC20</f>
        <v/>
      </c>
      <c r="BD4" s="31">
        <f>Volume_Build!BD20</f>
        <v/>
      </c>
      <c r="BE4" s="31">
        <f>Volume_Build!BE20</f>
        <v/>
      </c>
      <c r="BF4" s="31">
        <f>Volume_Build!BF20</f>
        <v/>
      </c>
      <c r="BG4" s="31">
        <f>Volume_Build!BG20</f>
        <v/>
      </c>
      <c r="BH4" s="31">
        <f>Volume_Build!BH20</f>
        <v/>
      </c>
      <c r="BI4" s="31">
        <f>Volume_Build!BI20</f>
        <v/>
      </c>
      <c r="BJ4" s="31">
        <f>Volume_Build!BJ20</f>
        <v/>
      </c>
      <c r="BK4" s="31">
        <f>Volume_Build!BK20</f>
        <v/>
      </c>
      <c r="BL4" s="31">
        <f>Volume_Build!BL20</f>
        <v/>
      </c>
      <c r="BM4" s="31">
        <f>Volume_Build!BM20</f>
        <v/>
      </c>
      <c r="BN4" s="31">
        <f>Volume_Build!BN20</f>
        <v/>
      </c>
      <c r="BO4" s="31">
        <f>Volume_Build!BO20</f>
        <v/>
      </c>
      <c r="BP4" s="31">
        <f>Volume_Build!BP20</f>
        <v/>
      </c>
      <c r="BQ4" s="31">
        <f>Volume_Build!BQ20</f>
        <v/>
      </c>
      <c r="BR4" s="31">
        <f>Volume_Build!BR20</f>
        <v/>
      </c>
      <c r="BS4" s="31">
        <f>Volume_Build!BS20</f>
        <v/>
      </c>
      <c r="BT4" s="31">
        <f>Volume_Build!BT20</f>
        <v/>
      </c>
      <c r="BU4" s="31">
        <f>Volume_Build!BU20</f>
        <v/>
      </c>
      <c r="BV4" s="31">
        <f>Volume_Build!BV20</f>
        <v/>
      </c>
      <c r="BW4" s="31">
        <f>Volume_Build!BW20</f>
        <v/>
      </c>
      <c r="BX4" s="31">
        <f>Volume_Build!BX20</f>
        <v/>
      </c>
      <c r="BY4" s="31">
        <f>Volume_Build!BY20</f>
        <v/>
      </c>
      <c r="BZ4" s="31">
        <f>Volume_Build!BZ20</f>
        <v/>
      </c>
      <c r="CA4" s="31">
        <f>Volume_Build!CA20</f>
        <v/>
      </c>
      <c r="CB4" s="31">
        <f>Volume_Build!CB20</f>
        <v/>
      </c>
      <c r="CC4" s="31">
        <f>Volume_Build!CC20</f>
        <v/>
      </c>
      <c r="CD4" s="31">
        <f>Volume_Build!CD20</f>
        <v/>
      </c>
      <c r="CE4" s="31">
        <f>Volume_Build!CE20</f>
        <v/>
      </c>
      <c r="CF4" s="31">
        <f>Volume_Build!CF20</f>
        <v/>
      </c>
      <c r="CG4" s="31">
        <f>Volume_Build!CG20</f>
        <v/>
      </c>
      <c r="CH4" s="31">
        <f>Volume_Build!CH20</f>
        <v/>
      </c>
      <c r="CI4" s="31">
        <f>Volume_Build!CI20</f>
        <v/>
      </c>
      <c r="CJ4" s="31">
        <f>Volume_Build!CJ20</f>
        <v/>
      </c>
      <c r="CK4" s="31">
        <f>Volume_Build!CK20</f>
        <v/>
      </c>
      <c r="CL4" s="31">
        <f>Volume_Build!CL20</f>
        <v/>
      </c>
      <c r="CM4" s="31">
        <f>Volume_Build!CM20</f>
        <v/>
      </c>
      <c r="CN4" s="31">
        <f>Volume_Build!CN20</f>
        <v/>
      </c>
      <c r="CO4" s="31">
        <f>Volume_Build!CO20</f>
        <v/>
      </c>
      <c r="CP4" s="31">
        <f>Volume_Build!CP20</f>
        <v/>
      </c>
      <c r="CQ4" s="31">
        <f>Volume_Build!CQ20</f>
        <v/>
      </c>
      <c r="CR4" s="31">
        <f>Volume_Build!CR20</f>
        <v/>
      </c>
      <c r="CS4" s="31">
        <f>Volume_Build!CS20</f>
        <v/>
      </c>
      <c r="CT4" s="31">
        <f>Volume_Build!CT20</f>
        <v/>
      </c>
      <c r="CU4" s="31">
        <f>Volume_Build!CU20</f>
        <v/>
      </c>
      <c r="CV4" s="31">
        <f>Volume_Build!CV20</f>
        <v/>
      </c>
      <c r="CW4" s="31">
        <f>Volume_Build!CW20</f>
        <v/>
      </c>
      <c r="CX4" s="31">
        <f>Volume_Build!CX20</f>
        <v/>
      </c>
      <c r="CY4" s="31">
        <f>Volume_Build!CY20</f>
        <v/>
      </c>
      <c r="CZ4" s="31">
        <f>Volume_Build!CZ20</f>
        <v/>
      </c>
      <c r="DA4" s="31">
        <f>Volume_Build!DA20</f>
        <v/>
      </c>
      <c r="DB4" s="31">
        <f>Volume_Build!DB20</f>
        <v/>
      </c>
      <c r="DC4" s="31">
        <f>Volume_Build!DC20</f>
        <v/>
      </c>
      <c r="DD4" s="31">
        <f>Volume_Build!DD20</f>
        <v/>
      </c>
      <c r="DE4" s="31">
        <f>Volume_Build!DE20</f>
        <v/>
      </c>
      <c r="DF4" s="31">
        <f>Volume_Build!DF20</f>
        <v/>
      </c>
      <c r="DG4" s="31">
        <f>Volume_Build!DG20</f>
        <v/>
      </c>
      <c r="DH4" s="31">
        <f>Volume_Build!DH20</f>
        <v/>
      </c>
      <c r="DI4" s="31">
        <f>Volume_Build!DI20</f>
        <v/>
      </c>
      <c r="DJ4" s="31">
        <f>Volume_Build!DJ20</f>
        <v/>
      </c>
      <c r="DK4" s="31">
        <f>Volume_Build!DK20</f>
        <v/>
      </c>
      <c r="DL4" s="31">
        <f>Volume_Build!DL20</f>
        <v/>
      </c>
      <c r="DM4" s="31">
        <f>Volume_Build!DM20</f>
        <v/>
      </c>
      <c r="DN4" s="31">
        <f>Volume_Build!DN20</f>
        <v/>
      </c>
      <c r="DO4" s="31">
        <f>Volume_Build!DO20</f>
        <v/>
      </c>
      <c r="DP4" s="31">
        <f>Volume_Build!DP20</f>
        <v/>
      </c>
      <c r="DQ4" s="31">
        <f>Volume_Build!DQ20</f>
        <v/>
      </c>
    </row>
    <row r="5">
      <c r="A5" t="inlineStr">
        <is>
          <t>Materials per HL</t>
        </is>
      </c>
      <c r="B5" s="36">
        <f>Assumptions_Operations!$B$8</f>
        <v/>
      </c>
      <c r="C5" s="36">
        <f>Assumptions_Operations!$B$8</f>
        <v/>
      </c>
      <c r="D5" s="36">
        <f>Assumptions_Operations!$B$8</f>
        <v/>
      </c>
      <c r="E5" s="36">
        <f>Assumptions_Operations!$B$8</f>
        <v/>
      </c>
      <c r="F5" s="36">
        <f>Assumptions_Operations!$B$8</f>
        <v/>
      </c>
      <c r="G5" s="36">
        <f>Assumptions_Operations!$B$8</f>
        <v/>
      </c>
      <c r="H5" s="36">
        <f>Assumptions_Operations!$B$8</f>
        <v/>
      </c>
      <c r="I5" s="36">
        <f>Assumptions_Operations!$B$8</f>
        <v/>
      </c>
      <c r="J5" s="36">
        <f>Assumptions_Operations!$B$8</f>
        <v/>
      </c>
      <c r="K5" s="36">
        <f>Assumptions_Operations!$B$8</f>
        <v/>
      </c>
      <c r="L5" s="36">
        <f>Assumptions_Operations!$B$8</f>
        <v/>
      </c>
      <c r="M5" s="36">
        <f>Assumptions_Operations!$B$8</f>
        <v/>
      </c>
      <c r="N5" s="36">
        <f>Assumptions_Operations!$B$8</f>
        <v/>
      </c>
      <c r="O5" s="36">
        <f>Assumptions_Operations!$B$8</f>
        <v/>
      </c>
      <c r="P5" s="36">
        <f>Assumptions_Operations!$B$8</f>
        <v/>
      </c>
      <c r="Q5" s="36">
        <f>Assumptions_Operations!$B$8</f>
        <v/>
      </c>
      <c r="R5" s="36">
        <f>Assumptions_Operations!$B$8</f>
        <v/>
      </c>
      <c r="S5" s="36">
        <f>Assumptions_Operations!$B$8</f>
        <v/>
      </c>
      <c r="T5" s="36">
        <f>Assumptions_Operations!$B$8</f>
        <v/>
      </c>
      <c r="U5" s="36">
        <f>Assumptions_Operations!$B$8</f>
        <v/>
      </c>
      <c r="V5" s="36">
        <f>Assumptions_Operations!$B$8</f>
        <v/>
      </c>
      <c r="W5" s="36">
        <f>Assumptions_Operations!$B$8</f>
        <v/>
      </c>
      <c r="X5" s="36">
        <f>Assumptions_Operations!$B$8</f>
        <v/>
      </c>
      <c r="Y5" s="36">
        <f>Assumptions_Operations!$B$8</f>
        <v/>
      </c>
      <c r="Z5" s="36">
        <f>Assumptions_Operations!$B$8</f>
        <v/>
      </c>
      <c r="AA5" s="36">
        <f>Assumptions_Operations!$B$8</f>
        <v/>
      </c>
      <c r="AB5" s="36">
        <f>Assumptions_Operations!$B$8</f>
        <v/>
      </c>
      <c r="AC5" s="36">
        <f>Assumptions_Operations!$B$8</f>
        <v/>
      </c>
      <c r="AD5" s="36">
        <f>Assumptions_Operations!$B$8</f>
        <v/>
      </c>
      <c r="AE5" s="36">
        <f>Assumptions_Operations!$B$8</f>
        <v/>
      </c>
      <c r="AF5" s="36">
        <f>Assumptions_Operations!$B$8</f>
        <v/>
      </c>
      <c r="AG5" s="36">
        <f>Assumptions_Operations!$B$8</f>
        <v/>
      </c>
      <c r="AH5" s="36">
        <f>Assumptions_Operations!$B$8</f>
        <v/>
      </c>
      <c r="AI5" s="36">
        <f>Assumptions_Operations!$B$8</f>
        <v/>
      </c>
      <c r="AJ5" s="36">
        <f>Assumptions_Operations!$B$8</f>
        <v/>
      </c>
      <c r="AK5" s="36">
        <f>Assumptions_Operations!$B$8</f>
        <v/>
      </c>
      <c r="AL5" s="36">
        <f>Assumptions_Operations!$B$8</f>
        <v/>
      </c>
      <c r="AM5" s="36">
        <f>Assumptions_Operations!$B$8</f>
        <v/>
      </c>
      <c r="AN5" s="36">
        <f>Assumptions_Operations!$B$8</f>
        <v/>
      </c>
      <c r="AO5" s="36">
        <f>Assumptions_Operations!$B$8</f>
        <v/>
      </c>
      <c r="AP5" s="36">
        <f>Assumptions_Operations!$B$8</f>
        <v/>
      </c>
      <c r="AQ5" s="36">
        <f>Assumptions_Operations!$B$8</f>
        <v/>
      </c>
      <c r="AR5" s="36">
        <f>Assumptions_Operations!$B$8</f>
        <v/>
      </c>
      <c r="AS5" s="36">
        <f>Assumptions_Operations!$B$8</f>
        <v/>
      </c>
      <c r="AT5" s="36">
        <f>Assumptions_Operations!$B$8</f>
        <v/>
      </c>
      <c r="AU5" s="36">
        <f>Assumptions_Operations!$B$8</f>
        <v/>
      </c>
      <c r="AV5" s="36">
        <f>Assumptions_Operations!$B$8</f>
        <v/>
      </c>
      <c r="AW5" s="36">
        <f>Assumptions_Operations!$B$8</f>
        <v/>
      </c>
      <c r="AX5" s="36">
        <f>Assumptions_Operations!$B$8</f>
        <v/>
      </c>
      <c r="AY5" s="36">
        <f>Assumptions_Operations!$B$8</f>
        <v/>
      </c>
      <c r="AZ5" s="36">
        <f>Assumptions_Operations!$B$8</f>
        <v/>
      </c>
      <c r="BA5" s="36">
        <f>Assumptions_Operations!$B$8</f>
        <v/>
      </c>
      <c r="BB5" s="36">
        <f>Assumptions_Operations!$B$8</f>
        <v/>
      </c>
      <c r="BC5" s="36">
        <f>Assumptions_Operations!$B$8</f>
        <v/>
      </c>
      <c r="BD5" s="36">
        <f>Assumptions_Operations!$B$8</f>
        <v/>
      </c>
      <c r="BE5" s="36">
        <f>Assumptions_Operations!$B$8</f>
        <v/>
      </c>
      <c r="BF5" s="36">
        <f>Assumptions_Operations!$B$8</f>
        <v/>
      </c>
      <c r="BG5" s="36">
        <f>Assumptions_Operations!$B$8</f>
        <v/>
      </c>
      <c r="BH5" s="36">
        <f>Assumptions_Operations!$B$8</f>
        <v/>
      </c>
      <c r="BI5" s="36">
        <f>Assumptions_Operations!$B$8</f>
        <v/>
      </c>
      <c r="BJ5" s="36">
        <f>Assumptions_Operations!$B$8</f>
        <v/>
      </c>
      <c r="BK5" s="36">
        <f>Assumptions_Operations!$B$8</f>
        <v/>
      </c>
      <c r="BL5" s="36">
        <f>Assumptions_Operations!$B$8</f>
        <v/>
      </c>
      <c r="BM5" s="36">
        <f>Assumptions_Operations!$B$8</f>
        <v/>
      </c>
      <c r="BN5" s="36">
        <f>Assumptions_Operations!$B$8</f>
        <v/>
      </c>
      <c r="BO5" s="36">
        <f>Assumptions_Operations!$B$8</f>
        <v/>
      </c>
      <c r="BP5" s="36">
        <f>Assumptions_Operations!$B$8</f>
        <v/>
      </c>
      <c r="BQ5" s="36">
        <f>Assumptions_Operations!$B$8</f>
        <v/>
      </c>
      <c r="BR5" s="36">
        <f>Assumptions_Operations!$B$8</f>
        <v/>
      </c>
      <c r="BS5" s="36">
        <f>Assumptions_Operations!$B$8</f>
        <v/>
      </c>
      <c r="BT5" s="36">
        <f>Assumptions_Operations!$B$8</f>
        <v/>
      </c>
      <c r="BU5" s="36">
        <f>Assumptions_Operations!$B$8</f>
        <v/>
      </c>
      <c r="BV5" s="36">
        <f>Assumptions_Operations!$B$8</f>
        <v/>
      </c>
      <c r="BW5" s="36">
        <f>Assumptions_Operations!$B$8</f>
        <v/>
      </c>
      <c r="BX5" s="36">
        <f>Assumptions_Operations!$B$8</f>
        <v/>
      </c>
      <c r="BY5" s="36">
        <f>Assumptions_Operations!$B$8</f>
        <v/>
      </c>
      <c r="BZ5" s="36">
        <f>Assumptions_Operations!$B$8</f>
        <v/>
      </c>
      <c r="CA5" s="36">
        <f>Assumptions_Operations!$B$8</f>
        <v/>
      </c>
      <c r="CB5" s="36">
        <f>Assumptions_Operations!$B$8</f>
        <v/>
      </c>
      <c r="CC5" s="36">
        <f>Assumptions_Operations!$B$8</f>
        <v/>
      </c>
      <c r="CD5" s="36">
        <f>Assumptions_Operations!$B$8</f>
        <v/>
      </c>
      <c r="CE5" s="36">
        <f>Assumptions_Operations!$B$8</f>
        <v/>
      </c>
      <c r="CF5" s="36">
        <f>Assumptions_Operations!$B$8</f>
        <v/>
      </c>
      <c r="CG5" s="36">
        <f>Assumptions_Operations!$B$8</f>
        <v/>
      </c>
      <c r="CH5" s="36">
        <f>Assumptions_Operations!$B$8</f>
        <v/>
      </c>
      <c r="CI5" s="36">
        <f>Assumptions_Operations!$B$8</f>
        <v/>
      </c>
      <c r="CJ5" s="36">
        <f>Assumptions_Operations!$B$8</f>
        <v/>
      </c>
      <c r="CK5" s="36">
        <f>Assumptions_Operations!$B$8</f>
        <v/>
      </c>
      <c r="CL5" s="36">
        <f>Assumptions_Operations!$B$8</f>
        <v/>
      </c>
      <c r="CM5" s="36">
        <f>Assumptions_Operations!$B$8</f>
        <v/>
      </c>
      <c r="CN5" s="36">
        <f>Assumptions_Operations!$B$8</f>
        <v/>
      </c>
      <c r="CO5" s="36">
        <f>Assumptions_Operations!$B$8</f>
        <v/>
      </c>
      <c r="CP5" s="36">
        <f>Assumptions_Operations!$B$8</f>
        <v/>
      </c>
      <c r="CQ5" s="36">
        <f>Assumptions_Operations!$B$8</f>
        <v/>
      </c>
      <c r="CR5" s="36">
        <f>Assumptions_Operations!$B$8</f>
        <v/>
      </c>
      <c r="CS5" s="36">
        <f>Assumptions_Operations!$B$8</f>
        <v/>
      </c>
      <c r="CT5" s="36">
        <f>Assumptions_Operations!$B$8</f>
        <v/>
      </c>
      <c r="CU5" s="36">
        <f>Assumptions_Operations!$B$8</f>
        <v/>
      </c>
      <c r="CV5" s="36">
        <f>Assumptions_Operations!$B$8</f>
        <v/>
      </c>
      <c r="CW5" s="36">
        <f>Assumptions_Operations!$B$8</f>
        <v/>
      </c>
      <c r="CX5" s="36">
        <f>Assumptions_Operations!$B$8</f>
        <v/>
      </c>
      <c r="CY5" s="36">
        <f>Assumptions_Operations!$B$8</f>
        <v/>
      </c>
      <c r="CZ5" s="36">
        <f>Assumptions_Operations!$B$8</f>
        <v/>
      </c>
      <c r="DA5" s="36">
        <f>Assumptions_Operations!$B$8</f>
        <v/>
      </c>
      <c r="DB5" s="36">
        <f>Assumptions_Operations!$B$8</f>
        <v/>
      </c>
      <c r="DC5" s="36">
        <f>Assumptions_Operations!$B$8</f>
        <v/>
      </c>
      <c r="DD5" s="36">
        <f>Assumptions_Operations!$B$8</f>
        <v/>
      </c>
      <c r="DE5" s="36">
        <f>Assumptions_Operations!$B$8</f>
        <v/>
      </c>
      <c r="DF5" s="36">
        <f>Assumptions_Operations!$B$8</f>
        <v/>
      </c>
      <c r="DG5" s="36">
        <f>Assumptions_Operations!$B$8</f>
        <v/>
      </c>
      <c r="DH5" s="36">
        <f>Assumptions_Operations!$B$8</f>
        <v/>
      </c>
      <c r="DI5" s="36">
        <f>Assumptions_Operations!$B$8</f>
        <v/>
      </c>
      <c r="DJ5" s="36">
        <f>Assumptions_Operations!$B$8</f>
        <v/>
      </c>
      <c r="DK5" s="36">
        <f>Assumptions_Operations!$B$8</f>
        <v/>
      </c>
      <c r="DL5" s="36">
        <f>Assumptions_Operations!$B$8</f>
        <v/>
      </c>
      <c r="DM5" s="36">
        <f>Assumptions_Operations!$B$8</f>
        <v/>
      </c>
      <c r="DN5" s="36">
        <f>Assumptions_Operations!$B$8</f>
        <v/>
      </c>
      <c r="DO5" s="36">
        <f>Assumptions_Operations!$B$8</f>
        <v/>
      </c>
      <c r="DP5" s="36">
        <f>Assumptions_Operations!$B$8</f>
        <v/>
      </c>
      <c r="DQ5" s="36">
        <f>Assumptions_Operations!$B$8</f>
        <v/>
      </c>
    </row>
    <row r="6">
      <c r="A6" t="inlineStr">
        <is>
          <t>Materials Total</t>
        </is>
      </c>
      <c r="B6" s="34">
        <f>B4*B5/1000</f>
        <v/>
      </c>
      <c r="C6" s="34">
        <f>C4*C5/1000</f>
        <v/>
      </c>
      <c r="D6" s="34">
        <f>D4*D5/1000</f>
        <v/>
      </c>
      <c r="E6" s="34">
        <f>E4*E5/1000</f>
        <v/>
      </c>
      <c r="F6" s="34">
        <f>F4*F5/1000</f>
        <v/>
      </c>
      <c r="G6" s="34">
        <f>G4*G5/1000</f>
        <v/>
      </c>
      <c r="H6" s="34">
        <f>H4*H5/1000</f>
        <v/>
      </c>
      <c r="I6" s="34">
        <f>I4*I5/1000</f>
        <v/>
      </c>
      <c r="J6" s="34">
        <f>J4*J5/1000</f>
        <v/>
      </c>
      <c r="K6" s="34">
        <f>K4*K5/1000</f>
        <v/>
      </c>
      <c r="L6" s="34">
        <f>L4*L5/1000</f>
        <v/>
      </c>
      <c r="M6" s="34">
        <f>M4*M5/1000</f>
        <v/>
      </c>
      <c r="N6" s="34">
        <f>N4*N5/1000</f>
        <v/>
      </c>
      <c r="O6" s="34">
        <f>O4*O5/1000</f>
        <v/>
      </c>
      <c r="P6" s="34">
        <f>P4*P5/1000</f>
        <v/>
      </c>
      <c r="Q6" s="34">
        <f>Q4*Q5/1000</f>
        <v/>
      </c>
      <c r="R6" s="34">
        <f>R4*R5/1000</f>
        <v/>
      </c>
      <c r="S6" s="34">
        <f>S4*S5/1000</f>
        <v/>
      </c>
      <c r="T6" s="34">
        <f>T4*T5/1000</f>
        <v/>
      </c>
      <c r="U6" s="34">
        <f>U4*U5/1000</f>
        <v/>
      </c>
      <c r="V6" s="34">
        <f>V4*V5/1000</f>
        <v/>
      </c>
      <c r="W6" s="34">
        <f>W4*W5/1000</f>
        <v/>
      </c>
      <c r="X6" s="34">
        <f>X4*X5/1000</f>
        <v/>
      </c>
      <c r="Y6" s="34">
        <f>Y4*Y5/1000</f>
        <v/>
      </c>
      <c r="Z6" s="34">
        <f>Z4*Z5/1000</f>
        <v/>
      </c>
      <c r="AA6" s="34">
        <f>AA4*AA5/1000</f>
        <v/>
      </c>
      <c r="AB6" s="34">
        <f>AB4*AB5/1000</f>
        <v/>
      </c>
      <c r="AC6" s="34">
        <f>AC4*AC5/1000</f>
        <v/>
      </c>
      <c r="AD6" s="34">
        <f>AD4*AD5/1000</f>
        <v/>
      </c>
      <c r="AE6" s="34">
        <f>AE4*AE5/1000</f>
        <v/>
      </c>
      <c r="AF6" s="34">
        <f>AF4*AF5/1000</f>
        <v/>
      </c>
      <c r="AG6" s="34">
        <f>AG4*AG5/1000</f>
        <v/>
      </c>
      <c r="AH6" s="34">
        <f>AH4*AH5/1000</f>
        <v/>
      </c>
      <c r="AI6" s="34">
        <f>AI4*AI5/1000</f>
        <v/>
      </c>
      <c r="AJ6" s="34">
        <f>AJ4*AJ5/1000</f>
        <v/>
      </c>
      <c r="AK6" s="34">
        <f>AK4*AK5/1000</f>
        <v/>
      </c>
      <c r="AL6" s="34">
        <f>AL4*AL5/1000</f>
        <v/>
      </c>
      <c r="AM6" s="34">
        <f>AM4*AM5/1000</f>
        <v/>
      </c>
      <c r="AN6" s="34">
        <f>AN4*AN5/1000</f>
        <v/>
      </c>
      <c r="AO6" s="34">
        <f>AO4*AO5/1000</f>
        <v/>
      </c>
      <c r="AP6" s="34">
        <f>AP4*AP5/1000</f>
        <v/>
      </c>
      <c r="AQ6" s="34">
        <f>AQ4*AQ5/1000</f>
        <v/>
      </c>
      <c r="AR6" s="34">
        <f>AR4*AR5/1000</f>
        <v/>
      </c>
      <c r="AS6" s="34">
        <f>AS4*AS5/1000</f>
        <v/>
      </c>
      <c r="AT6" s="34">
        <f>AT4*AT5/1000</f>
        <v/>
      </c>
      <c r="AU6" s="34">
        <f>AU4*AU5/1000</f>
        <v/>
      </c>
      <c r="AV6" s="34">
        <f>AV4*AV5/1000</f>
        <v/>
      </c>
      <c r="AW6" s="34">
        <f>AW4*AW5/1000</f>
        <v/>
      </c>
      <c r="AX6" s="34">
        <f>AX4*AX5/1000</f>
        <v/>
      </c>
      <c r="AY6" s="34">
        <f>AY4*AY5/1000</f>
        <v/>
      </c>
      <c r="AZ6" s="34">
        <f>AZ4*AZ5/1000</f>
        <v/>
      </c>
      <c r="BA6" s="34">
        <f>BA4*BA5/1000</f>
        <v/>
      </c>
      <c r="BB6" s="34">
        <f>BB4*BB5/1000</f>
        <v/>
      </c>
      <c r="BC6" s="34">
        <f>BC4*BC5/1000</f>
        <v/>
      </c>
      <c r="BD6" s="34">
        <f>BD4*BD5/1000</f>
        <v/>
      </c>
      <c r="BE6" s="34">
        <f>BE4*BE5/1000</f>
        <v/>
      </c>
      <c r="BF6" s="34">
        <f>BF4*BF5/1000</f>
        <v/>
      </c>
      <c r="BG6" s="34">
        <f>BG4*BG5/1000</f>
        <v/>
      </c>
      <c r="BH6" s="34">
        <f>BH4*BH5/1000</f>
        <v/>
      </c>
      <c r="BI6" s="34">
        <f>BI4*BI5/1000</f>
        <v/>
      </c>
      <c r="BJ6" s="34">
        <f>BJ4*BJ5/1000</f>
        <v/>
      </c>
      <c r="BK6" s="34">
        <f>BK4*BK5/1000</f>
        <v/>
      </c>
      <c r="BL6" s="34">
        <f>BL4*BL5/1000</f>
        <v/>
      </c>
      <c r="BM6" s="34">
        <f>BM4*BM5/1000</f>
        <v/>
      </c>
      <c r="BN6" s="34">
        <f>BN4*BN5/1000</f>
        <v/>
      </c>
      <c r="BO6" s="34">
        <f>BO4*BO5/1000</f>
        <v/>
      </c>
      <c r="BP6" s="34">
        <f>BP4*BP5/1000</f>
        <v/>
      </c>
      <c r="BQ6" s="34">
        <f>BQ4*BQ5/1000</f>
        <v/>
      </c>
      <c r="BR6" s="34">
        <f>BR4*BR5/1000</f>
        <v/>
      </c>
      <c r="BS6" s="34">
        <f>BS4*BS5/1000</f>
        <v/>
      </c>
      <c r="BT6" s="34">
        <f>BT4*BT5/1000</f>
        <v/>
      </c>
      <c r="BU6" s="34">
        <f>BU4*BU5/1000</f>
        <v/>
      </c>
      <c r="BV6" s="34">
        <f>BV4*BV5/1000</f>
        <v/>
      </c>
      <c r="BW6" s="34">
        <f>BW4*BW5/1000</f>
        <v/>
      </c>
      <c r="BX6" s="34">
        <f>BX4*BX5/1000</f>
        <v/>
      </c>
      <c r="BY6" s="34">
        <f>BY4*BY5/1000</f>
        <v/>
      </c>
      <c r="BZ6" s="34">
        <f>BZ4*BZ5/1000</f>
        <v/>
      </c>
      <c r="CA6" s="34">
        <f>CA4*CA5/1000</f>
        <v/>
      </c>
      <c r="CB6" s="34">
        <f>CB4*CB5/1000</f>
        <v/>
      </c>
      <c r="CC6" s="34">
        <f>CC4*CC5/1000</f>
        <v/>
      </c>
      <c r="CD6" s="34">
        <f>CD4*CD5/1000</f>
        <v/>
      </c>
      <c r="CE6" s="34">
        <f>CE4*CE5/1000</f>
        <v/>
      </c>
      <c r="CF6" s="34">
        <f>CF4*CF5/1000</f>
        <v/>
      </c>
      <c r="CG6" s="34">
        <f>CG4*CG5/1000</f>
        <v/>
      </c>
      <c r="CH6" s="34">
        <f>CH4*CH5/1000</f>
        <v/>
      </c>
      <c r="CI6" s="34">
        <f>CI4*CI5/1000</f>
        <v/>
      </c>
      <c r="CJ6" s="34">
        <f>CJ4*CJ5/1000</f>
        <v/>
      </c>
      <c r="CK6" s="34">
        <f>CK4*CK5/1000</f>
        <v/>
      </c>
      <c r="CL6" s="34">
        <f>CL4*CL5/1000</f>
        <v/>
      </c>
      <c r="CM6" s="34">
        <f>CM4*CM5/1000</f>
        <v/>
      </c>
      <c r="CN6" s="34">
        <f>CN4*CN5/1000</f>
        <v/>
      </c>
      <c r="CO6" s="34">
        <f>CO4*CO5/1000</f>
        <v/>
      </c>
      <c r="CP6" s="34">
        <f>CP4*CP5/1000</f>
        <v/>
      </c>
      <c r="CQ6" s="34">
        <f>CQ4*CQ5/1000</f>
        <v/>
      </c>
      <c r="CR6" s="34">
        <f>CR4*CR5/1000</f>
        <v/>
      </c>
      <c r="CS6" s="34">
        <f>CS4*CS5/1000</f>
        <v/>
      </c>
      <c r="CT6" s="34">
        <f>CT4*CT5/1000</f>
        <v/>
      </c>
      <c r="CU6" s="34">
        <f>CU4*CU5/1000</f>
        <v/>
      </c>
      <c r="CV6" s="34">
        <f>CV4*CV5/1000</f>
        <v/>
      </c>
      <c r="CW6" s="34">
        <f>CW4*CW5/1000</f>
        <v/>
      </c>
      <c r="CX6" s="34">
        <f>CX4*CX5/1000</f>
        <v/>
      </c>
      <c r="CY6" s="34">
        <f>CY4*CY5/1000</f>
        <v/>
      </c>
      <c r="CZ6" s="34">
        <f>CZ4*CZ5/1000</f>
        <v/>
      </c>
      <c r="DA6" s="34">
        <f>DA4*DA5/1000</f>
        <v/>
      </c>
      <c r="DB6" s="34">
        <f>DB4*DB5/1000</f>
        <v/>
      </c>
      <c r="DC6" s="34">
        <f>DC4*DC5/1000</f>
        <v/>
      </c>
      <c r="DD6" s="34">
        <f>DD4*DD5/1000</f>
        <v/>
      </c>
      <c r="DE6" s="34">
        <f>DE4*DE5/1000</f>
        <v/>
      </c>
      <c r="DF6" s="34">
        <f>DF4*DF5/1000</f>
        <v/>
      </c>
      <c r="DG6" s="34">
        <f>DG4*DG5/1000</f>
        <v/>
      </c>
      <c r="DH6" s="34">
        <f>DH4*DH5/1000</f>
        <v/>
      </c>
      <c r="DI6" s="34">
        <f>DI4*DI5/1000</f>
        <v/>
      </c>
      <c r="DJ6" s="34">
        <f>DJ4*DJ5/1000</f>
        <v/>
      </c>
      <c r="DK6" s="34">
        <f>DK4*DK5/1000</f>
        <v/>
      </c>
      <c r="DL6" s="34">
        <f>DL4*DL5/1000</f>
        <v/>
      </c>
      <c r="DM6" s="34">
        <f>DM4*DM5/1000</f>
        <v/>
      </c>
      <c r="DN6" s="34">
        <f>DN4*DN5/1000</f>
        <v/>
      </c>
      <c r="DO6" s="34">
        <f>DO4*DO5/1000</f>
        <v/>
      </c>
      <c r="DP6" s="34">
        <f>DP4*DP5/1000</f>
        <v/>
      </c>
      <c r="DQ6" s="34">
        <f>DQ4*DQ5/1000</f>
        <v/>
      </c>
    </row>
    <row r="7">
      <c r="A7" t="inlineStr">
        <is>
          <t>Packaging per HL</t>
        </is>
      </c>
      <c r="B7" s="36">
        <f>Assumptions_Operations!$B$9</f>
        <v/>
      </c>
      <c r="C7" s="36">
        <f>Assumptions_Operations!$B$9</f>
        <v/>
      </c>
      <c r="D7" s="36">
        <f>Assumptions_Operations!$B$9</f>
        <v/>
      </c>
      <c r="E7" s="36">
        <f>Assumptions_Operations!$B$9</f>
        <v/>
      </c>
      <c r="F7" s="36">
        <f>Assumptions_Operations!$B$9</f>
        <v/>
      </c>
      <c r="G7" s="36">
        <f>Assumptions_Operations!$B$9</f>
        <v/>
      </c>
      <c r="H7" s="36">
        <f>Assumptions_Operations!$B$9</f>
        <v/>
      </c>
      <c r="I7" s="36">
        <f>Assumptions_Operations!$B$9</f>
        <v/>
      </c>
      <c r="J7" s="36">
        <f>Assumptions_Operations!$B$9</f>
        <v/>
      </c>
      <c r="K7" s="36">
        <f>Assumptions_Operations!$B$9</f>
        <v/>
      </c>
      <c r="L7" s="36">
        <f>Assumptions_Operations!$B$9</f>
        <v/>
      </c>
      <c r="M7" s="36">
        <f>Assumptions_Operations!$B$9</f>
        <v/>
      </c>
      <c r="N7" s="36">
        <f>Assumptions_Operations!$B$9</f>
        <v/>
      </c>
      <c r="O7" s="36">
        <f>Assumptions_Operations!$B$9</f>
        <v/>
      </c>
      <c r="P7" s="36">
        <f>Assumptions_Operations!$B$9</f>
        <v/>
      </c>
      <c r="Q7" s="36">
        <f>Assumptions_Operations!$B$9</f>
        <v/>
      </c>
      <c r="R7" s="36">
        <f>Assumptions_Operations!$B$9</f>
        <v/>
      </c>
      <c r="S7" s="36">
        <f>Assumptions_Operations!$B$9</f>
        <v/>
      </c>
      <c r="T7" s="36">
        <f>Assumptions_Operations!$B$9</f>
        <v/>
      </c>
      <c r="U7" s="36">
        <f>Assumptions_Operations!$B$9</f>
        <v/>
      </c>
      <c r="V7" s="36">
        <f>Assumptions_Operations!$B$9</f>
        <v/>
      </c>
      <c r="W7" s="36">
        <f>Assumptions_Operations!$B$9</f>
        <v/>
      </c>
      <c r="X7" s="36">
        <f>Assumptions_Operations!$B$9</f>
        <v/>
      </c>
      <c r="Y7" s="36">
        <f>Assumptions_Operations!$B$9</f>
        <v/>
      </c>
      <c r="Z7" s="36">
        <f>Assumptions_Operations!$B$9</f>
        <v/>
      </c>
      <c r="AA7" s="36">
        <f>Assumptions_Operations!$B$9</f>
        <v/>
      </c>
      <c r="AB7" s="36">
        <f>Assumptions_Operations!$B$9</f>
        <v/>
      </c>
      <c r="AC7" s="36">
        <f>Assumptions_Operations!$B$9</f>
        <v/>
      </c>
      <c r="AD7" s="36">
        <f>Assumptions_Operations!$B$9</f>
        <v/>
      </c>
      <c r="AE7" s="36">
        <f>Assumptions_Operations!$B$9</f>
        <v/>
      </c>
      <c r="AF7" s="36">
        <f>Assumptions_Operations!$B$9</f>
        <v/>
      </c>
      <c r="AG7" s="36">
        <f>Assumptions_Operations!$B$9</f>
        <v/>
      </c>
      <c r="AH7" s="36">
        <f>Assumptions_Operations!$B$9</f>
        <v/>
      </c>
      <c r="AI7" s="36">
        <f>Assumptions_Operations!$B$9</f>
        <v/>
      </c>
      <c r="AJ7" s="36">
        <f>Assumptions_Operations!$B$9</f>
        <v/>
      </c>
      <c r="AK7" s="36">
        <f>Assumptions_Operations!$B$9</f>
        <v/>
      </c>
      <c r="AL7" s="36">
        <f>Assumptions_Operations!$B$9</f>
        <v/>
      </c>
      <c r="AM7" s="36">
        <f>Assumptions_Operations!$B$9</f>
        <v/>
      </c>
      <c r="AN7" s="36">
        <f>Assumptions_Operations!$B$9</f>
        <v/>
      </c>
      <c r="AO7" s="36">
        <f>Assumptions_Operations!$B$9</f>
        <v/>
      </c>
      <c r="AP7" s="36">
        <f>Assumptions_Operations!$B$9</f>
        <v/>
      </c>
      <c r="AQ7" s="36">
        <f>Assumptions_Operations!$B$9</f>
        <v/>
      </c>
      <c r="AR7" s="36">
        <f>Assumptions_Operations!$B$9</f>
        <v/>
      </c>
      <c r="AS7" s="36">
        <f>Assumptions_Operations!$B$9</f>
        <v/>
      </c>
      <c r="AT7" s="36">
        <f>Assumptions_Operations!$B$9</f>
        <v/>
      </c>
      <c r="AU7" s="36">
        <f>Assumptions_Operations!$B$9</f>
        <v/>
      </c>
      <c r="AV7" s="36">
        <f>Assumptions_Operations!$B$9</f>
        <v/>
      </c>
      <c r="AW7" s="36">
        <f>Assumptions_Operations!$B$9</f>
        <v/>
      </c>
      <c r="AX7" s="36">
        <f>Assumptions_Operations!$B$9</f>
        <v/>
      </c>
      <c r="AY7" s="36">
        <f>Assumptions_Operations!$B$9</f>
        <v/>
      </c>
      <c r="AZ7" s="36">
        <f>Assumptions_Operations!$B$9</f>
        <v/>
      </c>
      <c r="BA7" s="36">
        <f>Assumptions_Operations!$B$9</f>
        <v/>
      </c>
      <c r="BB7" s="36">
        <f>Assumptions_Operations!$B$9</f>
        <v/>
      </c>
      <c r="BC7" s="36">
        <f>Assumptions_Operations!$B$9</f>
        <v/>
      </c>
      <c r="BD7" s="36">
        <f>Assumptions_Operations!$B$9</f>
        <v/>
      </c>
      <c r="BE7" s="36">
        <f>Assumptions_Operations!$B$9</f>
        <v/>
      </c>
      <c r="BF7" s="36">
        <f>Assumptions_Operations!$B$9</f>
        <v/>
      </c>
      <c r="BG7" s="36">
        <f>Assumptions_Operations!$B$9</f>
        <v/>
      </c>
      <c r="BH7" s="36">
        <f>Assumptions_Operations!$B$9</f>
        <v/>
      </c>
      <c r="BI7" s="36">
        <f>Assumptions_Operations!$B$9</f>
        <v/>
      </c>
      <c r="BJ7" s="36">
        <f>Assumptions_Operations!$B$9</f>
        <v/>
      </c>
      <c r="BK7" s="36">
        <f>Assumptions_Operations!$B$9</f>
        <v/>
      </c>
      <c r="BL7" s="36">
        <f>Assumptions_Operations!$B$9</f>
        <v/>
      </c>
      <c r="BM7" s="36">
        <f>Assumptions_Operations!$B$9</f>
        <v/>
      </c>
      <c r="BN7" s="36">
        <f>Assumptions_Operations!$B$9</f>
        <v/>
      </c>
      <c r="BO7" s="36">
        <f>Assumptions_Operations!$B$9</f>
        <v/>
      </c>
      <c r="BP7" s="36">
        <f>Assumptions_Operations!$B$9</f>
        <v/>
      </c>
      <c r="BQ7" s="36">
        <f>Assumptions_Operations!$B$9</f>
        <v/>
      </c>
      <c r="BR7" s="36">
        <f>Assumptions_Operations!$B$9</f>
        <v/>
      </c>
      <c r="BS7" s="36">
        <f>Assumptions_Operations!$B$9</f>
        <v/>
      </c>
      <c r="BT7" s="36">
        <f>Assumptions_Operations!$B$9</f>
        <v/>
      </c>
      <c r="BU7" s="36">
        <f>Assumptions_Operations!$B$9</f>
        <v/>
      </c>
      <c r="BV7" s="36">
        <f>Assumptions_Operations!$B$9</f>
        <v/>
      </c>
      <c r="BW7" s="36">
        <f>Assumptions_Operations!$B$9</f>
        <v/>
      </c>
      <c r="BX7" s="36">
        <f>Assumptions_Operations!$B$9</f>
        <v/>
      </c>
      <c r="BY7" s="36">
        <f>Assumptions_Operations!$B$9</f>
        <v/>
      </c>
      <c r="BZ7" s="36">
        <f>Assumptions_Operations!$B$9</f>
        <v/>
      </c>
      <c r="CA7" s="36">
        <f>Assumptions_Operations!$B$9</f>
        <v/>
      </c>
      <c r="CB7" s="36">
        <f>Assumptions_Operations!$B$9</f>
        <v/>
      </c>
      <c r="CC7" s="36">
        <f>Assumptions_Operations!$B$9</f>
        <v/>
      </c>
      <c r="CD7" s="36">
        <f>Assumptions_Operations!$B$9</f>
        <v/>
      </c>
      <c r="CE7" s="36">
        <f>Assumptions_Operations!$B$9</f>
        <v/>
      </c>
      <c r="CF7" s="36">
        <f>Assumptions_Operations!$B$9</f>
        <v/>
      </c>
      <c r="CG7" s="36">
        <f>Assumptions_Operations!$B$9</f>
        <v/>
      </c>
      <c r="CH7" s="36">
        <f>Assumptions_Operations!$B$9</f>
        <v/>
      </c>
      <c r="CI7" s="36">
        <f>Assumptions_Operations!$B$9</f>
        <v/>
      </c>
      <c r="CJ7" s="36">
        <f>Assumptions_Operations!$B$9</f>
        <v/>
      </c>
      <c r="CK7" s="36">
        <f>Assumptions_Operations!$B$9</f>
        <v/>
      </c>
      <c r="CL7" s="36">
        <f>Assumptions_Operations!$B$9</f>
        <v/>
      </c>
      <c r="CM7" s="36">
        <f>Assumptions_Operations!$B$9</f>
        <v/>
      </c>
      <c r="CN7" s="36">
        <f>Assumptions_Operations!$B$9</f>
        <v/>
      </c>
      <c r="CO7" s="36">
        <f>Assumptions_Operations!$B$9</f>
        <v/>
      </c>
      <c r="CP7" s="36">
        <f>Assumptions_Operations!$B$9</f>
        <v/>
      </c>
      <c r="CQ7" s="36">
        <f>Assumptions_Operations!$B$9</f>
        <v/>
      </c>
      <c r="CR7" s="36">
        <f>Assumptions_Operations!$B$9</f>
        <v/>
      </c>
      <c r="CS7" s="36">
        <f>Assumptions_Operations!$B$9</f>
        <v/>
      </c>
      <c r="CT7" s="36">
        <f>Assumptions_Operations!$B$9</f>
        <v/>
      </c>
      <c r="CU7" s="36">
        <f>Assumptions_Operations!$B$9</f>
        <v/>
      </c>
      <c r="CV7" s="36">
        <f>Assumptions_Operations!$B$9</f>
        <v/>
      </c>
      <c r="CW7" s="36">
        <f>Assumptions_Operations!$B$9</f>
        <v/>
      </c>
      <c r="CX7" s="36">
        <f>Assumptions_Operations!$B$9</f>
        <v/>
      </c>
      <c r="CY7" s="36">
        <f>Assumptions_Operations!$B$9</f>
        <v/>
      </c>
      <c r="CZ7" s="36">
        <f>Assumptions_Operations!$B$9</f>
        <v/>
      </c>
      <c r="DA7" s="36">
        <f>Assumptions_Operations!$B$9</f>
        <v/>
      </c>
      <c r="DB7" s="36">
        <f>Assumptions_Operations!$B$9</f>
        <v/>
      </c>
      <c r="DC7" s="36">
        <f>Assumptions_Operations!$B$9</f>
        <v/>
      </c>
      <c r="DD7" s="36">
        <f>Assumptions_Operations!$B$9</f>
        <v/>
      </c>
      <c r="DE7" s="36">
        <f>Assumptions_Operations!$B$9</f>
        <v/>
      </c>
      <c r="DF7" s="36">
        <f>Assumptions_Operations!$B$9</f>
        <v/>
      </c>
      <c r="DG7" s="36">
        <f>Assumptions_Operations!$B$9</f>
        <v/>
      </c>
      <c r="DH7" s="36">
        <f>Assumptions_Operations!$B$9</f>
        <v/>
      </c>
      <c r="DI7" s="36">
        <f>Assumptions_Operations!$B$9</f>
        <v/>
      </c>
      <c r="DJ7" s="36">
        <f>Assumptions_Operations!$B$9</f>
        <v/>
      </c>
      <c r="DK7" s="36">
        <f>Assumptions_Operations!$B$9</f>
        <v/>
      </c>
      <c r="DL7" s="36">
        <f>Assumptions_Operations!$B$9</f>
        <v/>
      </c>
      <c r="DM7" s="36">
        <f>Assumptions_Operations!$B$9</f>
        <v/>
      </c>
      <c r="DN7" s="36">
        <f>Assumptions_Operations!$B$9</f>
        <v/>
      </c>
      <c r="DO7" s="36">
        <f>Assumptions_Operations!$B$9</f>
        <v/>
      </c>
      <c r="DP7" s="36">
        <f>Assumptions_Operations!$B$9</f>
        <v/>
      </c>
      <c r="DQ7" s="36">
        <f>Assumptions_Operations!$B$9</f>
        <v/>
      </c>
    </row>
    <row r="8">
      <c r="A8" t="inlineStr">
        <is>
          <t>Packaging Total</t>
        </is>
      </c>
      <c r="B8" s="34">
        <f>B4*B8/1000</f>
        <v/>
      </c>
      <c r="C8" s="34">
        <f>C4*C8/1000</f>
        <v/>
      </c>
      <c r="D8" s="34">
        <f>D4*D8/1000</f>
        <v/>
      </c>
      <c r="E8" s="34">
        <f>E4*E8/1000</f>
        <v/>
      </c>
      <c r="F8" s="34">
        <f>F4*F8/1000</f>
        <v/>
      </c>
      <c r="G8" s="34">
        <f>G4*G8/1000</f>
        <v/>
      </c>
      <c r="H8" s="34">
        <f>H4*H8/1000</f>
        <v/>
      </c>
      <c r="I8" s="34">
        <f>I4*I8/1000</f>
        <v/>
      </c>
      <c r="J8" s="34">
        <f>J4*J8/1000</f>
        <v/>
      </c>
      <c r="K8" s="34">
        <f>K4*K8/1000</f>
        <v/>
      </c>
      <c r="L8" s="34">
        <f>L4*L8/1000</f>
        <v/>
      </c>
      <c r="M8" s="34">
        <f>M4*M8/1000</f>
        <v/>
      </c>
      <c r="N8" s="34">
        <f>N4*N8/1000</f>
        <v/>
      </c>
      <c r="O8" s="34">
        <f>O4*O8/1000</f>
        <v/>
      </c>
      <c r="P8" s="34">
        <f>P4*P8/1000</f>
        <v/>
      </c>
      <c r="Q8" s="34">
        <f>Q4*Q8/1000</f>
        <v/>
      </c>
      <c r="R8" s="34">
        <f>R4*R8/1000</f>
        <v/>
      </c>
      <c r="S8" s="34">
        <f>S4*S8/1000</f>
        <v/>
      </c>
      <c r="T8" s="34">
        <f>T4*T8/1000</f>
        <v/>
      </c>
      <c r="U8" s="34">
        <f>U4*U8/1000</f>
        <v/>
      </c>
      <c r="V8" s="34">
        <f>V4*V8/1000</f>
        <v/>
      </c>
      <c r="W8" s="34">
        <f>W4*W8/1000</f>
        <v/>
      </c>
      <c r="X8" s="34">
        <f>X4*X8/1000</f>
        <v/>
      </c>
      <c r="Y8" s="34">
        <f>Y4*Y8/1000</f>
        <v/>
      </c>
      <c r="Z8" s="34">
        <f>Z4*Z8/1000</f>
        <v/>
      </c>
      <c r="AA8" s="34">
        <f>AA4*AA8/1000</f>
        <v/>
      </c>
      <c r="AB8" s="34">
        <f>AB4*AB8/1000</f>
        <v/>
      </c>
      <c r="AC8" s="34">
        <f>AC4*AC8/1000</f>
        <v/>
      </c>
      <c r="AD8" s="34">
        <f>AD4*AD8/1000</f>
        <v/>
      </c>
      <c r="AE8" s="34">
        <f>AE4*AE8/1000</f>
        <v/>
      </c>
      <c r="AF8" s="34">
        <f>AF4*AF8/1000</f>
        <v/>
      </c>
      <c r="AG8" s="34">
        <f>AG4*AG8/1000</f>
        <v/>
      </c>
      <c r="AH8" s="34">
        <f>AH4*AH8/1000</f>
        <v/>
      </c>
      <c r="AI8" s="34">
        <f>AI4*AI8/1000</f>
        <v/>
      </c>
      <c r="AJ8" s="34">
        <f>AJ4*AJ8/1000</f>
        <v/>
      </c>
      <c r="AK8" s="34">
        <f>AK4*AK8/1000</f>
        <v/>
      </c>
      <c r="AL8" s="34">
        <f>AL4*AL8/1000</f>
        <v/>
      </c>
      <c r="AM8" s="34">
        <f>AM4*AM8/1000</f>
        <v/>
      </c>
      <c r="AN8" s="34">
        <f>AN4*AN8/1000</f>
        <v/>
      </c>
      <c r="AO8" s="34">
        <f>AO4*AO8/1000</f>
        <v/>
      </c>
      <c r="AP8" s="34">
        <f>AP4*AP8/1000</f>
        <v/>
      </c>
      <c r="AQ8" s="34">
        <f>AQ4*AQ8/1000</f>
        <v/>
      </c>
      <c r="AR8" s="34">
        <f>AR4*AR8/1000</f>
        <v/>
      </c>
      <c r="AS8" s="34">
        <f>AS4*AS8/1000</f>
        <v/>
      </c>
      <c r="AT8" s="34">
        <f>AT4*AT8/1000</f>
        <v/>
      </c>
      <c r="AU8" s="34">
        <f>AU4*AU8/1000</f>
        <v/>
      </c>
      <c r="AV8" s="34">
        <f>AV4*AV8/1000</f>
        <v/>
      </c>
      <c r="AW8" s="34">
        <f>AW4*AW8/1000</f>
        <v/>
      </c>
      <c r="AX8" s="34">
        <f>AX4*AX8/1000</f>
        <v/>
      </c>
      <c r="AY8" s="34">
        <f>AY4*AY8/1000</f>
        <v/>
      </c>
      <c r="AZ8" s="34">
        <f>AZ4*AZ8/1000</f>
        <v/>
      </c>
      <c r="BA8" s="34">
        <f>BA4*BA8/1000</f>
        <v/>
      </c>
      <c r="BB8" s="34">
        <f>BB4*BB8/1000</f>
        <v/>
      </c>
      <c r="BC8" s="34">
        <f>BC4*BC8/1000</f>
        <v/>
      </c>
      <c r="BD8" s="34">
        <f>BD4*BD8/1000</f>
        <v/>
      </c>
      <c r="BE8" s="34">
        <f>BE4*BE8/1000</f>
        <v/>
      </c>
      <c r="BF8" s="34">
        <f>BF4*BF8/1000</f>
        <v/>
      </c>
      <c r="BG8" s="34">
        <f>BG4*BG8/1000</f>
        <v/>
      </c>
      <c r="BH8" s="34">
        <f>BH4*BH8/1000</f>
        <v/>
      </c>
      <c r="BI8" s="34">
        <f>BI4*BI8/1000</f>
        <v/>
      </c>
      <c r="BJ8" s="34">
        <f>BJ4*BJ8/1000</f>
        <v/>
      </c>
      <c r="BK8" s="34">
        <f>BK4*BK8/1000</f>
        <v/>
      </c>
      <c r="BL8" s="34">
        <f>BL4*BL8/1000</f>
        <v/>
      </c>
      <c r="BM8" s="34">
        <f>BM4*BM8/1000</f>
        <v/>
      </c>
      <c r="BN8" s="34">
        <f>BN4*BN8/1000</f>
        <v/>
      </c>
      <c r="BO8" s="34">
        <f>BO4*BO8/1000</f>
        <v/>
      </c>
      <c r="BP8" s="34">
        <f>BP4*BP8/1000</f>
        <v/>
      </c>
      <c r="BQ8" s="34">
        <f>BQ4*BQ8/1000</f>
        <v/>
      </c>
      <c r="BR8" s="34">
        <f>BR4*BR8/1000</f>
        <v/>
      </c>
      <c r="BS8" s="34">
        <f>BS4*BS8/1000</f>
        <v/>
      </c>
      <c r="BT8" s="34">
        <f>BT4*BT8/1000</f>
        <v/>
      </c>
      <c r="BU8" s="34">
        <f>BU4*BU8/1000</f>
        <v/>
      </c>
      <c r="BV8" s="34">
        <f>BV4*BV8/1000</f>
        <v/>
      </c>
      <c r="BW8" s="34">
        <f>BW4*BW8/1000</f>
        <v/>
      </c>
      <c r="BX8" s="34">
        <f>BX4*BX8/1000</f>
        <v/>
      </c>
      <c r="BY8" s="34">
        <f>BY4*BY8/1000</f>
        <v/>
      </c>
      <c r="BZ8" s="34">
        <f>BZ4*BZ8/1000</f>
        <v/>
      </c>
      <c r="CA8" s="34">
        <f>CA4*CA8/1000</f>
        <v/>
      </c>
      <c r="CB8" s="34">
        <f>CB4*CB8/1000</f>
        <v/>
      </c>
      <c r="CC8" s="34">
        <f>CC4*CC8/1000</f>
        <v/>
      </c>
      <c r="CD8" s="34">
        <f>CD4*CD8/1000</f>
        <v/>
      </c>
      <c r="CE8" s="34">
        <f>CE4*CE8/1000</f>
        <v/>
      </c>
      <c r="CF8" s="34">
        <f>CF4*CF8/1000</f>
        <v/>
      </c>
      <c r="CG8" s="34">
        <f>CG4*CG8/1000</f>
        <v/>
      </c>
      <c r="CH8" s="34">
        <f>CH4*CH8/1000</f>
        <v/>
      </c>
      <c r="CI8" s="34">
        <f>CI4*CI8/1000</f>
        <v/>
      </c>
      <c r="CJ8" s="34">
        <f>CJ4*CJ8/1000</f>
        <v/>
      </c>
      <c r="CK8" s="34">
        <f>CK4*CK8/1000</f>
        <v/>
      </c>
      <c r="CL8" s="34">
        <f>CL4*CL8/1000</f>
        <v/>
      </c>
      <c r="CM8" s="34">
        <f>CM4*CM8/1000</f>
        <v/>
      </c>
      <c r="CN8" s="34">
        <f>CN4*CN8/1000</f>
        <v/>
      </c>
      <c r="CO8" s="34">
        <f>CO4*CO8/1000</f>
        <v/>
      </c>
      <c r="CP8" s="34">
        <f>CP4*CP8/1000</f>
        <v/>
      </c>
      <c r="CQ8" s="34">
        <f>CQ4*CQ8/1000</f>
        <v/>
      </c>
      <c r="CR8" s="34">
        <f>CR4*CR8/1000</f>
        <v/>
      </c>
      <c r="CS8" s="34">
        <f>CS4*CS8/1000</f>
        <v/>
      </c>
      <c r="CT8" s="34">
        <f>CT4*CT8/1000</f>
        <v/>
      </c>
      <c r="CU8" s="34">
        <f>CU4*CU8/1000</f>
        <v/>
      </c>
      <c r="CV8" s="34">
        <f>CV4*CV8/1000</f>
        <v/>
      </c>
      <c r="CW8" s="34">
        <f>CW4*CW8/1000</f>
        <v/>
      </c>
      <c r="CX8" s="34">
        <f>CX4*CX8/1000</f>
        <v/>
      </c>
      <c r="CY8" s="34">
        <f>CY4*CY8/1000</f>
        <v/>
      </c>
      <c r="CZ8" s="34">
        <f>CZ4*CZ8/1000</f>
        <v/>
      </c>
      <c r="DA8" s="34">
        <f>DA4*DA8/1000</f>
        <v/>
      </c>
      <c r="DB8" s="34">
        <f>DB4*DB8/1000</f>
        <v/>
      </c>
      <c r="DC8" s="34">
        <f>DC4*DC8/1000</f>
        <v/>
      </c>
      <c r="DD8" s="34">
        <f>DD4*DD8/1000</f>
        <v/>
      </c>
      <c r="DE8" s="34">
        <f>DE4*DE8/1000</f>
        <v/>
      </c>
      <c r="DF8" s="34">
        <f>DF4*DF8/1000</f>
        <v/>
      </c>
      <c r="DG8" s="34">
        <f>DG4*DG8/1000</f>
        <v/>
      </c>
      <c r="DH8" s="34">
        <f>DH4*DH8/1000</f>
        <v/>
      </c>
      <c r="DI8" s="34">
        <f>DI4*DI8/1000</f>
        <v/>
      </c>
      <c r="DJ8" s="34">
        <f>DJ4*DJ8/1000</f>
        <v/>
      </c>
      <c r="DK8" s="34">
        <f>DK4*DK8/1000</f>
        <v/>
      </c>
      <c r="DL8" s="34">
        <f>DL4*DL8/1000</f>
        <v/>
      </c>
      <c r="DM8" s="34">
        <f>DM4*DM8/1000</f>
        <v/>
      </c>
      <c r="DN8" s="34">
        <f>DN4*DN8/1000</f>
        <v/>
      </c>
      <c r="DO8" s="34">
        <f>DO4*DO8/1000</f>
        <v/>
      </c>
      <c r="DP8" s="34">
        <f>DP4*DP8/1000</f>
        <v/>
      </c>
      <c r="DQ8" s="34">
        <f>DQ4*DQ8/1000</f>
        <v/>
      </c>
    </row>
    <row r="9">
      <c r="A9" t="inlineStr">
        <is>
          <t>Labour per HL</t>
        </is>
      </c>
      <c r="B9" s="36">
        <f>Assumptions_Operations!$B$10</f>
        <v/>
      </c>
      <c r="C9" s="36">
        <f>Assumptions_Operations!$B$10</f>
        <v/>
      </c>
      <c r="D9" s="36">
        <f>Assumptions_Operations!$B$10</f>
        <v/>
      </c>
      <c r="E9" s="36">
        <f>Assumptions_Operations!$B$10</f>
        <v/>
      </c>
      <c r="F9" s="36">
        <f>Assumptions_Operations!$B$10</f>
        <v/>
      </c>
      <c r="G9" s="36">
        <f>Assumptions_Operations!$B$10</f>
        <v/>
      </c>
      <c r="H9" s="36">
        <f>Assumptions_Operations!$B$10</f>
        <v/>
      </c>
      <c r="I9" s="36">
        <f>Assumptions_Operations!$B$10</f>
        <v/>
      </c>
      <c r="J9" s="36">
        <f>Assumptions_Operations!$B$10</f>
        <v/>
      </c>
      <c r="K9" s="36">
        <f>Assumptions_Operations!$B$10</f>
        <v/>
      </c>
      <c r="L9" s="36">
        <f>Assumptions_Operations!$B$10</f>
        <v/>
      </c>
      <c r="M9" s="36">
        <f>Assumptions_Operations!$B$10</f>
        <v/>
      </c>
      <c r="N9" s="36">
        <f>Assumptions_Operations!$B$10</f>
        <v/>
      </c>
      <c r="O9" s="36">
        <f>Assumptions_Operations!$B$10</f>
        <v/>
      </c>
      <c r="P9" s="36">
        <f>Assumptions_Operations!$B$10</f>
        <v/>
      </c>
      <c r="Q9" s="36">
        <f>Assumptions_Operations!$B$10</f>
        <v/>
      </c>
      <c r="R9" s="36">
        <f>Assumptions_Operations!$B$10</f>
        <v/>
      </c>
      <c r="S9" s="36">
        <f>Assumptions_Operations!$B$10</f>
        <v/>
      </c>
      <c r="T9" s="36">
        <f>Assumptions_Operations!$B$10</f>
        <v/>
      </c>
      <c r="U9" s="36">
        <f>Assumptions_Operations!$B$10</f>
        <v/>
      </c>
      <c r="V9" s="36">
        <f>Assumptions_Operations!$B$10</f>
        <v/>
      </c>
      <c r="W9" s="36">
        <f>Assumptions_Operations!$B$10</f>
        <v/>
      </c>
      <c r="X9" s="36">
        <f>Assumptions_Operations!$B$10</f>
        <v/>
      </c>
      <c r="Y9" s="36">
        <f>Assumptions_Operations!$B$10</f>
        <v/>
      </c>
      <c r="Z9" s="36">
        <f>Assumptions_Operations!$B$10</f>
        <v/>
      </c>
      <c r="AA9" s="36">
        <f>Assumptions_Operations!$B$10</f>
        <v/>
      </c>
      <c r="AB9" s="36">
        <f>Assumptions_Operations!$B$10</f>
        <v/>
      </c>
      <c r="AC9" s="36">
        <f>Assumptions_Operations!$B$10</f>
        <v/>
      </c>
      <c r="AD9" s="36">
        <f>Assumptions_Operations!$B$10</f>
        <v/>
      </c>
      <c r="AE9" s="36">
        <f>Assumptions_Operations!$B$10</f>
        <v/>
      </c>
      <c r="AF9" s="36">
        <f>Assumptions_Operations!$B$10</f>
        <v/>
      </c>
      <c r="AG9" s="36">
        <f>Assumptions_Operations!$B$10</f>
        <v/>
      </c>
      <c r="AH9" s="36">
        <f>Assumptions_Operations!$B$10</f>
        <v/>
      </c>
      <c r="AI9" s="36">
        <f>Assumptions_Operations!$B$10</f>
        <v/>
      </c>
      <c r="AJ9" s="36">
        <f>Assumptions_Operations!$B$10</f>
        <v/>
      </c>
      <c r="AK9" s="36">
        <f>Assumptions_Operations!$B$10</f>
        <v/>
      </c>
      <c r="AL9" s="36">
        <f>Assumptions_Operations!$B$10</f>
        <v/>
      </c>
      <c r="AM9" s="36">
        <f>Assumptions_Operations!$B$10</f>
        <v/>
      </c>
      <c r="AN9" s="36">
        <f>Assumptions_Operations!$B$10</f>
        <v/>
      </c>
      <c r="AO9" s="36">
        <f>Assumptions_Operations!$B$10</f>
        <v/>
      </c>
      <c r="AP9" s="36">
        <f>Assumptions_Operations!$B$10</f>
        <v/>
      </c>
      <c r="AQ9" s="36">
        <f>Assumptions_Operations!$B$10</f>
        <v/>
      </c>
      <c r="AR9" s="36">
        <f>Assumptions_Operations!$B$10</f>
        <v/>
      </c>
      <c r="AS9" s="36">
        <f>Assumptions_Operations!$B$10</f>
        <v/>
      </c>
      <c r="AT9" s="36">
        <f>Assumptions_Operations!$B$10</f>
        <v/>
      </c>
      <c r="AU9" s="36">
        <f>Assumptions_Operations!$B$10</f>
        <v/>
      </c>
      <c r="AV9" s="36">
        <f>Assumptions_Operations!$B$10</f>
        <v/>
      </c>
      <c r="AW9" s="36">
        <f>Assumptions_Operations!$B$10</f>
        <v/>
      </c>
      <c r="AX9" s="36">
        <f>Assumptions_Operations!$B$10</f>
        <v/>
      </c>
      <c r="AY9" s="36">
        <f>Assumptions_Operations!$B$10</f>
        <v/>
      </c>
      <c r="AZ9" s="36">
        <f>Assumptions_Operations!$B$10</f>
        <v/>
      </c>
      <c r="BA9" s="36">
        <f>Assumptions_Operations!$B$10</f>
        <v/>
      </c>
      <c r="BB9" s="36">
        <f>Assumptions_Operations!$B$10</f>
        <v/>
      </c>
      <c r="BC9" s="36">
        <f>Assumptions_Operations!$B$10</f>
        <v/>
      </c>
      <c r="BD9" s="36">
        <f>Assumptions_Operations!$B$10</f>
        <v/>
      </c>
      <c r="BE9" s="36">
        <f>Assumptions_Operations!$B$10</f>
        <v/>
      </c>
      <c r="BF9" s="36">
        <f>Assumptions_Operations!$B$10</f>
        <v/>
      </c>
      <c r="BG9" s="36">
        <f>Assumptions_Operations!$B$10</f>
        <v/>
      </c>
      <c r="BH9" s="36">
        <f>Assumptions_Operations!$B$10</f>
        <v/>
      </c>
      <c r="BI9" s="36">
        <f>Assumptions_Operations!$B$10</f>
        <v/>
      </c>
      <c r="BJ9" s="36">
        <f>Assumptions_Operations!$B$10</f>
        <v/>
      </c>
      <c r="BK9" s="36">
        <f>Assumptions_Operations!$B$10</f>
        <v/>
      </c>
      <c r="BL9" s="36">
        <f>Assumptions_Operations!$B$10</f>
        <v/>
      </c>
      <c r="BM9" s="36">
        <f>Assumptions_Operations!$B$10</f>
        <v/>
      </c>
      <c r="BN9" s="36">
        <f>Assumptions_Operations!$B$10</f>
        <v/>
      </c>
      <c r="BO9" s="36">
        <f>Assumptions_Operations!$B$10</f>
        <v/>
      </c>
      <c r="BP9" s="36">
        <f>Assumptions_Operations!$B$10</f>
        <v/>
      </c>
      <c r="BQ9" s="36">
        <f>Assumptions_Operations!$B$10</f>
        <v/>
      </c>
      <c r="BR9" s="36">
        <f>Assumptions_Operations!$B$10</f>
        <v/>
      </c>
      <c r="BS9" s="36">
        <f>Assumptions_Operations!$B$10</f>
        <v/>
      </c>
      <c r="BT9" s="36">
        <f>Assumptions_Operations!$B$10</f>
        <v/>
      </c>
      <c r="BU9" s="36">
        <f>Assumptions_Operations!$B$10</f>
        <v/>
      </c>
      <c r="BV9" s="36">
        <f>Assumptions_Operations!$B$10</f>
        <v/>
      </c>
      <c r="BW9" s="36">
        <f>Assumptions_Operations!$B$10</f>
        <v/>
      </c>
      <c r="BX9" s="36">
        <f>Assumptions_Operations!$B$10</f>
        <v/>
      </c>
      <c r="BY9" s="36">
        <f>Assumptions_Operations!$B$10</f>
        <v/>
      </c>
      <c r="BZ9" s="36">
        <f>Assumptions_Operations!$B$10</f>
        <v/>
      </c>
      <c r="CA9" s="36">
        <f>Assumptions_Operations!$B$10</f>
        <v/>
      </c>
      <c r="CB9" s="36">
        <f>Assumptions_Operations!$B$10</f>
        <v/>
      </c>
      <c r="CC9" s="36">
        <f>Assumptions_Operations!$B$10</f>
        <v/>
      </c>
      <c r="CD9" s="36">
        <f>Assumptions_Operations!$B$10</f>
        <v/>
      </c>
      <c r="CE9" s="36">
        <f>Assumptions_Operations!$B$10</f>
        <v/>
      </c>
      <c r="CF9" s="36">
        <f>Assumptions_Operations!$B$10</f>
        <v/>
      </c>
      <c r="CG9" s="36">
        <f>Assumptions_Operations!$B$10</f>
        <v/>
      </c>
      <c r="CH9" s="36">
        <f>Assumptions_Operations!$B$10</f>
        <v/>
      </c>
      <c r="CI9" s="36">
        <f>Assumptions_Operations!$B$10</f>
        <v/>
      </c>
      <c r="CJ9" s="36">
        <f>Assumptions_Operations!$B$10</f>
        <v/>
      </c>
      <c r="CK9" s="36">
        <f>Assumptions_Operations!$B$10</f>
        <v/>
      </c>
      <c r="CL9" s="36">
        <f>Assumptions_Operations!$B$10</f>
        <v/>
      </c>
      <c r="CM9" s="36">
        <f>Assumptions_Operations!$B$10</f>
        <v/>
      </c>
      <c r="CN9" s="36">
        <f>Assumptions_Operations!$B$10</f>
        <v/>
      </c>
      <c r="CO9" s="36">
        <f>Assumptions_Operations!$B$10</f>
        <v/>
      </c>
      <c r="CP9" s="36">
        <f>Assumptions_Operations!$B$10</f>
        <v/>
      </c>
      <c r="CQ9" s="36">
        <f>Assumptions_Operations!$B$10</f>
        <v/>
      </c>
      <c r="CR9" s="36">
        <f>Assumptions_Operations!$B$10</f>
        <v/>
      </c>
      <c r="CS9" s="36">
        <f>Assumptions_Operations!$B$10</f>
        <v/>
      </c>
      <c r="CT9" s="36">
        <f>Assumptions_Operations!$B$10</f>
        <v/>
      </c>
      <c r="CU9" s="36">
        <f>Assumptions_Operations!$B$10</f>
        <v/>
      </c>
      <c r="CV9" s="36">
        <f>Assumptions_Operations!$B$10</f>
        <v/>
      </c>
      <c r="CW9" s="36">
        <f>Assumptions_Operations!$B$10</f>
        <v/>
      </c>
      <c r="CX9" s="36">
        <f>Assumptions_Operations!$B$10</f>
        <v/>
      </c>
      <c r="CY9" s="36">
        <f>Assumptions_Operations!$B$10</f>
        <v/>
      </c>
      <c r="CZ9" s="36">
        <f>Assumptions_Operations!$B$10</f>
        <v/>
      </c>
      <c r="DA9" s="36">
        <f>Assumptions_Operations!$B$10</f>
        <v/>
      </c>
      <c r="DB9" s="36">
        <f>Assumptions_Operations!$B$10</f>
        <v/>
      </c>
      <c r="DC9" s="36">
        <f>Assumptions_Operations!$B$10</f>
        <v/>
      </c>
      <c r="DD9" s="36">
        <f>Assumptions_Operations!$B$10</f>
        <v/>
      </c>
      <c r="DE9" s="36">
        <f>Assumptions_Operations!$B$10</f>
        <v/>
      </c>
      <c r="DF9" s="36">
        <f>Assumptions_Operations!$B$10</f>
        <v/>
      </c>
      <c r="DG9" s="36">
        <f>Assumptions_Operations!$B$10</f>
        <v/>
      </c>
      <c r="DH9" s="36">
        <f>Assumptions_Operations!$B$10</f>
        <v/>
      </c>
      <c r="DI9" s="36">
        <f>Assumptions_Operations!$B$10</f>
        <v/>
      </c>
      <c r="DJ9" s="36">
        <f>Assumptions_Operations!$B$10</f>
        <v/>
      </c>
      <c r="DK9" s="36">
        <f>Assumptions_Operations!$B$10</f>
        <v/>
      </c>
      <c r="DL9" s="36">
        <f>Assumptions_Operations!$B$10</f>
        <v/>
      </c>
      <c r="DM9" s="36">
        <f>Assumptions_Operations!$B$10</f>
        <v/>
      </c>
      <c r="DN9" s="36">
        <f>Assumptions_Operations!$B$10</f>
        <v/>
      </c>
      <c r="DO9" s="36">
        <f>Assumptions_Operations!$B$10</f>
        <v/>
      </c>
      <c r="DP9" s="36">
        <f>Assumptions_Operations!$B$10</f>
        <v/>
      </c>
      <c r="DQ9" s="36">
        <f>Assumptions_Operations!$B$10</f>
        <v/>
      </c>
    </row>
    <row r="10">
      <c r="A10" t="inlineStr">
        <is>
          <t>Labour Total</t>
        </is>
      </c>
      <c r="B10" s="34">
        <f>B4*B11/1000</f>
        <v/>
      </c>
      <c r="C10" s="34">
        <f>C4*C11/1000</f>
        <v/>
      </c>
      <c r="D10" s="34">
        <f>D4*D11/1000</f>
        <v/>
      </c>
      <c r="E10" s="34">
        <f>E4*E11/1000</f>
        <v/>
      </c>
      <c r="F10" s="34">
        <f>F4*F11/1000</f>
        <v/>
      </c>
      <c r="G10" s="34">
        <f>G4*G11/1000</f>
        <v/>
      </c>
      <c r="H10" s="34">
        <f>H4*H11/1000</f>
        <v/>
      </c>
      <c r="I10" s="34">
        <f>I4*I11/1000</f>
        <v/>
      </c>
      <c r="J10" s="34">
        <f>J4*J11/1000</f>
        <v/>
      </c>
      <c r="K10" s="34">
        <f>K4*K11/1000</f>
        <v/>
      </c>
      <c r="L10" s="34">
        <f>L4*L11/1000</f>
        <v/>
      </c>
      <c r="M10" s="34">
        <f>M4*M11/1000</f>
        <v/>
      </c>
      <c r="N10" s="34">
        <f>N4*N11/1000</f>
        <v/>
      </c>
      <c r="O10" s="34">
        <f>O4*O11/1000</f>
        <v/>
      </c>
      <c r="P10" s="34">
        <f>P4*P11/1000</f>
        <v/>
      </c>
      <c r="Q10" s="34">
        <f>Q4*Q11/1000</f>
        <v/>
      </c>
      <c r="R10" s="34">
        <f>R4*R11/1000</f>
        <v/>
      </c>
      <c r="S10" s="34">
        <f>S4*S11/1000</f>
        <v/>
      </c>
      <c r="T10" s="34">
        <f>T4*T11/1000</f>
        <v/>
      </c>
      <c r="U10" s="34">
        <f>U4*U11/1000</f>
        <v/>
      </c>
      <c r="V10" s="34">
        <f>V4*V11/1000</f>
        <v/>
      </c>
      <c r="W10" s="34">
        <f>W4*W11/1000</f>
        <v/>
      </c>
      <c r="X10" s="34">
        <f>X4*X11/1000</f>
        <v/>
      </c>
      <c r="Y10" s="34">
        <f>Y4*Y11/1000</f>
        <v/>
      </c>
      <c r="Z10" s="34">
        <f>Z4*Z11/1000</f>
        <v/>
      </c>
      <c r="AA10" s="34">
        <f>AA4*AA11/1000</f>
        <v/>
      </c>
      <c r="AB10" s="34">
        <f>AB4*AB11/1000</f>
        <v/>
      </c>
      <c r="AC10" s="34">
        <f>AC4*AC11/1000</f>
        <v/>
      </c>
      <c r="AD10" s="34">
        <f>AD4*AD11/1000</f>
        <v/>
      </c>
      <c r="AE10" s="34">
        <f>AE4*AE11/1000</f>
        <v/>
      </c>
      <c r="AF10" s="34">
        <f>AF4*AF11/1000</f>
        <v/>
      </c>
      <c r="AG10" s="34">
        <f>AG4*AG11/1000</f>
        <v/>
      </c>
      <c r="AH10" s="34">
        <f>AH4*AH11/1000</f>
        <v/>
      </c>
      <c r="AI10" s="34">
        <f>AI4*AI11/1000</f>
        <v/>
      </c>
      <c r="AJ10" s="34">
        <f>AJ4*AJ11/1000</f>
        <v/>
      </c>
      <c r="AK10" s="34">
        <f>AK4*AK11/1000</f>
        <v/>
      </c>
      <c r="AL10" s="34">
        <f>AL4*AL11/1000</f>
        <v/>
      </c>
      <c r="AM10" s="34">
        <f>AM4*AM11/1000</f>
        <v/>
      </c>
      <c r="AN10" s="34">
        <f>AN4*AN11/1000</f>
        <v/>
      </c>
      <c r="AO10" s="34">
        <f>AO4*AO11/1000</f>
        <v/>
      </c>
      <c r="AP10" s="34">
        <f>AP4*AP11/1000</f>
        <v/>
      </c>
      <c r="AQ10" s="34">
        <f>AQ4*AQ11/1000</f>
        <v/>
      </c>
      <c r="AR10" s="34">
        <f>AR4*AR11/1000</f>
        <v/>
      </c>
      <c r="AS10" s="34">
        <f>AS4*AS11/1000</f>
        <v/>
      </c>
      <c r="AT10" s="34">
        <f>AT4*AT11/1000</f>
        <v/>
      </c>
      <c r="AU10" s="34">
        <f>AU4*AU11/1000</f>
        <v/>
      </c>
      <c r="AV10" s="34">
        <f>AV4*AV11/1000</f>
        <v/>
      </c>
      <c r="AW10" s="34">
        <f>AW4*AW11/1000</f>
        <v/>
      </c>
      <c r="AX10" s="34">
        <f>AX4*AX11/1000</f>
        <v/>
      </c>
      <c r="AY10" s="34">
        <f>AY4*AY11/1000</f>
        <v/>
      </c>
      <c r="AZ10" s="34">
        <f>AZ4*AZ11/1000</f>
        <v/>
      </c>
      <c r="BA10" s="34">
        <f>BA4*BA11/1000</f>
        <v/>
      </c>
      <c r="BB10" s="34">
        <f>BB4*BB11/1000</f>
        <v/>
      </c>
      <c r="BC10" s="34">
        <f>BC4*BC11/1000</f>
        <v/>
      </c>
      <c r="BD10" s="34">
        <f>BD4*BD11/1000</f>
        <v/>
      </c>
      <c r="BE10" s="34">
        <f>BE4*BE11/1000</f>
        <v/>
      </c>
      <c r="BF10" s="34">
        <f>BF4*BF11/1000</f>
        <v/>
      </c>
      <c r="BG10" s="34">
        <f>BG4*BG11/1000</f>
        <v/>
      </c>
      <c r="BH10" s="34">
        <f>BH4*BH11/1000</f>
        <v/>
      </c>
      <c r="BI10" s="34">
        <f>BI4*BI11/1000</f>
        <v/>
      </c>
      <c r="BJ10" s="34">
        <f>BJ4*BJ11/1000</f>
        <v/>
      </c>
      <c r="BK10" s="34">
        <f>BK4*BK11/1000</f>
        <v/>
      </c>
      <c r="BL10" s="34">
        <f>BL4*BL11/1000</f>
        <v/>
      </c>
      <c r="BM10" s="34">
        <f>BM4*BM11/1000</f>
        <v/>
      </c>
      <c r="BN10" s="34">
        <f>BN4*BN11/1000</f>
        <v/>
      </c>
      <c r="BO10" s="34">
        <f>BO4*BO11/1000</f>
        <v/>
      </c>
      <c r="BP10" s="34">
        <f>BP4*BP11/1000</f>
        <v/>
      </c>
      <c r="BQ10" s="34">
        <f>BQ4*BQ11/1000</f>
        <v/>
      </c>
      <c r="BR10" s="34">
        <f>BR4*BR11/1000</f>
        <v/>
      </c>
      <c r="BS10" s="34">
        <f>BS4*BS11/1000</f>
        <v/>
      </c>
      <c r="BT10" s="34">
        <f>BT4*BT11/1000</f>
        <v/>
      </c>
      <c r="BU10" s="34">
        <f>BU4*BU11/1000</f>
        <v/>
      </c>
      <c r="BV10" s="34">
        <f>BV4*BV11/1000</f>
        <v/>
      </c>
      <c r="BW10" s="34">
        <f>BW4*BW11/1000</f>
        <v/>
      </c>
      <c r="BX10" s="34">
        <f>BX4*BX11/1000</f>
        <v/>
      </c>
      <c r="BY10" s="34">
        <f>BY4*BY11/1000</f>
        <v/>
      </c>
      <c r="BZ10" s="34">
        <f>BZ4*BZ11/1000</f>
        <v/>
      </c>
      <c r="CA10" s="34">
        <f>CA4*CA11/1000</f>
        <v/>
      </c>
      <c r="CB10" s="34">
        <f>CB4*CB11/1000</f>
        <v/>
      </c>
      <c r="CC10" s="34">
        <f>CC4*CC11/1000</f>
        <v/>
      </c>
      <c r="CD10" s="34">
        <f>CD4*CD11/1000</f>
        <v/>
      </c>
      <c r="CE10" s="34">
        <f>CE4*CE11/1000</f>
        <v/>
      </c>
      <c r="CF10" s="34">
        <f>CF4*CF11/1000</f>
        <v/>
      </c>
      <c r="CG10" s="34">
        <f>CG4*CG11/1000</f>
        <v/>
      </c>
      <c r="CH10" s="34">
        <f>CH4*CH11/1000</f>
        <v/>
      </c>
      <c r="CI10" s="34">
        <f>CI4*CI11/1000</f>
        <v/>
      </c>
      <c r="CJ10" s="34">
        <f>CJ4*CJ11/1000</f>
        <v/>
      </c>
      <c r="CK10" s="34">
        <f>CK4*CK11/1000</f>
        <v/>
      </c>
      <c r="CL10" s="34">
        <f>CL4*CL11/1000</f>
        <v/>
      </c>
      <c r="CM10" s="34">
        <f>CM4*CM11/1000</f>
        <v/>
      </c>
      <c r="CN10" s="34">
        <f>CN4*CN11/1000</f>
        <v/>
      </c>
      <c r="CO10" s="34">
        <f>CO4*CO11/1000</f>
        <v/>
      </c>
      <c r="CP10" s="34">
        <f>CP4*CP11/1000</f>
        <v/>
      </c>
      <c r="CQ10" s="34">
        <f>CQ4*CQ11/1000</f>
        <v/>
      </c>
      <c r="CR10" s="34">
        <f>CR4*CR11/1000</f>
        <v/>
      </c>
      <c r="CS10" s="34">
        <f>CS4*CS11/1000</f>
        <v/>
      </c>
      <c r="CT10" s="34">
        <f>CT4*CT11/1000</f>
        <v/>
      </c>
      <c r="CU10" s="34">
        <f>CU4*CU11/1000</f>
        <v/>
      </c>
      <c r="CV10" s="34">
        <f>CV4*CV11/1000</f>
        <v/>
      </c>
      <c r="CW10" s="34">
        <f>CW4*CW11/1000</f>
        <v/>
      </c>
      <c r="CX10" s="34">
        <f>CX4*CX11/1000</f>
        <v/>
      </c>
      <c r="CY10" s="34">
        <f>CY4*CY11/1000</f>
        <v/>
      </c>
      <c r="CZ10" s="34">
        <f>CZ4*CZ11/1000</f>
        <v/>
      </c>
      <c r="DA10" s="34">
        <f>DA4*DA11/1000</f>
        <v/>
      </c>
      <c r="DB10" s="34">
        <f>DB4*DB11/1000</f>
        <v/>
      </c>
      <c r="DC10" s="34">
        <f>DC4*DC11/1000</f>
        <v/>
      </c>
      <c r="DD10" s="34">
        <f>DD4*DD11/1000</f>
        <v/>
      </c>
      <c r="DE10" s="34">
        <f>DE4*DE11/1000</f>
        <v/>
      </c>
      <c r="DF10" s="34">
        <f>DF4*DF11/1000</f>
        <v/>
      </c>
      <c r="DG10" s="34">
        <f>DG4*DG11/1000</f>
        <v/>
      </c>
      <c r="DH10" s="34">
        <f>DH4*DH11/1000</f>
        <v/>
      </c>
      <c r="DI10" s="34">
        <f>DI4*DI11/1000</f>
        <v/>
      </c>
      <c r="DJ10" s="34">
        <f>DJ4*DJ11/1000</f>
        <v/>
      </c>
      <c r="DK10" s="34">
        <f>DK4*DK11/1000</f>
        <v/>
      </c>
      <c r="DL10" s="34">
        <f>DL4*DL11/1000</f>
        <v/>
      </c>
      <c r="DM10" s="34">
        <f>DM4*DM11/1000</f>
        <v/>
      </c>
      <c r="DN10" s="34">
        <f>DN4*DN11/1000</f>
        <v/>
      </c>
      <c r="DO10" s="34">
        <f>DO4*DO11/1000</f>
        <v/>
      </c>
      <c r="DP10" s="34">
        <f>DP4*DP11/1000</f>
        <v/>
      </c>
      <c r="DQ10" s="34">
        <f>DQ4*DQ11/1000</f>
        <v/>
      </c>
    </row>
    <row r="11">
      <c r="A11" t="inlineStr">
        <is>
          <t>Utilities per HL</t>
        </is>
      </c>
      <c r="B11" s="36">
        <f>Assumptions_Operations!$B$11</f>
        <v/>
      </c>
      <c r="C11" s="36">
        <f>Assumptions_Operations!$B$11</f>
        <v/>
      </c>
      <c r="D11" s="36">
        <f>Assumptions_Operations!$B$11</f>
        <v/>
      </c>
      <c r="E11" s="36">
        <f>Assumptions_Operations!$B$11</f>
        <v/>
      </c>
      <c r="F11" s="36">
        <f>Assumptions_Operations!$B$11</f>
        <v/>
      </c>
      <c r="G11" s="36">
        <f>Assumptions_Operations!$B$11</f>
        <v/>
      </c>
      <c r="H11" s="36">
        <f>Assumptions_Operations!$B$11</f>
        <v/>
      </c>
      <c r="I11" s="36">
        <f>Assumptions_Operations!$B$11</f>
        <v/>
      </c>
      <c r="J11" s="36">
        <f>Assumptions_Operations!$B$11</f>
        <v/>
      </c>
      <c r="K11" s="36">
        <f>Assumptions_Operations!$B$11</f>
        <v/>
      </c>
      <c r="L11" s="36">
        <f>Assumptions_Operations!$B$11</f>
        <v/>
      </c>
      <c r="M11" s="36">
        <f>Assumptions_Operations!$B$11</f>
        <v/>
      </c>
      <c r="N11" s="36">
        <f>Assumptions_Operations!$B$11</f>
        <v/>
      </c>
      <c r="O11" s="36">
        <f>Assumptions_Operations!$B$11</f>
        <v/>
      </c>
      <c r="P11" s="36">
        <f>Assumptions_Operations!$B$11</f>
        <v/>
      </c>
      <c r="Q11" s="36">
        <f>Assumptions_Operations!$B$11</f>
        <v/>
      </c>
      <c r="R11" s="36">
        <f>Assumptions_Operations!$B$11</f>
        <v/>
      </c>
      <c r="S11" s="36">
        <f>Assumptions_Operations!$B$11</f>
        <v/>
      </c>
      <c r="T11" s="36">
        <f>Assumptions_Operations!$B$11</f>
        <v/>
      </c>
      <c r="U11" s="36">
        <f>Assumptions_Operations!$B$11</f>
        <v/>
      </c>
      <c r="V11" s="36">
        <f>Assumptions_Operations!$B$11</f>
        <v/>
      </c>
      <c r="W11" s="36">
        <f>Assumptions_Operations!$B$11</f>
        <v/>
      </c>
      <c r="X11" s="36">
        <f>Assumptions_Operations!$B$11</f>
        <v/>
      </c>
      <c r="Y11" s="36">
        <f>Assumptions_Operations!$B$11</f>
        <v/>
      </c>
      <c r="Z11" s="36">
        <f>Assumptions_Operations!$B$11</f>
        <v/>
      </c>
      <c r="AA11" s="36">
        <f>Assumptions_Operations!$B$11</f>
        <v/>
      </c>
      <c r="AB11" s="36">
        <f>Assumptions_Operations!$B$11</f>
        <v/>
      </c>
      <c r="AC11" s="36">
        <f>Assumptions_Operations!$B$11</f>
        <v/>
      </c>
      <c r="AD11" s="36">
        <f>Assumptions_Operations!$B$11</f>
        <v/>
      </c>
      <c r="AE11" s="36">
        <f>Assumptions_Operations!$B$11</f>
        <v/>
      </c>
      <c r="AF11" s="36">
        <f>Assumptions_Operations!$B$11</f>
        <v/>
      </c>
      <c r="AG11" s="36">
        <f>Assumptions_Operations!$B$11</f>
        <v/>
      </c>
      <c r="AH11" s="36">
        <f>Assumptions_Operations!$B$11</f>
        <v/>
      </c>
      <c r="AI11" s="36">
        <f>Assumptions_Operations!$B$11</f>
        <v/>
      </c>
      <c r="AJ11" s="36">
        <f>Assumptions_Operations!$B$11</f>
        <v/>
      </c>
      <c r="AK11" s="36">
        <f>Assumptions_Operations!$B$11</f>
        <v/>
      </c>
      <c r="AL11" s="36">
        <f>Assumptions_Operations!$B$11</f>
        <v/>
      </c>
      <c r="AM11" s="36">
        <f>Assumptions_Operations!$B$11</f>
        <v/>
      </c>
      <c r="AN11" s="36">
        <f>Assumptions_Operations!$B$11</f>
        <v/>
      </c>
      <c r="AO11" s="36">
        <f>Assumptions_Operations!$B$11</f>
        <v/>
      </c>
      <c r="AP11" s="36">
        <f>Assumptions_Operations!$B$11</f>
        <v/>
      </c>
      <c r="AQ11" s="36">
        <f>Assumptions_Operations!$B$11</f>
        <v/>
      </c>
      <c r="AR11" s="36">
        <f>Assumptions_Operations!$B$11</f>
        <v/>
      </c>
      <c r="AS11" s="36">
        <f>Assumptions_Operations!$B$11</f>
        <v/>
      </c>
      <c r="AT11" s="36">
        <f>Assumptions_Operations!$B$11</f>
        <v/>
      </c>
      <c r="AU11" s="36">
        <f>Assumptions_Operations!$B$11</f>
        <v/>
      </c>
      <c r="AV11" s="36">
        <f>Assumptions_Operations!$B$11</f>
        <v/>
      </c>
      <c r="AW11" s="36">
        <f>Assumptions_Operations!$B$11</f>
        <v/>
      </c>
      <c r="AX11" s="36">
        <f>Assumptions_Operations!$B$11</f>
        <v/>
      </c>
      <c r="AY11" s="36">
        <f>Assumptions_Operations!$B$11</f>
        <v/>
      </c>
      <c r="AZ11" s="36">
        <f>Assumptions_Operations!$B$11</f>
        <v/>
      </c>
      <c r="BA11" s="36">
        <f>Assumptions_Operations!$B$11</f>
        <v/>
      </c>
      <c r="BB11" s="36">
        <f>Assumptions_Operations!$B$11</f>
        <v/>
      </c>
      <c r="BC11" s="36">
        <f>Assumptions_Operations!$B$11</f>
        <v/>
      </c>
      <c r="BD11" s="36">
        <f>Assumptions_Operations!$B$11</f>
        <v/>
      </c>
      <c r="BE11" s="36">
        <f>Assumptions_Operations!$B$11</f>
        <v/>
      </c>
      <c r="BF11" s="36">
        <f>Assumptions_Operations!$B$11</f>
        <v/>
      </c>
      <c r="BG11" s="36">
        <f>Assumptions_Operations!$B$11</f>
        <v/>
      </c>
      <c r="BH11" s="36">
        <f>Assumptions_Operations!$B$11</f>
        <v/>
      </c>
      <c r="BI11" s="36">
        <f>Assumptions_Operations!$B$11</f>
        <v/>
      </c>
      <c r="BJ11" s="36">
        <f>Assumptions_Operations!$B$11</f>
        <v/>
      </c>
      <c r="BK11" s="36">
        <f>Assumptions_Operations!$B$11</f>
        <v/>
      </c>
      <c r="BL11" s="36">
        <f>Assumptions_Operations!$B$11</f>
        <v/>
      </c>
      <c r="BM11" s="36">
        <f>Assumptions_Operations!$B$11</f>
        <v/>
      </c>
      <c r="BN11" s="36">
        <f>Assumptions_Operations!$B$11</f>
        <v/>
      </c>
      <c r="BO11" s="36">
        <f>Assumptions_Operations!$B$11</f>
        <v/>
      </c>
      <c r="BP11" s="36">
        <f>Assumptions_Operations!$B$11</f>
        <v/>
      </c>
      <c r="BQ11" s="36">
        <f>Assumptions_Operations!$B$11</f>
        <v/>
      </c>
      <c r="BR11" s="36">
        <f>Assumptions_Operations!$B$11</f>
        <v/>
      </c>
      <c r="BS11" s="36">
        <f>Assumptions_Operations!$B$11</f>
        <v/>
      </c>
      <c r="BT11" s="36">
        <f>Assumptions_Operations!$B$11</f>
        <v/>
      </c>
      <c r="BU11" s="36">
        <f>Assumptions_Operations!$B$11</f>
        <v/>
      </c>
      <c r="BV11" s="36">
        <f>Assumptions_Operations!$B$11</f>
        <v/>
      </c>
      <c r="BW11" s="36">
        <f>Assumptions_Operations!$B$11</f>
        <v/>
      </c>
      <c r="BX11" s="36">
        <f>Assumptions_Operations!$B$11</f>
        <v/>
      </c>
      <c r="BY11" s="36">
        <f>Assumptions_Operations!$B$11</f>
        <v/>
      </c>
      <c r="BZ11" s="36">
        <f>Assumptions_Operations!$B$11</f>
        <v/>
      </c>
      <c r="CA11" s="36">
        <f>Assumptions_Operations!$B$11</f>
        <v/>
      </c>
      <c r="CB11" s="36">
        <f>Assumptions_Operations!$B$11</f>
        <v/>
      </c>
      <c r="CC11" s="36">
        <f>Assumptions_Operations!$B$11</f>
        <v/>
      </c>
      <c r="CD11" s="36">
        <f>Assumptions_Operations!$B$11</f>
        <v/>
      </c>
      <c r="CE11" s="36">
        <f>Assumptions_Operations!$B$11</f>
        <v/>
      </c>
      <c r="CF11" s="36">
        <f>Assumptions_Operations!$B$11</f>
        <v/>
      </c>
      <c r="CG11" s="36">
        <f>Assumptions_Operations!$B$11</f>
        <v/>
      </c>
      <c r="CH11" s="36">
        <f>Assumptions_Operations!$B$11</f>
        <v/>
      </c>
      <c r="CI11" s="36">
        <f>Assumptions_Operations!$B$11</f>
        <v/>
      </c>
      <c r="CJ11" s="36">
        <f>Assumptions_Operations!$B$11</f>
        <v/>
      </c>
      <c r="CK11" s="36">
        <f>Assumptions_Operations!$B$11</f>
        <v/>
      </c>
      <c r="CL11" s="36">
        <f>Assumptions_Operations!$B$11</f>
        <v/>
      </c>
      <c r="CM11" s="36">
        <f>Assumptions_Operations!$B$11</f>
        <v/>
      </c>
      <c r="CN11" s="36">
        <f>Assumptions_Operations!$B$11</f>
        <v/>
      </c>
      <c r="CO11" s="36">
        <f>Assumptions_Operations!$B$11</f>
        <v/>
      </c>
      <c r="CP11" s="36">
        <f>Assumptions_Operations!$B$11</f>
        <v/>
      </c>
      <c r="CQ11" s="36">
        <f>Assumptions_Operations!$B$11</f>
        <v/>
      </c>
      <c r="CR11" s="36">
        <f>Assumptions_Operations!$B$11</f>
        <v/>
      </c>
      <c r="CS11" s="36">
        <f>Assumptions_Operations!$B$11</f>
        <v/>
      </c>
      <c r="CT11" s="36">
        <f>Assumptions_Operations!$B$11</f>
        <v/>
      </c>
      <c r="CU11" s="36">
        <f>Assumptions_Operations!$B$11</f>
        <v/>
      </c>
      <c r="CV11" s="36">
        <f>Assumptions_Operations!$B$11</f>
        <v/>
      </c>
      <c r="CW11" s="36">
        <f>Assumptions_Operations!$B$11</f>
        <v/>
      </c>
      <c r="CX11" s="36">
        <f>Assumptions_Operations!$B$11</f>
        <v/>
      </c>
      <c r="CY11" s="36">
        <f>Assumptions_Operations!$B$11</f>
        <v/>
      </c>
      <c r="CZ11" s="36">
        <f>Assumptions_Operations!$B$11</f>
        <v/>
      </c>
      <c r="DA11" s="36">
        <f>Assumptions_Operations!$B$11</f>
        <v/>
      </c>
      <c r="DB11" s="36">
        <f>Assumptions_Operations!$B$11</f>
        <v/>
      </c>
      <c r="DC11" s="36">
        <f>Assumptions_Operations!$B$11</f>
        <v/>
      </c>
      <c r="DD11" s="36">
        <f>Assumptions_Operations!$B$11</f>
        <v/>
      </c>
      <c r="DE11" s="36">
        <f>Assumptions_Operations!$B$11</f>
        <v/>
      </c>
      <c r="DF11" s="36">
        <f>Assumptions_Operations!$B$11</f>
        <v/>
      </c>
      <c r="DG11" s="36">
        <f>Assumptions_Operations!$B$11</f>
        <v/>
      </c>
      <c r="DH11" s="36">
        <f>Assumptions_Operations!$B$11</f>
        <v/>
      </c>
      <c r="DI11" s="36">
        <f>Assumptions_Operations!$B$11</f>
        <v/>
      </c>
      <c r="DJ11" s="36">
        <f>Assumptions_Operations!$B$11</f>
        <v/>
      </c>
      <c r="DK11" s="36">
        <f>Assumptions_Operations!$B$11</f>
        <v/>
      </c>
      <c r="DL11" s="36">
        <f>Assumptions_Operations!$B$11</f>
        <v/>
      </c>
      <c r="DM11" s="36">
        <f>Assumptions_Operations!$B$11</f>
        <v/>
      </c>
      <c r="DN11" s="36">
        <f>Assumptions_Operations!$B$11</f>
        <v/>
      </c>
      <c r="DO11" s="36">
        <f>Assumptions_Operations!$B$11</f>
        <v/>
      </c>
      <c r="DP11" s="36">
        <f>Assumptions_Operations!$B$11</f>
        <v/>
      </c>
      <c r="DQ11" s="36">
        <f>Assumptions_Operations!$B$11</f>
        <v/>
      </c>
    </row>
    <row r="12">
      <c r="A12" t="inlineStr">
        <is>
          <t>Utilities Total</t>
        </is>
      </c>
      <c r="B12" s="34">
        <f>B4*B14/1000</f>
        <v/>
      </c>
      <c r="C12" s="34">
        <f>C4*C14/1000</f>
        <v/>
      </c>
      <c r="D12" s="34">
        <f>D4*D14/1000</f>
        <v/>
      </c>
      <c r="E12" s="34">
        <f>E4*E14/1000</f>
        <v/>
      </c>
      <c r="F12" s="34">
        <f>F4*F14/1000</f>
        <v/>
      </c>
      <c r="G12" s="34">
        <f>G4*G14/1000</f>
        <v/>
      </c>
      <c r="H12" s="34">
        <f>H4*H14/1000</f>
        <v/>
      </c>
      <c r="I12" s="34">
        <f>I4*I14/1000</f>
        <v/>
      </c>
      <c r="J12" s="34">
        <f>J4*J14/1000</f>
        <v/>
      </c>
      <c r="K12" s="34">
        <f>K4*K14/1000</f>
        <v/>
      </c>
      <c r="L12" s="34">
        <f>L4*L14/1000</f>
        <v/>
      </c>
      <c r="M12" s="34">
        <f>M4*M14/1000</f>
        <v/>
      </c>
      <c r="N12" s="34">
        <f>N4*N14/1000</f>
        <v/>
      </c>
      <c r="O12" s="34">
        <f>O4*O14/1000</f>
        <v/>
      </c>
      <c r="P12" s="34">
        <f>P4*P14/1000</f>
        <v/>
      </c>
      <c r="Q12" s="34">
        <f>Q4*Q14/1000</f>
        <v/>
      </c>
      <c r="R12" s="34">
        <f>R4*R14/1000</f>
        <v/>
      </c>
      <c r="S12" s="34">
        <f>S4*S14/1000</f>
        <v/>
      </c>
      <c r="T12" s="34">
        <f>T4*T14/1000</f>
        <v/>
      </c>
      <c r="U12" s="34">
        <f>U4*U14/1000</f>
        <v/>
      </c>
      <c r="V12" s="34">
        <f>V4*V14/1000</f>
        <v/>
      </c>
      <c r="W12" s="34">
        <f>W4*W14/1000</f>
        <v/>
      </c>
      <c r="X12" s="34">
        <f>X4*X14/1000</f>
        <v/>
      </c>
      <c r="Y12" s="34">
        <f>Y4*Y14/1000</f>
        <v/>
      </c>
      <c r="Z12" s="34">
        <f>Z4*Z14/1000</f>
        <v/>
      </c>
      <c r="AA12" s="34">
        <f>AA4*AA14/1000</f>
        <v/>
      </c>
      <c r="AB12" s="34">
        <f>AB4*AB14/1000</f>
        <v/>
      </c>
      <c r="AC12" s="34">
        <f>AC4*AC14/1000</f>
        <v/>
      </c>
      <c r="AD12" s="34">
        <f>AD4*AD14/1000</f>
        <v/>
      </c>
      <c r="AE12" s="34">
        <f>AE4*AE14/1000</f>
        <v/>
      </c>
      <c r="AF12" s="34">
        <f>AF4*AF14/1000</f>
        <v/>
      </c>
      <c r="AG12" s="34">
        <f>AG4*AG14/1000</f>
        <v/>
      </c>
      <c r="AH12" s="34">
        <f>AH4*AH14/1000</f>
        <v/>
      </c>
      <c r="AI12" s="34">
        <f>AI4*AI14/1000</f>
        <v/>
      </c>
      <c r="AJ12" s="34">
        <f>AJ4*AJ14/1000</f>
        <v/>
      </c>
      <c r="AK12" s="34">
        <f>AK4*AK14/1000</f>
        <v/>
      </c>
      <c r="AL12" s="34">
        <f>AL4*AL14/1000</f>
        <v/>
      </c>
      <c r="AM12" s="34">
        <f>AM4*AM14/1000</f>
        <v/>
      </c>
      <c r="AN12" s="34">
        <f>AN4*AN14/1000</f>
        <v/>
      </c>
      <c r="AO12" s="34">
        <f>AO4*AO14/1000</f>
        <v/>
      </c>
      <c r="AP12" s="34">
        <f>AP4*AP14/1000</f>
        <v/>
      </c>
      <c r="AQ12" s="34">
        <f>AQ4*AQ14/1000</f>
        <v/>
      </c>
      <c r="AR12" s="34">
        <f>AR4*AR14/1000</f>
        <v/>
      </c>
      <c r="AS12" s="34">
        <f>AS4*AS14/1000</f>
        <v/>
      </c>
      <c r="AT12" s="34">
        <f>AT4*AT14/1000</f>
        <v/>
      </c>
      <c r="AU12" s="34">
        <f>AU4*AU14/1000</f>
        <v/>
      </c>
      <c r="AV12" s="34">
        <f>AV4*AV14/1000</f>
        <v/>
      </c>
      <c r="AW12" s="34">
        <f>AW4*AW14/1000</f>
        <v/>
      </c>
      <c r="AX12" s="34">
        <f>AX4*AX14/1000</f>
        <v/>
      </c>
      <c r="AY12" s="34">
        <f>AY4*AY14/1000</f>
        <v/>
      </c>
      <c r="AZ12" s="34">
        <f>AZ4*AZ14/1000</f>
        <v/>
      </c>
      <c r="BA12" s="34">
        <f>BA4*BA14/1000</f>
        <v/>
      </c>
      <c r="BB12" s="34">
        <f>BB4*BB14/1000</f>
        <v/>
      </c>
      <c r="BC12" s="34">
        <f>BC4*BC14/1000</f>
        <v/>
      </c>
      <c r="BD12" s="34">
        <f>BD4*BD14/1000</f>
        <v/>
      </c>
      <c r="BE12" s="34">
        <f>BE4*BE14/1000</f>
        <v/>
      </c>
      <c r="BF12" s="34">
        <f>BF4*BF14/1000</f>
        <v/>
      </c>
      <c r="BG12" s="34">
        <f>BG4*BG14/1000</f>
        <v/>
      </c>
      <c r="BH12" s="34">
        <f>BH4*BH14/1000</f>
        <v/>
      </c>
      <c r="BI12" s="34">
        <f>BI4*BI14/1000</f>
        <v/>
      </c>
      <c r="BJ12" s="34">
        <f>BJ4*BJ14/1000</f>
        <v/>
      </c>
      <c r="BK12" s="34">
        <f>BK4*BK14/1000</f>
        <v/>
      </c>
      <c r="BL12" s="34">
        <f>BL4*BL14/1000</f>
        <v/>
      </c>
      <c r="BM12" s="34">
        <f>BM4*BM14/1000</f>
        <v/>
      </c>
      <c r="BN12" s="34">
        <f>BN4*BN14/1000</f>
        <v/>
      </c>
      <c r="BO12" s="34">
        <f>BO4*BO14/1000</f>
        <v/>
      </c>
      <c r="BP12" s="34">
        <f>BP4*BP14/1000</f>
        <v/>
      </c>
      <c r="BQ12" s="34">
        <f>BQ4*BQ14/1000</f>
        <v/>
      </c>
      <c r="BR12" s="34">
        <f>BR4*BR14/1000</f>
        <v/>
      </c>
      <c r="BS12" s="34">
        <f>BS4*BS14/1000</f>
        <v/>
      </c>
      <c r="BT12" s="34">
        <f>BT4*BT14/1000</f>
        <v/>
      </c>
      <c r="BU12" s="34">
        <f>BU4*BU14/1000</f>
        <v/>
      </c>
      <c r="BV12" s="34">
        <f>BV4*BV14/1000</f>
        <v/>
      </c>
      <c r="BW12" s="34">
        <f>BW4*BW14/1000</f>
        <v/>
      </c>
      <c r="BX12" s="34">
        <f>BX4*BX14/1000</f>
        <v/>
      </c>
      <c r="BY12" s="34">
        <f>BY4*BY14/1000</f>
        <v/>
      </c>
      <c r="BZ12" s="34">
        <f>BZ4*BZ14/1000</f>
        <v/>
      </c>
      <c r="CA12" s="34">
        <f>CA4*CA14/1000</f>
        <v/>
      </c>
      <c r="CB12" s="34">
        <f>CB4*CB14/1000</f>
        <v/>
      </c>
      <c r="CC12" s="34">
        <f>CC4*CC14/1000</f>
        <v/>
      </c>
      <c r="CD12" s="34">
        <f>CD4*CD14/1000</f>
        <v/>
      </c>
      <c r="CE12" s="34">
        <f>CE4*CE14/1000</f>
        <v/>
      </c>
      <c r="CF12" s="34">
        <f>CF4*CF14/1000</f>
        <v/>
      </c>
      <c r="CG12" s="34">
        <f>CG4*CG14/1000</f>
        <v/>
      </c>
      <c r="CH12" s="34">
        <f>CH4*CH14/1000</f>
        <v/>
      </c>
      <c r="CI12" s="34">
        <f>CI4*CI14/1000</f>
        <v/>
      </c>
      <c r="CJ12" s="34">
        <f>CJ4*CJ14/1000</f>
        <v/>
      </c>
      <c r="CK12" s="34">
        <f>CK4*CK14/1000</f>
        <v/>
      </c>
      <c r="CL12" s="34">
        <f>CL4*CL14/1000</f>
        <v/>
      </c>
      <c r="CM12" s="34">
        <f>CM4*CM14/1000</f>
        <v/>
      </c>
      <c r="CN12" s="34">
        <f>CN4*CN14/1000</f>
        <v/>
      </c>
      <c r="CO12" s="34">
        <f>CO4*CO14/1000</f>
        <v/>
      </c>
      <c r="CP12" s="34">
        <f>CP4*CP14/1000</f>
        <v/>
      </c>
      <c r="CQ12" s="34">
        <f>CQ4*CQ14/1000</f>
        <v/>
      </c>
      <c r="CR12" s="34">
        <f>CR4*CR14/1000</f>
        <v/>
      </c>
      <c r="CS12" s="34">
        <f>CS4*CS14/1000</f>
        <v/>
      </c>
      <c r="CT12" s="34">
        <f>CT4*CT14/1000</f>
        <v/>
      </c>
      <c r="CU12" s="34">
        <f>CU4*CU14/1000</f>
        <v/>
      </c>
      <c r="CV12" s="34">
        <f>CV4*CV14/1000</f>
        <v/>
      </c>
      <c r="CW12" s="34">
        <f>CW4*CW14/1000</f>
        <v/>
      </c>
      <c r="CX12" s="34">
        <f>CX4*CX14/1000</f>
        <v/>
      </c>
      <c r="CY12" s="34">
        <f>CY4*CY14/1000</f>
        <v/>
      </c>
      <c r="CZ12" s="34">
        <f>CZ4*CZ14/1000</f>
        <v/>
      </c>
      <c r="DA12" s="34">
        <f>DA4*DA14/1000</f>
        <v/>
      </c>
      <c r="DB12" s="34">
        <f>DB4*DB14/1000</f>
        <v/>
      </c>
      <c r="DC12" s="34">
        <f>DC4*DC14/1000</f>
        <v/>
      </c>
      <c r="DD12" s="34">
        <f>DD4*DD14/1000</f>
        <v/>
      </c>
      <c r="DE12" s="34">
        <f>DE4*DE14/1000</f>
        <v/>
      </c>
      <c r="DF12" s="34">
        <f>DF4*DF14/1000</f>
        <v/>
      </c>
      <c r="DG12" s="34">
        <f>DG4*DG14/1000</f>
        <v/>
      </c>
      <c r="DH12" s="34">
        <f>DH4*DH14/1000</f>
        <v/>
      </c>
      <c r="DI12" s="34">
        <f>DI4*DI14/1000</f>
        <v/>
      </c>
      <c r="DJ12" s="34">
        <f>DJ4*DJ14/1000</f>
        <v/>
      </c>
      <c r="DK12" s="34">
        <f>DK4*DK14/1000</f>
        <v/>
      </c>
      <c r="DL12" s="34">
        <f>DL4*DL14/1000</f>
        <v/>
      </c>
      <c r="DM12" s="34">
        <f>DM4*DM14/1000</f>
        <v/>
      </c>
      <c r="DN12" s="34">
        <f>DN4*DN14/1000</f>
        <v/>
      </c>
      <c r="DO12" s="34">
        <f>DO4*DO14/1000</f>
        <v/>
      </c>
      <c r="DP12" s="34">
        <f>DP4*DP14/1000</f>
        <v/>
      </c>
      <c r="DQ12" s="34">
        <f>DQ4*DQ14/1000</f>
        <v/>
      </c>
    </row>
    <row r="13">
      <c r="A13" t="inlineStr">
        <is>
          <t>Overhead Total</t>
        </is>
      </c>
      <c r="B13" s="34">
        <f>Assumptions_Operations!$B$13/1000</f>
        <v/>
      </c>
      <c r="C13" s="34">
        <f>Assumptions_Operations!$B$13/1000</f>
        <v/>
      </c>
      <c r="D13" s="34">
        <f>Assumptions_Operations!$B$13/1000</f>
        <v/>
      </c>
      <c r="E13" s="34">
        <f>Assumptions_Operations!$B$13/1000</f>
        <v/>
      </c>
      <c r="F13" s="34">
        <f>Assumptions_Operations!$B$13/1000</f>
        <v/>
      </c>
      <c r="G13" s="34">
        <f>Assumptions_Operations!$B$13/1000</f>
        <v/>
      </c>
      <c r="H13" s="34">
        <f>Assumptions_Operations!$B$13/1000</f>
        <v/>
      </c>
      <c r="I13" s="34">
        <f>Assumptions_Operations!$B$13/1000</f>
        <v/>
      </c>
      <c r="J13" s="34">
        <f>Assumptions_Operations!$B$13/1000</f>
        <v/>
      </c>
      <c r="K13" s="34">
        <f>Assumptions_Operations!$B$13/1000</f>
        <v/>
      </c>
      <c r="L13" s="34">
        <f>Assumptions_Operations!$B$13/1000</f>
        <v/>
      </c>
      <c r="M13" s="34">
        <f>Assumptions_Operations!$B$13/1000</f>
        <v/>
      </c>
      <c r="N13" s="34">
        <f>Assumptions_Operations!$B$13/1000</f>
        <v/>
      </c>
      <c r="O13" s="34">
        <f>Assumptions_Operations!$B$13/1000</f>
        <v/>
      </c>
      <c r="P13" s="34">
        <f>Assumptions_Operations!$B$13/1000</f>
        <v/>
      </c>
      <c r="Q13" s="34">
        <f>Assumptions_Operations!$B$13/1000</f>
        <v/>
      </c>
      <c r="R13" s="34">
        <f>Assumptions_Operations!$B$13/1000</f>
        <v/>
      </c>
      <c r="S13" s="34">
        <f>Assumptions_Operations!$B$13/1000</f>
        <v/>
      </c>
      <c r="T13" s="34">
        <f>Assumptions_Operations!$B$13/1000</f>
        <v/>
      </c>
      <c r="U13" s="34">
        <f>Assumptions_Operations!$B$13/1000</f>
        <v/>
      </c>
      <c r="V13" s="34">
        <f>Assumptions_Operations!$B$13/1000</f>
        <v/>
      </c>
      <c r="W13" s="34">
        <f>Assumptions_Operations!$B$13/1000</f>
        <v/>
      </c>
      <c r="X13" s="34">
        <f>Assumptions_Operations!$B$13/1000</f>
        <v/>
      </c>
      <c r="Y13" s="34">
        <f>Assumptions_Operations!$B$13/1000</f>
        <v/>
      </c>
      <c r="Z13" s="34">
        <f>Assumptions_Operations!$B$13/1000</f>
        <v/>
      </c>
      <c r="AA13" s="34">
        <f>Assumptions_Operations!$B$13/1000</f>
        <v/>
      </c>
      <c r="AB13" s="34">
        <f>Assumptions_Operations!$B$13/1000</f>
        <v/>
      </c>
      <c r="AC13" s="34">
        <f>Assumptions_Operations!$B$13/1000</f>
        <v/>
      </c>
      <c r="AD13" s="34">
        <f>Assumptions_Operations!$B$13/1000</f>
        <v/>
      </c>
      <c r="AE13" s="34">
        <f>Assumptions_Operations!$B$13/1000</f>
        <v/>
      </c>
      <c r="AF13" s="34">
        <f>Assumptions_Operations!$B$13/1000</f>
        <v/>
      </c>
      <c r="AG13" s="34">
        <f>Assumptions_Operations!$B$13/1000</f>
        <v/>
      </c>
      <c r="AH13" s="34">
        <f>Assumptions_Operations!$B$13/1000</f>
        <v/>
      </c>
      <c r="AI13" s="34">
        <f>Assumptions_Operations!$B$13/1000</f>
        <v/>
      </c>
      <c r="AJ13" s="34">
        <f>Assumptions_Operations!$B$13/1000</f>
        <v/>
      </c>
      <c r="AK13" s="34">
        <f>Assumptions_Operations!$B$13/1000</f>
        <v/>
      </c>
      <c r="AL13" s="34">
        <f>Assumptions_Operations!$B$13/1000</f>
        <v/>
      </c>
      <c r="AM13" s="34">
        <f>Assumptions_Operations!$B$13/1000</f>
        <v/>
      </c>
      <c r="AN13" s="34">
        <f>Assumptions_Operations!$B$13/1000</f>
        <v/>
      </c>
      <c r="AO13" s="34">
        <f>Assumptions_Operations!$B$13/1000</f>
        <v/>
      </c>
      <c r="AP13" s="34">
        <f>Assumptions_Operations!$B$13/1000</f>
        <v/>
      </c>
      <c r="AQ13" s="34">
        <f>Assumptions_Operations!$B$13/1000</f>
        <v/>
      </c>
      <c r="AR13" s="34">
        <f>Assumptions_Operations!$B$13/1000</f>
        <v/>
      </c>
      <c r="AS13" s="34">
        <f>Assumptions_Operations!$B$13/1000</f>
        <v/>
      </c>
      <c r="AT13" s="34">
        <f>Assumptions_Operations!$B$13/1000</f>
        <v/>
      </c>
      <c r="AU13" s="34">
        <f>Assumptions_Operations!$B$13/1000</f>
        <v/>
      </c>
      <c r="AV13" s="34">
        <f>Assumptions_Operations!$B$13/1000</f>
        <v/>
      </c>
      <c r="AW13" s="34">
        <f>Assumptions_Operations!$B$13/1000</f>
        <v/>
      </c>
      <c r="AX13" s="34">
        <f>Assumptions_Operations!$B$13/1000</f>
        <v/>
      </c>
      <c r="AY13" s="34">
        <f>Assumptions_Operations!$B$13/1000</f>
        <v/>
      </c>
      <c r="AZ13" s="34">
        <f>Assumptions_Operations!$B$13/1000</f>
        <v/>
      </c>
      <c r="BA13" s="34">
        <f>Assumptions_Operations!$B$13/1000</f>
        <v/>
      </c>
      <c r="BB13" s="34">
        <f>Assumptions_Operations!$B$13/1000</f>
        <v/>
      </c>
      <c r="BC13" s="34">
        <f>Assumptions_Operations!$B$13/1000</f>
        <v/>
      </c>
      <c r="BD13" s="34">
        <f>Assumptions_Operations!$B$13/1000</f>
        <v/>
      </c>
      <c r="BE13" s="34">
        <f>Assumptions_Operations!$B$13/1000</f>
        <v/>
      </c>
      <c r="BF13" s="34">
        <f>Assumptions_Operations!$B$13/1000</f>
        <v/>
      </c>
      <c r="BG13" s="34">
        <f>Assumptions_Operations!$B$13/1000</f>
        <v/>
      </c>
      <c r="BH13" s="34">
        <f>Assumptions_Operations!$B$13/1000</f>
        <v/>
      </c>
      <c r="BI13" s="34">
        <f>Assumptions_Operations!$B$13/1000</f>
        <v/>
      </c>
      <c r="BJ13" s="34">
        <f>Assumptions_Operations!$B$13/1000</f>
        <v/>
      </c>
      <c r="BK13" s="34">
        <f>Assumptions_Operations!$B$13/1000</f>
        <v/>
      </c>
      <c r="BL13" s="34">
        <f>Assumptions_Operations!$B$13/1000</f>
        <v/>
      </c>
      <c r="BM13" s="34">
        <f>Assumptions_Operations!$B$13/1000</f>
        <v/>
      </c>
      <c r="BN13" s="34">
        <f>Assumptions_Operations!$B$13/1000</f>
        <v/>
      </c>
      <c r="BO13" s="34">
        <f>Assumptions_Operations!$B$13/1000</f>
        <v/>
      </c>
      <c r="BP13" s="34">
        <f>Assumptions_Operations!$B$13/1000</f>
        <v/>
      </c>
      <c r="BQ13" s="34">
        <f>Assumptions_Operations!$B$13/1000</f>
        <v/>
      </c>
      <c r="BR13" s="34">
        <f>Assumptions_Operations!$B$13/1000</f>
        <v/>
      </c>
      <c r="BS13" s="34">
        <f>Assumptions_Operations!$B$13/1000</f>
        <v/>
      </c>
      <c r="BT13" s="34">
        <f>Assumptions_Operations!$B$13/1000</f>
        <v/>
      </c>
      <c r="BU13" s="34">
        <f>Assumptions_Operations!$B$13/1000</f>
        <v/>
      </c>
      <c r="BV13" s="34">
        <f>Assumptions_Operations!$B$13/1000</f>
        <v/>
      </c>
      <c r="BW13" s="34">
        <f>Assumptions_Operations!$B$13/1000</f>
        <v/>
      </c>
      <c r="BX13" s="34">
        <f>Assumptions_Operations!$B$13/1000</f>
        <v/>
      </c>
      <c r="BY13" s="34">
        <f>Assumptions_Operations!$B$13/1000</f>
        <v/>
      </c>
      <c r="BZ13" s="34">
        <f>Assumptions_Operations!$B$13/1000</f>
        <v/>
      </c>
      <c r="CA13" s="34">
        <f>Assumptions_Operations!$B$13/1000</f>
        <v/>
      </c>
      <c r="CB13" s="34">
        <f>Assumptions_Operations!$B$13/1000</f>
        <v/>
      </c>
      <c r="CC13" s="34">
        <f>Assumptions_Operations!$B$13/1000</f>
        <v/>
      </c>
      <c r="CD13" s="34">
        <f>Assumptions_Operations!$B$13/1000</f>
        <v/>
      </c>
      <c r="CE13" s="34">
        <f>Assumptions_Operations!$B$13/1000</f>
        <v/>
      </c>
      <c r="CF13" s="34">
        <f>Assumptions_Operations!$B$13/1000</f>
        <v/>
      </c>
      <c r="CG13" s="34">
        <f>Assumptions_Operations!$B$13/1000</f>
        <v/>
      </c>
      <c r="CH13" s="34">
        <f>Assumptions_Operations!$B$13/1000</f>
        <v/>
      </c>
      <c r="CI13" s="34">
        <f>Assumptions_Operations!$B$13/1000</f>
        <v/>
      </c>
      <c r="CJ13" s="34">
        <f>Assumptions_Operations!$B$13/1000</f>
        <v/>
      </c>
      <c r="CK13" s="34">
        <f>Assumptions_Operations!$B$13/1000</f>
        <v/>
      </c>
      <c r="CL13" s="34">
        <f>Assumptions_Operations!$B$13/1000</f>
        <v/>
      </c>
      <c r="CM13" s="34">
        <f>Assumptions_Operations!$B$13/1000</f>
        <v/>
      </c>
      <c r="CN13" s="34">
        <f>Assumptions_Operations!$B$13/1000</f>
        <v/>
      </c>
      <c r="CO13" s="34">
        <f>Assumptions_Operations!$B$13/1000</f>
        <v/>
      </c>
      <c r="CP13" s="34">
        <f>Assumptions_Operations!$B$13/1000</f>
        <v/>
      </c>
      <c r="CQ13" s="34">
        <f>Assumptions_Operations!$B$13/1000</f>
        <v/>
      </c>
      <c r="CR13" s="34">
        <f>Assumptions_Operations!$B$13/1000</f>
        <v/>
      </c>
      <c r="CS13" s="34">
        <f>Assumptions_Operations!$B$13/1000</f>
        <v/>
      </c>
      <c r="CT13" s="34">
        <f>Assumptions_Operations!$B$13/1000</f>
        <v/>
      </c>
      <c r="CU13" s="34">
        <f>Assumptions_Operations!$B$13/1000</f>
        <v/>
      </c>
      <c r="CV13" s="34">
        <f>Assumptions_Operations!$B$13/1000</f>
        <v/>
      </c>
      <c r="CW13" s="34">
        <f>Assumptions_Operations!$B$13/1000</f>
        <v/>
      </c>
      <c r="CX13" s="34">
        <f>Assumptions_Operations!$B$13/1000</f>
        <v/>
      </c>
      <c r="CY13" s="34">
        <f>Assumptions_Operations!$B$13/1000</f>
        <v/>
      </c>
      <c r="CZ13" s="34">
        <f>Assumptions_Operations!$B$13/1000</f>
        <v/>
      </c>
      <c r="DA13" s="34">
        <f>Assumptions_Operations!$B$13/1000</f>
        <v/>
      </c>
      <c r="DB13" s="34">
        <f>Assumptions_Operations!$B$13/1000</f>
        <v/>
      </c>
      <c r="DC13" s="34">
        <f>Assumptions_Operations!$B$13/1000</f>
        <v/>
      </c>
      <c r="DD13" s="34">
        <f>Assumptions_Operations!$B$13/1000</f>
        <v/>
      </c>
      <c r="DE13" s="34">
        <f>Assumptions_Operations!$B$13/1000</f>
        <v/>
      </c>
      <c r="DF13" s="34">
        <f>Assumptions_Operations!$B$13/1000</f>
        <v/>
      </c>
      <c r="DG13" s="34">
        <f>Assumptions_Operations!$B$13/1000</f>
        <v/>
      </c>
      <c r="DH13" s="34">
        <f>Assumptions_Operations!$B$13/1000</f>
        <v/>
      </c>
      <c r="DI13" s="34">
        <f>Assumptions_Operations!$B$13/1000</f>
        <v/>
      </c>
      <c r="DJ13" s="34">
        <f>Assumptions_Operations!$B$13/1000</f>
        <v/>
      </c>
      <c r="DK13" s="34">
        <f>Assumptions_Operations!$B$13/1000</f>
        <v/>
      </c>
      <c r="DL13" s="34">
        <f>Assumptions_Operations!$B$13/1000</f>
        <v/>
      </c>
      <c r="DM13" s="34">
        <f>Assumptions_Operations!$B$13/1000</f>
        <v/>
      </c>
      <c r="DN13" s="34">
        <f>Assumptions_Operations!$B$13/1000</f>
        <v/>
      </c>
      <c r="DO13" s="34">
        <f>Assumptions_Operations!$B$13/1000</f>
        <v/>
      </c>
      <c r="DP13" s="34">
        <f>Assumptions_Operations!$B$13/1000</f>
        <v/>
      </c>
      <c r="DQ13" s="34">
        <f>Assumptions_Operations!$B$13/1000</f>
        <v/>
      </c>
    </row>
    <row r="14">
      <c r="A14" s="3" t="inlineStr">
        <is>
          <t>TOTAL COGS</t>
        </is>
      </c>
      <c r="B14" s="35">
        <f>B6+B9+B12+B15+B16</f>
        <v/>
      </c>
      <c r="C14" s="35">
        <f>C6+C9+C12+C15+C16</f>
        <v/>
      </c>
      <c r="D14" s="35">
        <f>D6+D9+D12+D15+D16</f>
        <v/>
      </c>
      <c r="E14" s="35">
        <f>E6+E9+E12+E15+E16</f>
        <v/>
      </c>
      <c r="F14" s="35">
        <f>F6+F9+F12+F15+F16</f>
        <v/>
      </c>
      <c r="G14" s="35">
        <f>G6+G9+G12+G15+G16</f>
        <v/>
      </c>
      <c r="H14" s="35">
        <f>H6+H9+H12+H15+H16</f>
        <v/>
      </c>
      <c r="I14" s="35">
        <f>I6+I9+I12+I15+I16</f>
        <v/>
      </c>
      <c r="J14" s="35">
        <f>J6+J9+J12+J15+J16</f>
        <v/>
      </c>
      <c r="K14" s="35">
        <f>K6+K9+K12+K15+K16</f>
        <v/>
      </c>
      <c r="L14" s="35">
        <f>L6+L9+L12+L15+L16</f>
        <v/>
      </c>
      <c r="M14" s="35">
        <f>M6+M9+M12+M15+M16</f>
        <v/>
      </c>
      <c r="N14" s="35">
        <f>N6+N9+N12+N15+N16</f>
        <v/>
      </c>
      <c r="O14" s="35">
        <f>O6+O9+O12+O15+O16</f>
        <v/>
      </c>
      <c r="P14" s="35">
        <f>P6+P9+P12+P15+P16</f>
        <v/>
      </c>
      <c r="Q14" s="35">
        <f>Q6+Q9+Q12+Q15+Q16</f>
        <v/>
      </c>
      <c r="R14" s="35">
        <f>R6+R9+R12+R15+R16</f>
        <v/>
      </c>
      <c r="S14" s="35">
        <f>S6+S9+S12+S15+S16</f>
        <v/>
      </c>
      <c r="T14" s="35">
        <f>T6+T9+T12+T15+T16</f>
        <v/>
      </c>
      <c r="U14" s="35">
        <f>U6+U9+U12+U15+U16</f>
        <v/>
      </c>
      <c r="V14" s="35">
        <f>V6+V9+V12+V15+V16</f>
        <v/>
      </c>
      <c r="W14" s="35">
        <f>W6+W9+W12+W15+W16</f>
        <v/>
      </c>
      <c r="X14" s="35">
        <f>X6+X9+X12+X15+X16</f>
        <v/>
      </c>
      <c r="Y14" s="35">
        <f>Y6+Y9+Y12+Y15+Y16</f>
        <v/>
      </c>
      <c r="Z14" s="35">
        <f>Z6+Z9+Z12+Z15+Z16</f>
        <v/>
      </c>
      <c r="AA14" s="35">
        <f>AA6+AA9+AA12+AA15+AA16</f>
        <v/>
      </c>
      <c r="AB14" s="35">
        <f>AB6+AB9+AB12+AB15+AB16</f>
        <v/>
      </c>
      <c r="AC14" s="35">
        <f>AC6+AC9+AC12+AC15+AC16</f>
        <v/>
      </c>
      <c r="AD14" s="35">
        <f>AD6+AD9+AD12+AD15+AD16</f>
        <v/>
      </c>
      <c r="AE14" s="35">
        <f>AE6+AE9+AE12+AE15+AE16</f>
        <v/>
      </c>
      <c r="AF14" s="35">
        <f>AF6+AF9+AF12+AF15+AF16</f>
        <v/>
      </c>
      <c r="AG14" s="35">
        <f>AG6+AG9+AG12+AG15+AG16</f>
        <v/>
      </c>
      <c r="AH14" s="35">
        <f>AH6+AH9+AH12+AH15+AH16</f>
        <v/>
      </c>
      <c r="AI14" s="35">
        <f>AI6+AI9+AI12+AI15+AI16</f>
        <v/>
      </c>
      <c r="AJ14" s="35">
        <f>AJ6+AJ9+AJ12+AJ15+AJ16</f>
        <v/>
      </c>
      <c r="AK14" s="35">
        <f>AK6+AK9+AK12+AK15+AK16</f>
        <v/>
      </c>
      <c r="AL14" s="35">
        <f>AL6+AL9+AL12+AL15+AL16</f>
        <v/>
      </c>
      <c r="AM14" s="35">
        <f>AM6+AM9+AM12+AM15+AM16</f>
        <v/>
      </c>
      <c r="AN14" s="35">
        <f>AN6+AN9+AN12+AN15+AN16</f>
        <v/>
      </c>
      <c r="AO14" s="35">
        <f>AO6+AO9+AO12+AO15+AO16</f>
        <v/>
      </c>
      <c r="AP14" s="35">
        <f>AP6+AP9+AP12+AP15+AP16</f>
        <v/>
      </c>
      <c r="AQ14" s="35">
        <f>AQ6+AQ9+AQ12+AQ15+AQ16</f>
        <v/>
      </c>
      <c r="AR14" s="35">
        <f>AR6+AR9+AR12+AR15+AR16</f>
        <v/>
      </c>
      <c r="AS14" s="35">
        <f>AS6+AS9+AS12+AS15+AS16</f>
        <v/>
      </c>
      <c r="AT14" s="35">
        <f>AT6+AT9+AT12+AT15+AT16</f>
        <v/>
      </c>
      <c r="AU14" s="35">
        <f>AU6+AU9+AU12+AU15+AU16</f>
        <v/>
      </c>
      <c r="AV14" s="35">
        <f>AV6+AV9+AV12+AV15+AV16</f>
        <v/>
      </c>
      <c r="AW14" s="35">
        <f>AW6+AW9+AW12+AW15+AW16</f>
        <v/>
      </c>
      <c r="AX14" s="35">
        <f>AX6+AX9+AX12+AX15+AX16</f>
        <v/>
      </c>
      <c r="AY14" s="35">
        <f>AY6+AY9+AY12+AY15+AY16</f>
        <v/>
      </c>
      <c r="AZ14" s="35">
        <f>AZ6+AZ9+AZ12+AZ15+AZ16</f>
        <v/>
      </c>
      <c r="BA14" s="35">
        <f>BA6+BA9+BA12+BA15+BA16</f>
        <v/>
      </c>
      <c r="BB14" s="35">
        <f>BB6+BB9+BB12+BB15+BB16</f>
        <v/>
      </c>
      <c r="BC14" s="35">
        <f>BC6+BC9+BC12+BC15+BC16</f>
        <v/>
      </c>
      <c r="BD14" s="35">
        <f>BD6+BD9+BD12+BD15+BD16</f>
        <v/>
      </c>
      <c r="BE14" s="35">
        <f>BE6+BE9+BE12+BE15+BE16</f>
        <v/>
      </c>
      <c r="BF14" s="35">
        <f>BF6+BF9+BF12+BF15+BF16</f>
        <v/>
      </c>
      <c r="BG14" s="35">
        <f>BG6+BG9+BG12+BG15+BG16</f>
        <v/>
      </c>
      <c r="BH14" s="35">
        <f>BH6+BH9+BH12+BH15+BH16</f>
        <v/>
      </c>
      <c r="BI14" s="35">
        <f>BI6+BI9+BI12+BI15+BI16</f>
        <v/>
      </c>
      <c r="BJ14" s="35">
        <f>BJ6+BJ9+BJ12+BJ15+BJ16</f>
        <v/>
      </c>
      <c r="BK14" s="35">
        <f>BK6+BK9+BK12+BK15+BK16</f>
        <v/>
      </c>
      <c r="BL14" s="35">
        <f>BL6+BL9+BL12+BL15+BL16</f>
        <v/>
      </c>
      <c r="BM14" s="35">
        <f>BM6+BM9+BM12+BM15+BM16</f>
        <v/>
      </c>
      <c r="BN14" s="35">
        <f>BN6+BN9+BN12+BN15+BN16</f>
        <v/>
      </c>
      <c r="BO14" s="35">
        <f>BO6+BO9+BO12+BO15+BO16</f>
        <v/>
      </c>
      <c r="BP14" s="35">
        <f>BP6+BP9+BP12+BP15+BP16</f>
        <v/>
      </c>
      <c r="BQ14" s="35">
        <f>BQ6+BQ9+BQ12+BQ15+BQ16</f>
        <v/>
      </c>
      <c r="BR14" s="35">
        <f>BR6+BR9+BR12+BR15+BR16</f>
        <v/>
      </c>
      <c r="BS14" s="35">
        <f>BS6+BS9+BS12+BS15+BS16</f>
        <v/>
      </c>
      <c r="BT14" s="35">
        <f>BT6+BT9+BT12+BT15+BT16</f>
        <v/>
      </c>
      <c r="BU14" s="35">
        <f>BU6+BU9+BU12+BU15+BU16</f>
        <v/>
      </c>
      <c r="BV14" s="35">
        <f>BV6+BV9+BV12+BV15+BV16</f>
        <v/>
      </c>
      <c r="BW14" s="35">
        <f>BW6+BW9+BW12+BW15+BW16</f>
        <v/>
      </c>
      <c r="BX14" s="35">
        <f>BX6+BX9+BX12+BX15+BX16</f>
        <v/>
      </c>
      <c r="BY14" s="35">
        <f>BY6+BY9+BY12+BY15+BY16</f>
        <v/>
      </c>
      <c r="BZ14" s="35">
        <f>BZ6+BZ9+BZ12+BZ15+BZ16</f>
        <v/>
      </c>
      <c r="CA14" s="35">
        <f>CA6+CA9+CA12+CA15+CA16</f>
        <v/>
      </c>
      <c r="CB14" s="35">
        <f>CB6+CB9+CB12+CB15+CB16</f>
        <v/>
      </c>
      <c r="CC14" s="35">
        <f>CC6+CC9+CC12+CC15+CC16</f>
        <v/>
      </c>
      <c r="CD14" s="35">
        <f>CD6+CD9+CD12+CD15+CD16</f>
        <v/>
      </c>
      <c r="CE14" s="35">
        <f>CE6+CE9+CE12+CE15+CE16</f>
        <v/>
      </c>
      <c r="CF14" s="35">
        <f>CF6+CF9+CF12+CF15+CF16</f>
        <v/>
      </c>
      <c r="CG14" s="35">
        <f>CG6+CG9+CG12+CG15+CG16</f>
        <v/>
      </c>
      <c r="CH14" s="35">
        <f>CH6+CH9+CH12+CH15+CH16</f>
        <v/>
      </c>
      <c r="CI14" s="35">
        <f>CI6+CI9+CI12+CI15+CI16</f>
        <v/>
      </c>
      <c r="CJ14" s="35">
        <f>CJ6+CJ9+CJ12+CJ15+CJ16</f>
        <v/>
      </c>
      <c r="CK14" s="35">
        <f>CK6+CK9+CK12+CK15+CK16</f>
        <v/>
      </c>
      <c r="CL14" s="35">
        <f>CL6+CL9+CL12+CL15+CL16</f>
        <v/>
      </c>
      <c r="CM14" s="35">
        <f>CM6+CM9+CM12+CM15+CM16</f>
        <v/>
      </c>
      <c r="CN14" s="35">
        <f>CN6+CN9+CN12+CN15+CN16</f>
        <v/>
      </c>
      <c r="CO14" s="35">
        <f>CO6+CO9+CO12+CO15+CO16</f>
        <v/>
      </c>
      <c r="CP14" s="35">
        <f>CP6+CP9+CP12+CP15+CP16</f>
        <v/>
      </c>
      <c r="CQ14" s="35">
        <f>CQ6+CQ9+CQ12+CQ15+CQ16</f>
        <v/>
      </c>
      <c r="CR14" s="35">
        <f>CR6+CR9+CR12+CR15+CR16</f>
        <v/>
      </c>
      <c r="CS14" s="35">
        <f>CS6+CS9+CS12+CS15+CS16</f>
        <v/>
      </c>
      <c r="CT14" s="35">
        <f>CT6+CT9+CT12+CT15+CT16</f>
        <v/>
      </c>
      <c r="CU14" s="35">
        <f>CU6+CU9+CU12+CU15+CU16</f>
        <v/>
      </c>
      <c r="CV14" s="35">
        <f>CV6+CV9+CV12+CV15+CV16</f>
        <v/>
      </c>
      <c r="CW14" s="35">
        <f>CW6+CW9+CW12+CW15+CW16</f>
        <v/>
      </c>
      <c r="CX14" s="35">
        <f>CX6+CX9+CX12+CX15+CX16</f>
        <v/>
      </c>
      <c r="CY14" s="35">
        <f>CY6+CY9+CY12+CY15+CY16</f>
        <v/>
      </c>
      <c r="CZ14" s="35">
        <f>CZ6+CZ9+CZ12+CZ15+CZ16</f>
        <v/>
      </c>
      <c r="DA14" s="35">
        <f>DA6+DA9+DA12+DA15+DA16</f>
        <v/>
      </c>
      <c r="DB14" s="35">
        <f>DB6+DB9+DB12+DB15+DB16</f>
        <v/>
      </c>
      <c r="DC14" s="35">
        <f>DC6+DC9+DC12+DC15+DC16</f>
        <v/>
      </c>
      <c r="DD14" s="35">
        <f>DD6+DD9+DD12+DD15+DD16</f>
        <v/>
      </c>
      <c r="DE14" s="35">
        <f>DE6+DE9+DE12+DE15+DE16</f>
        <v/>
      </c>
      <c r="DF14" s="35">
        <f>DF6+DF9+DF12+DF15+DF16</f>
        <v/>
      </c>
      <c r="DG14" s="35">
        <f>DG6+DG9+DG12+DG15+DG16</f>
        <v/>
      </c>
      <c r="DH14" s="35">
        <f>DH6+DH9+DH12+DH15+DH16</f>
        <v/>
      </c>
      <c r="DI14" s="35">
        <f>DI6+DI9+DI12+DI15+DI16</f>
        <v/>
      </c>
      <c r="DJ14" s="35">
        <f>DJ6+DJ9+DJ12+DJ15+DJ16</f>
        <v/>
      </c>
      <c r="DK14" s="35">
        <f>DK6+DK9+DK12+DK15+DK16</f>
        <v/>
      </c>
      <c r="DL14" s="35">
        <f>DL6+DL9+DL12+DL15+DL16</f>
        <v/>
      </c>
      <c r="DM14" s="35">
        <f>DM6+DM9+DM12+DM15+DM16</f>
        <v/>
      </c>
      <c r="DN14" s="35">
        <f>DN6+DN9+DN12+DN15+DN16</f>
        <v/>
      </c>
      <c r="DO14" s="35">
        <f>DO6+DO9+DO12+DO15+DO16</f>
        <v/>
      </c>
      <c r="DP14" s="35">
        <f>DP6+DP9+DP12+DP15+DP16</f>
        <v/>
      </c>
      <c r="DQ14" s="35">
        <f>DQ6+DQ9+DQ12+DQ15+DQ16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LOGISTICS</t>
        </is>
      </c>
    </row>
    <row r="3">
      <c r="A3" s="17" t="inlineStr">
        <is>
          <t>Sheet structure to be completed in Phase 2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SGA</t>
        </is>
      </c>
    </row>
    <row r="3">
      <c r="A3" s="17" t="inlineStr">
        <is>
          <t>Sheet structure to be completed in Phase 2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CAPEX SCHEDULE</t>
        </is>
      </c>
    </row>
    <row r="3">
      <c r="A3" s="17" t="inlineStr">
        <is>
          <t>Sheet structure to be completed in Phase 2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FIXED ASSETS</t>
        </is>
      </c>
    </row>
    <row r="3">
      <c r="A3" s="17" t="inlineStr">
        <is>
          <t>Sheet structure to be completed in Phase 2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DEPRECIATION</t>
        </is>
      </c>
    </row>
    <row r="3">
      <c r="A3" s="17" t="inlineStr">
        <is>
          <t>Sheet structure to be completed in Phase 2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WORKING CAPITAL</t>
        </is>
      </c>
    </row>
    <row r="3">
      <c r="A3" s="17" t="inlineStr">
        <is>
          <t>Sheet structure to be completed in Phase 2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DEBT SCHEDULE</t>
        </is>
      </c>
    </row>
    <row r="3">
      <c r="A3" s="17" t="inlineStr">
        <is>
          <t>Sheet structure to be completed in Phase 2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EQUITY</t>
        </is>
      </c>
    </row>
    <row r="3">
      <c r="A3" s="17" t="inlineStr">
        <is>
          <t>Sheet structure to be completed in Phase 2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Q2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11" customWidth="1" min="92" max="92"/>
    <col width="11" customWidth="1" min="93" max="93"/>
    <col width="11" customWidth="1" min="94" max="94"/>
    <col width="11" customWidth="1" min="95" max="95"/>
    <col width="11" customWidth="1" min="96" max="96"/>
    <col width="11" customWidth="1" min="97" max="97"/>
    <col width="11" customWidth="1" min="98" max="98"/>
    <col width="11" customWidth="1" min="99" max="99"/>
    <col width="11" customWidth="1" min="100" max="100"/>
    <col width="11" customWidth="1" min="101" max="101"/>
    <col width="11" customWidth="1" min="102" max="102"/>
    <col width="11" customWidth="1" min="103" max="103"/>
    <col width="11" customWidth="1" min="104" max="104"/>
    <col width="11" customWidth="1" min="105" max="105"/>
    <col width="11" customWidth="1" min="106" max="106"/>
    <col width="11" customWidth="1" min="107" max="107"/>
    <col width="11" customWidth="1" min="108" max="108"/>
    <col width="11" customWidth="1" min="109" max="109"/>
    <col width="11" customWidth="1" min="110" max="110"/>
    <col width="11" customWidth="1" min="111" max="111"/>
    <col width="11" customWidth="1" min="112" max="112"/>
    <col width="11" customWidth="1" min="113" max="113"/>
    <col width="11" customWidth="1" min="114" max="114"/>
    <col width="11" customWidth="1" min="115" max="115"/>
    <col width="11" customWidth="1" min="116" max="116"/>
    <col width="11" customWidth="1" min="117" max="117"/>
    <col width="11" customWidth="1" min="118" max="118"/>
    <col width="11" customWidth="1" min="119" max="119"/>
    <col width="11" customWidth="1" min="120" max="120"/>
    <col width="11" customWidth="1" min="121" max="121"/>
  </cols>
  <sheetData>
    <row r="1">
      <c r="A1" s="2" t="inlineStr">
        <is>
          <t>INCOME STATEMENT (AUD '000)</t>
        </is>
      </c>
    </row>
    <row r="3">
      <c r="A3" s="6" t="inlineStr">
        <is>
          <t>Line Item</t>
        </is>
      </c>
      <c r="B3" s="29">
        <f>TIMELINE!B7</f>
        <v/>
      </c>
      <c r="C3" s="29">
        <f>TIMELINE!C7</f>
        <v/>
      </c>
      <c r="D3" s="29">
        <f>TIMELINE!D7</f>
        <v/>
      </c>
      <c r="E3" s="29">
        <f>TIMELINE!E7</f>
        <v/>
      </c>
      <c r="F3" s="29">
        <f>TIMELINE!F7</f>
        <v/>
      </c>
      <c r="G3" s="29">
        <f>TIMELINE!G7</f>
        <v/>
      </c>
      <c r="H3" s="29">
        <f>TIMELINE!H7</f>
        <v/>
      </c>
      <c r="I3" s="29">
        <f>TIMELINE!I7</f>
        <v/>
      </c>
      <c r="J3" s="29">
        <f>TIMELINE!J7</f>
        <v/>
      </c>
      <c r="K3" s="29">
        <f>TIMELINE!K7</f>
        <v/>
      </c>
      <c r="L3" s="29">
        <f>TIMELINE!L7</f>
        <v/>
      </c>
      <c r="M3" s="29">
        <f>TIMELINE!M7</f>
        <v/>
      </c>
      <c r="N3" s="29">
        <f>TIMELINE!N7</f>
        <v/>
      </c>
      <c r="O3" s="29">
        <f>TIMELINE!O7</f>
        <v/>
      </c>
      <c r="P3" s="29">
        <f>TIMELINE!P7</f>
        <v/>
      </c>
      <c r="Q3" s="29">
        <f>TIMELINE!Q7</f>
        <v/>
      </c>
      <c r="R3" s="29">
        <f>TIMELINE!R7</f>
        <v/>
      </c>
      <c r="S3" s="29">
        <f>TIMELINE!S7</f>
        <v/>
      </c>
      <c r="T3" s="29">
        <f>TIMELINE!T7</f>
        <v/>
      </c>
      <c r="U3" s="29">
        <f>TIMELINE!U7</f>
        <v/>
      </c>
      <c r="V3" s="29">
        <f>TIMELINE!V7</f>
        <v/>
      </c>
      <c r="W3" s="29">
        <f>TIMELINE!W7</f>
        <v/>
      </c>
      <c r="X3" s="29">
        <f>TIMELINE!X7</f>
        <v/>
      </c>
      <c r="Y3" s="29">
        <f>TIMELINE!Y7</f>
        <v/>
      </c>
      <c r="Z3" s="29">
        <f>TIMELINE!Z7</f>
        <v/>
      </c>
      <c r="AA3" s="29">
        <f>TIMELINE!AA7</f>
        <v/>
      </c>
      <c r="AB3" s="29">
        <f>TIMELINE!AB7</f>
        <v/>
      </c>
      <c r="AC3" s="29">
        <f>TIMELINE!AC7</f>
        <v/>
      </c>
      <c r="AD3" s="29">
        <f>TIMELINE!AD7</f>
        <v/>
      </c>
      <c r="AE3" s="29">
        <f>TIMELINE!AE7</f>
        <v/>
      </c>
      <c r="AF3" s="29">
        <f>TIMELINE!AF7</f>
        <v/>
      </c>
      <c r="AG3" s="29">
        <f>TIMELINE!AG7</f>
        <v/>
      </c>
      <c r="AH3" s="29">
        <f>TIMELINE!AH7</f>
        <v/>
      </c>
      <c r="AI3" s="29">
        <f>TIMELINE!AI7</f>
        <v/>
      </c>
      <c r="AJ3" s="29">
        <f>TIMELINE!AJ7</f>
        <v/>
      </c>
      <c r="AK3" s="29">
        <f>TIMELINE!AK7</f>
        <v/>
      </c>
      <c r="AL3" s="29">
        <f>TIMELINE!AL7</f>
        <v/>
      </c>
      <c r="AM3" s="29">
        <f>TIMELINE!AM7</f>
        <v/>
      </c>
      <c r="AN3" s="29">
        <f>TIMELINE!AN7</f>
        <v/>
      </c>
      <c r="AO3" s="29">
        <f>TIMELINE!AO7</f>
        <v/>
      </c>
      <c r="AP3" s="29">
        <f>TIMELINE!AP7</f>
        <v/>
      </c>
      <c r="AQ3" s="29">
        <f>TIMELINE!AQ7</f>
        <v/>
      </c>
      <c r="AR3" s="29">
        <f>TIMELINE!AR7</f>
        <v/>
      </c>
      <c r="AS3" s="29">
        <f>TIMELINE!AS7</f>
        <v/>
      </c>
      <c r="AT3" s="29">
        <f>TIMELINE!AT7</f>
        <v/>
      </c>
      <c r="AU3" s="29">
        <f>TIMELINE!AU7</f>
        <v/>
      </c>
      <c r="AV3" s="29">
        <f>TIMELINE!AV7</f>
        <v/>
      </c>
      <c r="AW3" s="29">
        <f>TIMELINE!AW7</f>
        <v/>
      </c>
      <c r="AX3" s="29">
        <f>TIMELINE!AX7</f>
        <v/>
      </c>
      <c r="AY3" s="29">
        <f>TIMELINE!AY7</f>
        <v/>
      </c>
      <c r="AZ3" s="29">
        <f>TIMELINE!AZ7</f>
        <v/>
      </c>
      <c r="BA3" s="29">
        <f>TIMELINE!BA7</f>
        <v/>
      </c>
      <c r="BB3" s="29">
        <f>TIMELINE!BB7</f>
        <v/>
      </c>
      <c r="BC3" s="29">
        <f>TIMELINE!BC7</f>
        <v/>
      </c>
      <c r="BD3" s="29">
        <f>TIMELINE!BD7</f>
        <v/>
      </c>
      <c r="BE3" s="29">
        <f>TIMELINE!BE7</f>
        <v/>
      </c>
      <c r="BF3" s="29">
        <f>TIMELINE!BF7</f>
        <v/>
      </c>
      <c r="BG3" s="29">
        <f>TIMELINE!BG7</f>
        <v/>
      </c>
      <c r="BH3" s="29">
        <f>TIMELINE!BH7</f>
        <v/>
      </c>
      <c r="BI3" s="29">
        <f>TIMELINE!BI7</f>
        <v/>
      </c>
      <c r="BJ3" s="29">
        <f>TIMELINE!BJ7</f>
        <v/>
      </c>
      <c r="BK3" s="29">
        <f>TIMELINE!BK7</f>
        <v/>
      </c>
      <c r="BL3" s="29">
        <f>TIMELINE!BL7</f>
        <v/>
      </c>
      <c r="BM3" s="29">
        <f>TIMELINE!BM7</f>
        <v/>
      </c>
      <c r="BN3" s="29">
        <f>TIMELINE!BN7</f>
        <v/>
      </c>
      <c r="BO3" s="29">
        <f>TIMELINE!BO7</f>
        <v/>
      </c>
      <c r="BP3" s="29">
        <f>TIMELINE!BP7</f>
        <v/>
      </c>
      <c r="BQ3" s="29">
        <f>TIMELINE!BQ7</f>
        <v/>
      </c>
      <c r="BR3" s="29">
        <f>TIMELINE!BR7</f>
        <v/>
      </c>
      <c r="BS3" s="29">
        <f>TIMELINE!BS7</f>
        <v/>
      </c>
      <c r="BT3" s="29">
        <f>TIMELINE!BT7</f>
        <v/>
      </c>
      <c r="BU3" s="29">
        <f>TIMELINE!BU7</f>
        <v/>
      </c>
      <c r="BV3" s="29">
        <f>TIMELINE!BV7</f>
        <v/>
      </c>
      <c r="BW3" s="29">
        <f>TIMELINE!BW7</f>
        <v/>
      </c>
      <c r="BX3" s="29">
        <f>TIMELINE!BX7</f>
        <v/>
      </c>
      <c r="BY3" s="29">
        <f>TIMELINE!BY7</f>
        <v/>
      </c>
      <c r="BZ3" s="29">
        <f>TIMELINE!BZ7</f>
        <v/>
      </c>
      <c r="CA3" s="29">
        <f>TIMELINE!CA7</f>
        <v/>
      </c>
      <c r="CB3" s="29">
        <f>TIMELINE!CB7</f>
        <v/>
      </c>
      <c r="CC3" s="29">
        <f>TIMELINE!CC7</f>
        <v/>
      </c>
      <c r="CD3" s="29">
        <f>TIMELINE!CD7</f>
        <v/>
      </c>
      <c r="CE3" s="29">
        <f>TIMELINE!CE7</f>
        <v/>
      </c>
      <c r="CF3" s="29">
        <f>TIMELINE!CF7</f>
        <v/>
      </c>
      <c r="CG3" s="29">
        <f>TIMELINE!CG7</f>
        <v/>
      </c>
      <c r="CH3" s="29">
        <f>TIMELINE!CH7</f>
        <v/>
      </c>
      <c r="CI3" s="29">
        <f>TIMELINE!CI7</f>
        <v/>
      </c>
      <c r="CJ3" s="29">
        <f>TIMELINE!CJ7</f>
        <v/>
      </c>
      <c r="CK3" s="29">
        <f>TIMELINE!CK7</f>
        <v/>
      </c>
      <c r="CL3" s="29">
        <f>TIMELINE!CL7</f>
        <v/>
      </c>
      <c r="CM3" s="29">
        <f>TIMELINE!CM7</f>
        <v/>
      </c>
      <c r="CN3" s="29">
        <f>TIMELINE!CN7</f>
        <v/>
      </c>
      <c r="CO3" s="29">
        <f>TIMELINE!CO7</f>
        <v/>
      </c>
      <c r="CP3" s="29">
        <f>TIMELINE!CP7</f>
        <v/>
      </c>
      <c r="CQ3" s="29">
        <f>TIMELINE!CQ7</f>
        <v/>
      </c>
      <c r="CR3" s="29">
        <f>TIMELINE!CR7</f>
        <v/>
      </c>
      <c r="CS3" s="29">
        <f>TIMELINE!CS7</f>
        <v/>
      </c>
      <c r="CT3" s="29">
        <f>TIMELINE!CT7</f>
        <v/>
      </c>
      <c r="CU3" s="29">
        <f>TIMELINE!CU7</f>
        <v/>
      </c>
      <c r="CV3" s="29">
        <f>TIMELINE!CV7</f>
        <v/>
      </c>
      <c r="CW3" s="29">
        <f>TIMELINE!CW7</f>
        <v/>
      </c>
      <c r="CX3" s="29">
        <f>TIMELINE!CX7</f>
        <v/>
      </c>
      <c r="CY3" s="29">
        <f>TIMELINE!CY7</f>
        <v/>
      </c>
      <c r="CZ3" s="29">
        <f>TIMELINE!CZ7</f>
        <v/>
      </c>
      <c r="DA3" s="29">
        <f>TIMELINE!DA7</f>
        <v/>
      </c>
      <c r="DB3" s="29">
        <f>TIMELINE!DB7</f>
        <v/>
      </c>
      <c r="DC3" s="29">
        <f>TIMELINE!DC7</f>
        <v/>
      </c>
      <c r="DD3" s="29">
        <f>TIMELINE!DD7</f>
        <v/>
      </c>
      <c r="DE3" s="29">
        <f>TIMELINE!DE7</f>
        <v/>
      </c>
      <c r="DF3" s="29">
        <f>TIMELINE!DF7</f>
        <v/>
      </c>
      <c r="DG3" s="29">
        <f>TIMELINE!DG7</f>
        <v/>
      </c>
      <c r="DH3" s="29">
        <f>TIMELINE!DH7</f>
        <v/>
      </c>
      <c r="DI3" s="29">
        <f>TIMELINE!DI7</f>
        <v/>
      </c>
      <c r="DJ3" s="29">
        <f>TIMELINE!DJ7</f>
        <v/>
      </c>
      <c r="DK3" s="29">
        <f>TIMELINE!DK7</f>
        <v/>
      </c>
      <c r="DL3" s="29">
        <f>TIMELINE!DL7</f>
        <v/>
      </c>
      <c r="DM3" s="29">
        <f>TIMELINE!DM7</f>
        <v/>
      </c>
      <c r="DN3" s="29">
        <f>TIMELINE!DN7</f>
        <v/>
      </c>
      <c r="DO3" s="29">
        <f>TIMELINE!DO7</f>
        <v/>
      </c>
      <c r="DP3" s="29">
        <f>TIMELINE!DP7</f>
        <v/>
      </c>
      <c r="DQ3" s="29">
        <f>TIMELINE!DQ7</f>
        <v/>
      </c>
    </row>
    <row r="4">
      <c r="A4" t="inlineStr">
        <is>
          <t>Net Revenue</t>
        </is>
      </c>
      <c r="B4" s="34">
        <f>Revenue!B9</f>
        <v/>
      </c>
      <c r="C4" s="34">
        <f>Revenue!C9</f>
        <v/>
      </c>
      <c r="D4" s="34">
        <f>Revenue!D9</f>
        <v/>
      </c>
      <c r="E4" s="34">
        <f>Revenue!E9</f>
        <v/>
      </c>
      <c r="F4" s="34">
        <f>Revenue!F9</f>
        <v/>
      </c>
      <c r="G4" s="34">
        <f>Revenue!G9</f>
        <v/>
      </c>
      <c r="H4" s="34">
        <f>Revenue!H9</f>
        <v/>
      </c>
      <c r="I4" s="34">
        <f>Revenue!I9</f>
        <v/>
      </c>
      <c r="J4" s="34">
        <f>Revenue!J9</f>
        <v/>
      </c>
      <c r="K4" s="34">
        <f>Revenue!K9</f>
        <v/>
      </c>
      <c r="L4" s="34">
        <f>Revenue!L9</f>
        <v/>
      </c>
      <c r="M4" s="34">
        <f>Revenue!M9</f>
        <v/>
      </c>
      <c r="N4" s="34">
        <f>Revenue!N9</f>
        <v/>
      </c>
      <c r="O4" s="34">
        <f>Revenue!O9</f>
        <v/>
      </c>
      <c r="P4" s="34">
        <f>Revenue!P9</f>
        <v/>
      </c>
      <c r="Q4" s="34">
        <f>Revenue!Q9</f>
        <v/>
      </c>
      <c r="R4" s="34">
        <f>Revenue!R9</f>
        <v/>
      </c>
      <c r="S4" s="34">
        <f>Revenue!S9</f>
        <v/>
      </c>
      <c r="T4" s="34">
        <f>Revenue!T9</f>
        <v/>
      </c>
      <c r="U4" s="34">
        <f>Revenue!U9</f>
        <v/>
      </c>
      <c r="V4" s="34">
        <f>Revenue!V9</f>
        <v/>
      </c>
      <c r="W4" s="34">
        <f>Revenue!W9</f>
        <v/>
      </c>
      <c r="X4" s="34">
        <f>Revenue!X9</f>
        <v/>
      </c>
      <c r="Y4" s="34">
        <f>Revenue!Y9</f>
        <v/>
      </c>
      <c r="Z4" s="34">
        <f>Revenue!Z9</f>
        <v/>
      </c>
      <c r="AA4" s="34">
        <f>Revenue!AA9</f>
        <v/>
      </c>
      <c r="AB4" s="34">
        <f>Revenue!AB9</f>
        <v/>
      </c>
      <c r="AC4" s="34">
        <f>Revenue!AC9</f>
        <v/>
      </c>
      <c r="AD4" s="34">
        <f>Revenue!AD9</f>
        <v/>
      </c>
      <c r="AE4" s="34">
        <f>Revenue!AE9</f>
        <v/>
      </c>
      <c r="AF4" s="34">
        <f>Revenue!AF9</f>
        <v/>
      </c>
      <c r="AG4" s="34">
        <f>Revenue!AG9</f>
        <v/>
      </c>
      <c r="AH4" s="34">
        <f>Revenue!AH9</f>
        <v/>
      </c>
      <c r="AI4" s="34">
        <f>Revenue!AI9</f>
        <v/>
      </c>
      <c r="AJ4" s="34">
        <f>Revenue!AJ9</f>
        <v/>
      </c>
      <c r="AK4" s="34">
        <f>Revenue!AK9</f>
        <v/>
      </c>
      <c r="AL4" s="34">
        <f>Revenue!AL9</f>
        <v/>
      </c>
      <c r="AM4" s="34">
        <f>Revenue!AM9</f>
        <v/>
      </c>
      <c r="AN4" s="34">
        <f>Revenue!AN9</f>
        <v/>
      </c>
      <c r="AO4" s="34">
        <f>Revenue!AO9</f>
        <v/>
      </c>
      <c r="AP4" s="34">
        <f>Revenue!AP9</f>
        <v/>
      </c>
      <c r="AQ4" s="34">
        <f>Revenue!AQ9</f>
        <v/>
      </c>
      <c r="AR4" s="34">
        <f>Revenue!AR9</f>
        <v/>
      </c>
      <c r="AS4" s="34">
        <f>Revenue!AS9</f>
        <v/>
      </c>
      <c r="AT4" s="34">
        <f>Revenue!AT9</f>
        <v/>
      </c>
      <c r="AU4" s="34">
        <f>Revenue!AU9</f>
        <v/>
      </c>
      <c r="AV4" s="34">
        <f>Revenue!AV9</f>
        <v/>
      </c>
      <c r="AW4" s="34">
        <f>Revenue!AW9</f>
        <v/>
      </c>
      <c r="AX4" s="34">
        <f>Revenue!AX9</f>
        <v/>
      </c>
      <c r="AY4" s="34">
        <f>Revenue!AY9</f>
        <v/>
      </c>
      <c r="AZ4" s="34">
        <f>Revenue!AZ9</f>
        <v/>
      </c>
      <c r="BA4" s="34">
        <f>Revenue!BA9</f>
        <v/>
      </c>
      <c r="BB4" s="34">
        <f>Revenue!BB9</f>
        <v/>
      </c>
      <c r="BC4" s="34">
        <f>Revenue!BC9</f>
        <v/>
      </c>
      <c r="BD4" s="34">
        <f>Revenue!BD9</f>
        <v/>
      </c>
      <c r="BE4" s="34">
        <f>Revenue!BE9</f>
        <v/>
      </c>
      <c r="BF4" s="34">
        <f>Revenue!BF9</f>
        <v/>
      </c>
      <c r="BG4" s="34">
        <f>Revenue!BG9</f>
        <v/>
      </c>
      <c r="BH4" s="34">
        <f>Revenue!BH9</f>
        <v/>
      </c>
      <c r="BI4" s="34">
        <f>Revenue!BI9</f>
        <v/>
      </c>
      <c r="BJ4" s="34">
        <f>Revenue!BJ9</f>
        <v/>
      </c>
      <c r="BK4" s="34">
        <f>Revenue!BK9</f>
        <v/>
      </c>
      <c r="BL4" s="34">
        <f>Revenue!BL9</f>
        <v/>
      </c>
      <c r="BM4" s="34">
        <f>Revenue!BM9</f>
        <v/>
      </c>
      <c r="BN4" s="34">
        <f>Revenue!BN9</f>
        <v/>
      </c>
      <c r="BO4" s="34">
        <f>Revenue!BO9</f>
        <v/>
      </c>
      <c r="BP4" s="34">
        <f>Revenue!BP9</f>
        <v/>
      </c>
      <c r="BQ4" s="34">
        <f>Revenue!BQ9</f>
        <v/>
      </c>
      <c r="BR4" s="34">
        <f>Revenue!BR9</f>
        <v/>
      </c>
      <c r="BS4" s="34">
        <f>Revenue!BS9</f>
        <v/>
      </c>
      <c r="BT4" s="34">
        <f>Revenue!BT9</f>
        <v/>
      </c>
      <c r="BU4" s="34">
        <f>Revenue!BU9</f>
        <v/>
      </c>
      <c r="BV4" s="34">
        <f>Revenue!BV9</f>
        <v/>
      </c>
      <c r="BW4" s="34">
        <f>Revenue!BW9</f>
        <v/>
      </c>
      <c r="BX4" s="34">
        <f>Revenue!BX9</f>
        <v/>
      </c>
      <c r="BY4" s="34">
        <f>Revenue!BY9</f>
        <v/>
      </c>
      <c r="BZ4" s="34">
        <f>Revenue!BZ9</f>
        <v/>
      </c>
      <c r="CA4" s="34">
        <f>Revenue!CA9</f>
        <v/>
      </c>
      <c r="CB4" s="34">
        <f>Revenue!CB9</f>
        <v/>
      </c>
      <c r="CC4" s="34">
        <f>Revenue!CC9</f>
        <v/>
      </c>
      <c r="CD4" s="34">
        <f>Revenue!CD9</f>
        <v/>
      </c>
      <c r="CE4" s="34">
        <f>Revenue!CE9</f>
        <v/>
      </c>
      <c r="CF4" s="34">
        <f>Revenue!CF9</f>
        <v/>
      </c>
      <c r="CG4" s="34">
        <f>Revenue!CG9</f>
        <v/>
      </c>
      <c r="CH4" s="34">
        <f>Revenue!CH9</f>
        <v/>
      </c>
      <c r="CI4" s="34">
        <f>Revenue!CI9</f>
        <v/>
      </c>
      <c r="CJ4" s="34">
        <f>Revenue!CJ9</f>
        <v/>
      </c>
      <c r="CK4" s="34">
        <f>Revenue!CK9</f>
        <v/>
      </c>
      <c r="CL4" s="34">
        <f>Revenue!CL9</f>
        <v/>
      </c>
      <c r="CM4" s="34">
        <f>Revenue!CM9</f>
        <v/>
      </c>
      <c r="CN4" s="34">
        <f>Revenue!CN9</f>
        <v/>
      </c>
      <c r="CO4" s="34">
        <f>Revenue!CO9</f>
        <v/>
      </c>
      <c r="CP4" s="34">
        <f>Revenue!CP9</f>
        <v/>
      </c>
      <c r="CQ4" s="34">
        <f>Revenue!CQ9</f>
        <v/>
      </c>
      <c r="CR4" s="34">
        <f>Revenue!CR9</f>
        <v/>
      </c>
      <c r="CS4" s="34">
        <f>Revenue!CS9</f>
        <v/>
      </c>
      <c r="CT4" s="34">
        <f>Revenue!CT9</f>
        <v/>
      </c>
      <c r="CU4" s="34">
        <f>Revenue!CU9</f>
        <v/>
      </c>
      <c r="CV4" s="34">
        <f>Revenue!CV9</f>
        <v/>
      </c>
      <c r="CW4" s="34">
        <f>Revenue!CW9</f>
        <v/>
      </c>
      <c r="CX4" s="34">
        <f>Revenue!CX9</f>
        <v/>
      </c>
      <c r="CY4" s="34">
        <f>Revenue!CY9</f>
        <v/>
      </c>
      <c r="CZ4" s="34">
        <f>Revenue!CZ9</f>
        <v/>
      </c>
      <c r="DA4" s="34">
        <f>Revenue!DA9</f>
        <v/>
      </c>
      <c r="DB4" s="34">
        <f>Revenue!DB9</f>
        <v/>
      </c>
      <c r="DC4" s="34">
        <f>Revenue!DC9</f>
        <v/>
      </c>
      <c r="DD4" s="34">
        <f>Revenue!DD9</f>
        <v/>
      </c>
      <c r="DE4" s="34">
        <f>Revenue!DE9</f>
        <v/>
      </c>
      <c r="DF4" s="34">
        <f>Revenue!DF9</f>
        <v/>
      </c>
      <c r="DG4" s="34">
        <f>Revenue!DG9</f>
        <v/>
      </c>
      <c r="DH4" s="34">
        <f>Revenue!DH9</f>
        <v/>
      </c>
      <c r="DI4" s="34">
        <f>Revenue!DI9</f>
        <v/>
      </c>
      <c r="DJ4" s="34">
        <f>Revenue!DJ9</f>
        <v/>
      </c>
      <c r="DK4" s="34">
        <f>Revenue!DK9</f>
        <v/>
      </c>
      <c r="DL4" s="34">
        <f>Revenue!DL9</f>
        <v/>
      </c>
      <c r="DM4" s="34">
        <f>Revenue!DM9</f>
        <v/>
      </c>
      <c r="DN4" s="34">
        <f>Revenue!DN9</f>
        <v/>
      </c>
      <c r="DO4" s="34">
        <f>Revenue!DO9</f>
        <v/>
      </c>
      <c r="DP4" s="34">
        <f>Revenue!DP9</f>
        <v/>
      </c>
      <c r="DQ4" s="34">
        <f>Revenue!DQ9</f>
        <v/>
      </c>
    </row>
    <row r="5">
      <c r="A5" t="inlineStr">
        <is>
          <t>Cost of Goods Sold</t>
        </is>
      </c>
      <c r="B5" s="34">
        <f>-COGS_Summary!B17</f>
        <v/>
      </c>
      <c r="C5" s="34">
        <f>-COGS_Summary!C17</f>
        <v/>
      </c>
      <c r="D5" s="34">
        <f>-COGS_Summary!D17</f>
        <v/>
      </c>
      <c r="E5" s="34">
        <f>-COGS_Summary!E17</f>
        <v/>
      </c>
      <c r="F5" s="34">
        <f>-COGS_Summary!F17</f>
        <v/>
      </c>
      <c r="G5" s="34">
        <f>-COGS_Summary!G17</f>
        <v/>
      </c>
      <c r="H5" s="34">
        <f>-COGS_Summary!H17</f>
        <v/>
      </c>
      <c r="I5" s="34">
        <f>-COGS_Summary!I17</f>
        <v/>
      </c>
      <c r="J5" s="34">
        <f>-COGS_Summary!J17</f>
        <v/>
      </c>
      <c r="K5" s="34">
        <f>-COGS_Summary!K17</f>
        <v/>
      </c>
      <c r="L5" s="34">
        <f>-COGS_Summary!L17</f>
        <v/>
      </c>
      <c r="M5" s="34">
        <f>-COGS_Summary!M17</f>
        <v/>
      </c>
      <c r="N5" s="34">
        <f>-COGS_Summary!N17</f>
        <v/>
      </c>
      <c r="O5" s="34">
        <f>-COGS_Summary!O17</f>
        <v/>
      </c>
      <c r="P5" s="34">
        <f>-COGS_Summary!P17</f>
        <v/>
      </c>
      <c r="Q5" s="34">
        <f>-COGS_Summary!Q17</f>
        <v/>
      </c>
      <c r="R5" s="34">
        <f>-COGS_Summary!R17</f>
        <v/>
      </c>
      <c r="S5" s="34">
        <f>-COGS_Summary!S17</f>
        <v/>
      </c>
      <c r="T5" s="34">
        <f>-COGS_Summary!T17</f>
        <v/>
      </c>
      <c r="U5" s="34">
        <f>-COGS_Summary!U17</f>
        <v/>
      </c>
      <c r="V5" s="34">
        <f>-COGS_Summary!V17</f>
        <v/>
      </c>
      <c r="W5" s="34">
        <f>-COGS_Summary!W17</f>
        <v/>
      </c>
      <c r="X5" s="34">
        <f>-COGS_Summary!X17</f>
        <v/>
      </c>
      <c r="Y5" s="34">
        <f>-COGS_Summary!Y17</f>
        <v/>
      </c>
      <c r="Z5" s="34">
        <f>-COGS_Summary!Z17</f>
        <v/>
      </c>
      <c r="AA5" s="34">
        <f>-COGS_Summary!AA17</f>
        <v/>
      </c>
      <c r="AB5" s="34">
        <f>-COGS_Summary!AB17</f>
        <v/>
      </c>
      <c r="AC5" s="34">
        <f>-COGS_Summary!AC17</f>
        <v/>
      </c>
      <c r="AD5" s="34">
        <f>-COGS_Summary!AD17</f>
        <v/>
      </c>
      <c r="AE5" s="34">
        <f>-COGS_Summary!AE17</f>
        <v/>
      </c>
      <c r="AF5" s="34">
        <f>-COGS_Summary!AF17</f>
        <v/>
      </c>
      <c r="AG5" s="34">
        <f>-COGS_Summary!AG17</f>
        <v/>
      </c>
      <c r="AH5" s="34">
        <f>-COGS_Summary!AH17</f>
        <v/>
      </c>
      <c r="AI5" s="34">
        <f>-COGS_Summary!AI17</f>
        <v/>
      </c>
      <c r="AJ5" s="34">
        <f>-COGS_Summary!AJ17</f>
        <v/>
      </c>
      <c r="AK5" s="34">
        <f>-COGS_Summary!AK17</f>
        <v/>
      </c>
      <c r="AL5" s="34">
        <f>-COGS_Summary!AL17</f>
        <v/>
      </c>
      <c r="AM5" s="34">
        <f>-COGS_Summary!AM17</f>
        <v/>
      </c>
      <c r="AN5" s="34">
        <f>-COGS_Summary!AN17</f>
        <v/>
      </c>
      <c r="AO5" s="34">
        <f>-COGS_Summary!AO17</f>
        <v/>
      </c>
      <c r="AP5" s="34">
        <f>-COGS_Summary!AP17</f>
        <v/>
      </c>
      <c r="AQ5" s="34">
        <f>-COGS_Summary!AQ17</f>
        <v/>
      </c>
      <c r="AR5" s="34">
        <f>-COGS_Summary!AR17</f>
        <v/>
      </c>
      <c r="AS5" s="34">
        <f>-COGS_Summary!AS17</f>
        <v/>
      </c>
      <c r="AT5" s="34">
        <f>-COGS_Summary!AT17</f>
        <v/>
      </c>
      <c r="AU5" s="34">
        <f>-COGS_Summary!AU17</f>
        <v/>
      </c>
      <c r="AV5" s="34">
        <f>-COGS_Summary!AV17</f>
        <v/>
      </c>
      <c r="AW5" s="34">
        <f>-COGS_Summary!AW17</f>
        <v/>
      </c>
      <c r="AX5" s="34">
        <f>-COGS_Summary!AX17</f>
        <v/>
      </c>
      <c r="AY5" s="34">
        <f>-COGS_Summary!AY17</f>
        <v/>
      </c>
      <c r="AZ5" s="34">
        <f>-COGS_Summary!AZ17</f>
        <v/>
      </c>
      <c r="BA5" s="34">
        <f>-COGS_Summary!BA17</f>
        <v/>
      </c>
      <c r="BB5" s="34">
        <f>-COGS_Summary!BB17</f>
        <v/>
      </c>
      <c r="BC5" s="34">
        <f>-COGS_Summary!BC17</f>
        <v/>
      </c>
      <c r="BD5" s="34">
        <f>-COGS_Summary!BD17</f>
        <v/>
      </c>
      <c r="BE5" s="34">
        <f>-COGS_Summary!BE17</f>
        <v/>
      </c>
      <c r="BF5" s="34">
        <f>-COGS_Summary!BF17</f>
        <v/>
      </c>
      <c r="BG5" s="34">
        <f>-COGS_Summary!BG17</f>
        <v/>
      </c>
      <c r="BH5" s="34">
        <f>-COGS_Summary!BH17</f>
        <v/>
      </c>
      <c r="BI5" s="34">
        <f>-COGS_Summary!BI17</f>
        <v/>
      </c>
      <c r="BJ5" s="34">
        <f>-COGS_Summary!BJ17</f>
        <v/>
      </c>
      <c r="BK5" s="34">
        <f>-COGS_Summary!BK17</f>
        <v/>
      </c>
      <c r="BL5" s="34">
        <f>-COGS_Summary!BL17</f>
        <v/>
      </c>
      <c r="BM5" s="34">
        <f>-COGS_Summary!BM17</f>
        <v/>
      </c>
      <c r="BN5" s="34">
        <f>-COGS_Summary!BN17</f>
        <v/>
      </c>
      <c r="BO5" s="34">
        <f>-COGS_Summary!BO17</f>
        <v/>
      </c>
      <c r="BP5" s="34">
        <f>-COGS_Summary!BP17</f>
        <v/>
      </c>
      <c r="BQ5" s="34">
        <f>-COGS_Summary!BQ17</f>
        <v/>
      </c>
      <c r="BR5" s="34">
        <f>-COGS_Summary!BR17</f>
        <v/>
      </c>
      <c r="BS5" s="34">
        <f>-COGS_Summary!BS17</f>
        <v/>
      </c>
      <c r="BT5" s="34">
        <f>-COGS_Summary!BT17</f>
        <v/>
      </c>
      <c r="BU5" s="34">
        <f>-COGS_Summary!BU17</f>
        <v/>
      </c>
      <c r="BV5" s="34">
        <f>-COGS_Summary!BV17</f>
        <v/>
      </c>
      <c r="BW5" s="34">
        <f>-COGS_Summary!BW17</f>
        <v/>
      </c>
      <c r="BX5" s="34">
        <f>-COGS_Summary!BX17</f>
        <v/>
      </c>
      <c r="BY5" s="34">
        <f>-COGS_Summary!BY17</f>
        <v/>
      </c>
      <c r="BZ5" s="34">
        <f>-COGS_Summary!BZ17</f>
        <v/>
      </c>
      <c r="CA5" s="34">
        <f>-COGS_Summary!CA17</f>
        <v/>
      </c>
      <c r="CB5" s="34">
        <f>-COGS_Summary!CB17</f>
        <v/>
      </c>
      <c r="CC5" s="34">
        <f>-COGS_Summary!CC17</f>
        <v/>
      </c>
      <c r="CD5" s="34">
        <f>-COGS_Summary!CD17</f>
        <v/>
      </c>
      <c r="CE5" s="34">
        <f>-COGS_Summary!CE17</f>
        <v/>
      </c>
      <c r="CF5" s="34">
        <f>-COGS_Summary!CF17</f>
        <v/>
      </c>
      <c r="CG5" s="34">
        <f>-COGS_Summary!CG17</f>
        <v/>
      </c>
      <c r="CH5" s="34">
        <f>-COGS_Summary!CH17</f>
        <v/>
      </c>
      <c r="CI5" s="34">
        <f>-COGS_Summary!CI17</f>
        <v/>
      </c>
      <c r="CJ5" s="34">
        <f>-COGS_Summary!CJ17</f>
        <v/>
      </c>
      <c r="CK5" s="34">
        <f>-COGS_Summary!CK17</f>
        <v/>
      </c>
      <c r="CL5" s="34">
        <f>-COGS_Summary!CL17</f>
        <v/>
      </c>
      <c r="CM5" s="34">
        <f>-COGS_Summary!CM17</f>
        <v/>
      </c>
      <c r="CN5" s="34">
        <f>-COGS_Summary!CN17</f>
        <v/>
      </c>
      <c r="CO5" s="34">
        <f>-COGS_Summary!CO17</f>
        <v/>
      </c>
      <c r="CP5" s="34">
        <f>-COGS_Summary!CP17</f>
        <v/>
      </c>
      <c r="CQ5" s="34">
        <f>-COGS_Summary!CQ17</f>
        <v/>
      </c>
      <c r="CR5" s="34">
        <f>-COGS_Summary!CR17</f>
        <v/>
      </c>
      <c r="CS5" s="34">
        <f>-COGS_Summary!CS17</f>
        <v/>
      </c>
      <c r="CT5" s="34">
        <f>-COGS_Summary!CT17</f>
        <v/>
      </c>
      <c r="CU5" s="34">
        <f>-COGS_Summary!CU17</f>
        <v/>
      </c>
      <c r="CV5" s="34">
        <f>-COGS_Summary!CV17</f>
        <v/>
      </c>
      <c r="CW5" s="34">
        <f>-COGS_Summary!CW17</f>
        <v/>
      </c>
      <c r="CX5" s="34">
        <f>-COGS_Summary!CX17</f>
        <v/>
      </c>
      <c r="CY5" s="34">
        <f>-COGS_Summary!CY17</f>
        <v/>
      </c>
      <c r="CZ5" s="34">
        <f>-COGS_Summary!CZ17</f>
        <v/>
      </c>
      <c r="DA5" s="34">
        <f>-COGS_Summary!DA17</f>
        <v/>
      </c>
      <c r="DB5" s="34">
        <f>-COGS_Summary!DB17</f>
        <v/>
      </c>
      <c r="DC5" s="34">
        <f>-COGS_Summary!DC17</f>
        <v/>
      </c>
      <c r="DD5" s="34">
        <f>-COGS_Summary!DD17</f>
        <v/>
      </c>
      <c r="DE5" s="34">
        <f>-COGS_Summary!DE17</f>
        <v/>
      </c>
      <c r="DF5" s="34">
        <f>-COGS_Summary!DF17</f>
        <v/>
      </c>
      <c r="DG5" s="34">
        <f>-COGS_Summary!DG17</f>
        <v/>
      </c>
      <c r="DH5" s="34">
        <f>-COGS_Summary!DH17</f>
        <v/>
      </c>
      <c r="DI5" s="34">
        <f>-COGS_Summary!DI17</f>
        <v/>
      </c>
      <c r="DJ5" s="34">
        <f>-COGS_Summary!DJ17</f>
        <v/>
      </c>
      <c r="DK5" s="34">
        <f>-COGS_Summary!DK17</f>
        <v/>
      </c>
      <c r="DL5" s="34">
        <f>-COGS_Summary!DL17</f>
        <v/>
      </c>
      <c r="DM5" s="34">
        <f>-COGS_Summary!DM17</f>
        <v/>
      </c>
      <c r="DN5" s="34">
        <f>-COGS_Summary!DN17</f>
        <v/>
      </c>
      <c r="DO5" s="34">
        <f>-COGS_Summary!DO17</f>
        <v/>
      </c>
      <c r="DP5" s="34">
        <f>-COGS_Summary!DP17</f>
        <v/>
      </c>
      <c r="DQ5" s="34">
        <f>-COGS_Summary!DQ17</f>
        <v/>
      </c>
    </row>
    <row r="6">
      <c r="A6" s="3" t="inlineStr">
        <is>
          <t>GROSS PROFIT</t>
        </is>
      </c>
      <c r="B6" s="35">
        <f>B4+B5</f>
        <v/>
      </c>
      <c r="C6" s="35">
        <f>C4+C5</f>
        <v/>
      </c>
      <c r="D6" s="35">
        <f>D4+D5</f>
        <v/>
      </c>
      <c r="E6" s="35">
        <f>E4+E5</f>
        <v/>
      </c>
      <c r="F6" s="35">
        <f>F4+F5</f>
        <v/>
      </c>
      <c r="G6" s="35">
        <f>G4+G5</f>
        <v/>
      </c>
      <c r="H6" s="35">
        <f>H4+H5</f>
        <v/>
      </c>
      <c r="I6" s="35">
        <f>I4+I5</f>
        <v/>
      </c>
      <c r="J6" s="35">
        <f>J4+J5</f>
        <v/>
      </c>
      <c r="K6" s="35">
        <f>K4+K5</f>
        <v/>
      </c>
      <c r="L6" s="35">
        <f>L4+L5</f>
        <v/>
      </c>
      <c r="M6" s="35">
        <f>M4+M5</f>
        <v/>
      </c>
      <c r="N6" s="35">
        <f>N4+N5</f>
        <v/>
      </c>
      <c r="O6" s="35">
        <f>O4+O5</f>
        <v/>
      </c>
      <c r="P6" s="35">
        <f>P4+P5</f>
        <v/>
      </c>
      <c r="Q6" s="35">
        <f>Q4+Q5</f>
        <v/>
      </c>
      <c r="R6" s="35">
        <f>R4+R5</f>
        <v/>
      </c>
      <c r="S6" s="35">
        <f>S4+S5</f>
        <v/>
      </c>
      <c r="T6" s="35">
        <f>T4+T5</f>
        <v/>
      </c>
      <c r="U6" s="35">
        <f>U4+U5</f>
        <v/>
      </c>
      <c r="V6" s="35">
        <f>V4+V5</f>
        <v/>
      </c>
      <c r="W6" s="35">
        <f>W4+W5</f>
        <v/>
      </c>
      <c r="X6" s="35">
        <f>X4+X5</f>
        <v/>
      </c>
      <c r="Y6" s="35">
        <f>Y4+Y5</f>
        <v/>
      </c>
      <c r="Z6" s="35">
        <f>Z4+Z5</f>
        <v/>
      </c>
      <c r="AA6" s="35">
        <f>AA4+AA5</f>
        <v/>
      </c>
      <c r="AB6" s="35">
        <f>AB4+AB5</f>
        <v/>
      </c>
      <c r="AC6" s="35">
        <f>AC4+AC5</f>
        <v/>
      </c>
      <c r="AD6" s="35">
        <f>AD4+AD5</f>
        <v/>
      </c>
      <c r="AE6" s="35">
        <f>AE4+AE5</f>
        <v/>
      </c>
      <c r="AF6" s="35">
        <f>AF4+AF5</f>
        <v/>
      </c>
      <c r="AG6" s="35">
        <f>AG4+AG5</f>
        <v/>
      </c>
      <c r="AH6" s="35">
        <f>AH4+AH5</f>
        <v/>
      </c>
      <c r="AI6" s="35">
        <f>AI4+AI5</f>
        <v/>
      </c>
      <c r="AJ6" s="35">
        <f>AJ4+AJ5</f>
        <v/>
      </c>
      <c r="AK6" s="35">
        <f>AK4+AK5</f>
        <v/>
      </c>
      <c r="AL6" s="35">
        <f>AL4+AL5</f>
        <v/>
      </c>
      <c r="AM6" s="35">
        <f>AM4+AM5</f>
        <v/>
      </c>
      <c r="AN6" s="35">
        <f>AN4+AN5</f>
        <v/>
      </c>
      <c r="AO6" s="35">
        <f>AO4+AO5</f>
        <v/>
      </c>
      <c r="AP6" s="35">
        <f>AP4+AP5</f>
        <v/>
      </c>
      <c r="AQ6" s="35">
        <f>AQ4+AQ5</f>
        <v/>
      </c>
      <c r="AR6" s="35">
        <f>AR4+AR5</f>
        <v/>
      </c>
      <c r="AS6" s="35">
        <f>AS4+AS5</f>
        <v/>
      </c>
      <c r="AT6" s="35">
        <f>AT4+AT5</f>
        <v/>
      </c>
      <c r="AU6" s="35">
        <f>AU4+AU5</f>
        <v/>
      </c>
      <c r="AV6" s="35">
        <f>AV4+AV5</f>
        <v/>
      </c>
      <c r="AW6" s="35">
        <f>AW4+AW5</f>
        <v/>
      </c>
      <c r="AX6" s="35">
        <f>AX4+AX5</f>
        <v/>
      </c>
      <c r="AY6" s="35">
        <f>AY4+AY5</f>
        <v/>
      </c>
      <c r="AZ6" s="35">
        <f>AZ4+AZ5</f>
        <v/>
      </c>
      <c r="BA6" s="35">
        <f>BA4+BA5</f>
        <v/>
      </c>
      <c r="BB6" s="35">
        <f>BB4+BB5</f>
        <v/>
      </c>
      <c r="BC6" s="35">
        <f>BC4+BC5</f>
        <v/>
      </c>
      <c r="BD6" s="35">
        <f>BD4+BD5</f>
        <v/>
      </c>
      <c r="BE6" s="35">
        <f>BE4+BE5</f>
        <v/>
      </c>
      <c r="BF6" s="35">
        <f>BF4+BF5</f>
        <v/>
      </c>
      <c r="BG6" s="35">
        <f>BG4+BG5</f>
        <v/>
      </c>
      <c r="BH6" s="35">
        <f>BH4+BH5</f>
        <v/>
      </c>
      <c r="BI6" s="35">
        <f>BI4+BI5</f>
        <v/>
      </c>
      <c r="BJ6" s="35">
        <f>BJ4+BJ5</f>
        <v/>
      </c>
      <c r="BK6" s="35">
        <f>BK4+BK5</f>
        <v/>
      </c>
      <c r="BL6" s="35">
        <f>BL4+BL5</f>
        <v/>
      </c>
      <c r="BM6" s="35">
        <f>BM4+BM5</f>
        <v/>
      </c>
      <c r="BN6" s="35">
        <f>BN4+BN5</f>
        <v/>
      </c>
      <c r="BO6" s="35">
        <f>BO4+BO5</f>
        <v/>
      </c>
      <c r="BP6" s="35">
        <f>BP4+BP5</f>
        <v/>
      </c>
      <c r="BQ6" s="35">
        <f>BQ4+BQ5</f>
        <v/>
      </c>
      <c r="BR6" s="35">
        <f>BR4+BR5</f>
        <v/>
      </c>
      <c r="BS6" s="35">
        <f>BS4+BS5</f>
        <v/>
      </c>
      <c r="BT6" s="35">
        <f>BT4+BT5</f>
        <v/>
      </c>
      <c r="BU6" s="35">
        <f>BU4+BU5</f>
        <v/>
      </c>
      <c r="BV6" s="35">
        <f>BV4+BV5</f>
        <v/>
      </c>
      <c r="BW6" s="35">
        <f>BW4+BW5</f>
        <v/>
      </c>
      <c r="BX6" s="35">
        <f>BX4+BX5</f>
        <v/>
      </c>
      <c r="BY6" s="35">
        <f>BY4+BY5</f>
        <v/>
      </c>
      <c r="BZ6" s="35">
        <f>BZ4+BZ5</f>
        <v/>
      </c>
      <c r="CA6" s="35">
        <f>CA4+CA5</f>
        <v/>
      </c>
      <c r="CB6" s="35">
        <f>CB4+CB5</f>
        <v/>
      </c>
      <c r="CC6" s="35">
        <f>CC4+CC5</f>
        <v/>
      </c>
      <c r="CD6" s="35">
        <f>CD4+CD5</f>
        <v/>
      </c>
      <c r="CE6" s="35">
        <f>CE4+CE5</f>
        <v/>
      </c>
      <c r="CF6" s="35">
        <f>CF4+CF5</f>
        <v/>
      </c>
      <c r="CG6" s="35">
        <f>CG4+CG5</f>
        <v/>
      </c>
      <c r="CH6" s="35">
        <f>CH4+CH5</f>
        <v/>
      </c>
      <c r="CI6" s="35">
        <f>CI4+CI5</f>
        <v/>
      </c>
      <c r="CJ6" s="35">
        <f>CJ4+CJ5</f>
        <v/>
      </c>
      <c r="CK6" s="35">
        <f>CK4+CK5</f>
        <v/>
      </c>
      <c r="CL6" s="35">
        <f>CL4+CL5</f>
        <v/>
      </c>
      <c r="CM6" s="35">
        <f>CM4+CM5</f>
        <v/>
      </c>
      <c r="CN6" s="35">
        <f>CN4+CN5</f>
        <v/>
      </c>
      <c r="CO6" s="35">
        <f>CO4+CO5</f>
        <v/>
      </c>
      <c r="CP6" s="35">
        <f>CP4+CP5</f>
        <v/>
      </c>
      <c r="CQ6" s="35">
        <f>CQ4+CQ5</f>
        <v/>
      </c>
      <c r="CR6" s="35">
        <f>CR4+CR5</f>
        <v/>
      </c>
      <c r="CS6" s="35">
        <f>CS4+CS5</f>
        <v/>
      </c>
      <c r="CT6" s="35">
        <f>CT4+CT5</f>
        <v/>
      </c>
      <c r="CU6" s="35">
        <f>CU4+CU5</f>
        <v/>
      </c>
      <c r="CV6" s="35">
        <f>CV4+CV5</f>
        <v/>
      </c>
      <c r="CW6" s="35">
        <f>CW4+CW5</f>
        <v/>
      </c>
      <c r="CX6" s="35">
        <f>CX4+CX5</f>
        <v/>
      </c>
      <c r="CY6" s="35">
        <f>CY4+CY5</f>
        <v/>
      </c>
      <c r="CZ6" s="35">
        <f>CZ4+CZ5</f>
        <v/>
      </c>
      <c r="DA6" s="35">
        <f>DA4+DA5</f>
        <v/>
      </c>
      <c r="DB6" s="35">
        <f>DB4+DB5</f>
        <v/>
      </c>
      <c r="DC6" s="35">
        <f>DC4+DC5</f>
        <v/>
      </c>
      <c r="DD6" s="35">
        <f>DD4+DD5</f>
        <v/>
      </c>
      <c r="DE6" s="35">
        <f>DE4+DE5</f>
        <v/>
      </c>
      <c r="DF6" s="35">
        <f>DF4+DF5</f>
        <v/>
      </c>
      <c r="DG6" s="35">
        <f>DG4+DG5</f>
        <v/>
      </c>
      <c r="DH6" s="35">
        <f>DH4+DH5</f>
        <v/>
      </c>
      <c r="DI6" s="35">
        <f>DI4+DI5</f>
        <v/>
      </c>
      <c r="DJ6" s="35">
        <f>DJ4+DJ5</f>
        <v/>
      </c>
      <c r="DK6" s="35">
        <f>DK4+DK5</f>
        <v/>
      </c>
      <c r="DL6" s="35">
        <f>DL4+DL5</f>
        <v/>
      </c>
      <c r="DM6" s="35">
        <f>DM4+DM5</f>
        <v/>
      </c>
      <c r="DN6" s="35">
        <f>DN4+DN5</f>
        <v/>
      </c>
      <c r="DO6" s="35">
        <f>DO4+DO5</f>
        <v/>
      </c>
      <c r="DP6" s="35">
        <f>DP4+DP5</f>
        <v/>
      </c>
      <c r="DQ6" s="35">
        <f>DQ4+DQ5</f>
        <v/>
      </c>
    </row>
    <row r="7">
      <c r="A7" t="inlineStr">
        <is>
          <t>Gross Margin %</t>
        </is>
      </c>
      <c r="B7" s="30">
        <f>B6/B4</f>
        <v/>
      </c>
      <c r="C7" s="30">
        <f>C6/C4</f>
        <v/>
      </c>
      <c r="D7" s="30">
        <f>D6/D4</f>
        <v/>
      </c>
      <c r="E7" s="30">
        <f>E6/E4</f>
        <v/>
      </c>
      <c r="F7" s="30">
        <f>F6/F4</f>
        <v/>
      </c>
      <c r="G7" s="30">
        <f>G6/G4</f>
        <v/>
      </c>
      <c r="H7" s="30">
        <f>H6/H4</f>
        <v/>
      </c>
      <c r="I7" s="30">
        <f>I6/I4</f>
        <v/>
      </c>
      <c r="J7" s="30">
        <f>J6/J4</f>
        <v/>
      </c>
      <c r="K7" s="30">
        <f>K6/K4</f>
        <v/>
      </c>
      <c r="L7" s="30">
        <f>L6/L4</f>
        <v/>
      </c>
      <c r="M7" s="30">
        <f>M6/M4</f>
        <v/>
      </c>
      <c r="N7" s="30">
        <f>N6/N4</f>
        <v/>
      </c>
      <c r="O7" s="30">
        <f>O6/O4</f>
        <v/>
      </c>
      <c r="P7" s="30">
        <f>P6/P4</f>
        <v/>
      </c>
      <c r="Q7" s="30">
        <f>Q6/Q4</f>
        <v/>
      </c>
      <c r="R7" s="30">
        <f>R6/R4</f>
        <v/>
      </c>
      <c r="S7" s="30">
        <f>S6/S4</f>
        <v/>
      </c>
      <c r="T7" s="30">
        <f>T6/T4</f>
        <v/>
      </c>
      <c r="U7" s="30">
        <f>U6/U4</f>
        <v/>
      </c>
      <c r="V7" s="30">
        <f>V6/V4</f>
        <v/>
      </c>
      <c r="W7" s="30">
        <f>W6/W4</f>
        <v/>
      </c>
      <c r="X7" s="30">
        <f>X6/X4</f>
        <v/>
      </c>
      <c r="Y7" s="30">
        <f>Y6/Y4</f>
        <v/>
      </c>
      <c r="Z7" s="30">
        <f>Z6/Z4</f>
        <v/>
      </c>
      <c r="AA7" s="30">
        <f>AA6/AA4</f>
        <v/>
      </c>
      <c r="AB7" s="30">
        <f>AB6/AB4</f>
        <v/>
      </c>
      <c r="AC7" s="30">
        <f>AC6/AC4</f>
        <v/>
      </c>
      <c r="AD7" s="30">
        <f>AD6/AD4</f>
        <v/>
      </c>
      <c r="AE7" s="30">
        <f>AE6/AE4</f>
        <v/>
      </c>
      <c r="AF7" s="30">
        <f>AF6/AF4</f>
        <v/>
      </c>
      <c r="AG7" s="30">
        <f>AG6/AG4</f>
        <v/>
      </c>
      <c r="AH7" s="30">
        <f>AH6/AH4</f>
        <v/>
      </c>
      <c r="AI7" s="30">
        <f>AI6/AI4</f>
        <v/>
      </c>
      <c r="AJ7" s="30">
        <f>AJ6/AJ4</f>
        <v/>
      </c>
      <c r="AK7" s="30">
        <f>AK6/AK4</f>
        <v/>
      </c>
      <c r="AL7" s="30">
        <f>AL6/AL4</f>
        <v/>
      </c>
      <c r="AM7" s="30">
        <f>AM6/AM4</f>
        <v/>
      </c>
      <c r="AN7" s="30">
        <f>AN6/AN4</f>
        <v/>
      </c>
      <c r="AO7" s="30">
        <f>AO6/AO4</f>
        <v/>
      </c>
      <c r="AP7" s="30">
        <f>AP6/AP4</f>
        <v/>
      </c>
      <c r="AQ7" s="30">
        <f>AQ6/AQ4</f>
        <v/>
      </c>
      <c r="AR7" s="30">
        <f>AR6/AR4</f>
        <v/>
      </c>
      <c r="AS7" s="30">
        <f>AS6/AS4</f>
        <v/>
      </c>
      <c r="AT7" s="30">
        <f>AT6/AT4</f>
        <v/>
      </c>
      <c r="AU7" s="30">
        <f>AU6/AU4</f>
        <v/>
      </c>
      <c r="AV7" s="30">
        <f>AV6/AV4</f>
        <v/>
      </c>
      <c r="AW7" s="30">
        <f>AW6/AW4</f>
        <v/>
      </c>
      <c r="AX7" s="30">
        <f>AX6/AX4</f>
        <v/>
      </c>
      <c r="AY7" s="30">
        <f>AY6/AY4</f>
        <v/>
      </c>
      <c r="AZ7" s="30">
        <f>AZ6/AZ4</f>
        <v/>
      </c>
      <c r="BA7" s="30">
        <f>BA6/BA4</f>
        <v/>
      </c>
      <c r="BB7" s="30">
        <f>BB6/BB4</f>
        <v/>
      </c>
      <c r="BC7" s="30">
        <f>BC6/BC4</f>
        <v/>
      </c>
      <c r="BD7" s="30">
        <f>BD6/BD4</f>
        <v/>
      </c>
      <c r="BE7" s="30">
        <f>BE6/BE4</f>
        <v/>
      </c>
      <c r="BF7" s="30">
        <f>BF6/BF4</f>
        <v/>
      </c>
      <c r="BG7" s="30">
        <f>BG6/BG4</f>
        <v/>
      </c>
      <c r="BH7" s="30">
        <f>BH6/BH4</f>
        <v/>
      </c>
      <c r="BI7" s="30">
        <f>BI6/BI4</f>
        <v/>
      </c>
      <c r="BJ7" s="30">
        <f>BJ6/BJ4</f>
        <v/>
      </c>
      <c r="BK7" s="30">
        <f>BK6/BK4</f>
        <v/>
      </c>
      <c r="BL7" s="30">
        <f>BL6/BL4</f>
        <v/>
      </c>
      <c r="BM7" s="30">
        <f>BM6/BM4</f>
        <v/>
      </c>
      <c r="BN7" s="30">
        <f>BN6/BN4</f>
        <v/>
      </c>
      <c r="BO7" s="30">
        <f>BO6/BO4</f>
        <v/>
      </c>
      <c r="BP7" s="30">
        <f>BP6/BP4</f>
        <v/>
      </c>
      <c r="BQ7" s="30">
        <f>BQ6/BQ4</f>
        <v/>
      </c>
      <c r="BR7" s="30">
        <f>BR6/BR4</f>
        <v/>
      </c>
      <c r="BS7" s="30">
        <f>BS6/BS4</f>
        <v/>
      </c>
      <c r="BT7" s="30">
        <f>BT6/BT4</f>
        <v/>
      </c>
      <c r="BU7" s="30">
        <f>BU6/BU4</f>
        <v/>
      </c>
      <c r="BV7" s="30">
        <f>BV6/BV4</f>
        <v/>
      </c>
      <c r="BW7" s="30">
        <f>BW6/BW4</f>
        <v/>
      </c>
      <c r="BX7" s="30">
        <f>BX6/BX4</f>
        <v/>
      </c>
      <c r="BY7" s="30">
        <f>BY6/BY4</f>
        <v/>
      </c>
      <c r="BZ7" s="30">
        <f>BZ6/BZ4</f>
        <v/>
      </c>
      <c r="CA7" s="30">
        <f>CA6/CA4</f>
        <v/>
      </c>
      <c r="CB7" s="30">
        <f>CB6/CB4</f>
        <v/>
      </c>
      <c r="CC7" s="30">
        <f>CC6/CC4</f>
        <v/>
      </c>
      <c r="CD7" s="30">
        <f>CD6/CD4</f>
        <v/>
      </c>
      <c r="CE7" s="30">
        <f>CE6/CE4</f>
        <v/>
      </c>
      <c r="CF7" s="30">
        <f>CF6/CF4</f>
        <v/>
      </c>
      <c r="CG7" s="30">
        <f>CG6/CG4</f>
        <v/>
      </c>
      <c r="CH7" s="30">
        <f>CH6/CH4</f>
        <v/>
      </c>
      <c r="CI7" s="30">
        <f>CI6/CI4</f>
        <v/>
      </c>
      <c r="CJ7" s="30">
        <f>CJ6/CJ4</f>
        <v/>
      </c>
      <c r="CK7" s="30">
        <f>CK6/CK4</f>
        <v/>
      </c>
      <c r="CL7" s="30">
        <f>CL6/CL4</f>
        <v/>
      </c>
      <c r="CM7" s="30">
        <f>CM6/CM4</f>
        <v/>
      </c>
      <c r="CN7" s="30">
        <f>CN6/CN4</f>
        <v/>
      </c>
      <c r="CO7" s="30">
        <f>CO6/CO4</f>
        <v/>
      </c>
      <c r="CP7" s="30">
        <f>CP6/CP4</f>
        <v/>
      </c>
      <c r="CQ7" s="30">
        <f>CQ6/CQ4</f>
        <v/>
      </c>
      <c r="CR7" s="30">
        <f>CR6/CR4</f>
        <v/>
      </c>
      <c r="CS7" s="30">
        <f>CS6/CS4</f>
        <v/>
      </c>
      <c r="CT7" s="30">
        <f>CT6/CT4</f>
        <v/>
      </c>
      <c r="CU7" s="30">
        <f>CU6/CU4</f>
        <v/>
      </c>
      <c r="CV7" s="30">
        <f>CV6/CV4</f>
        <v/>
      </c>
      <c r="CW7" s="30">
        <f>CW6/CW4</f>
        <v/>
      </c>
      <c r="CX7" s="30">
        <f>CX6/CX4</f>
        <v/>
      </c>
      <c r="CY7" s="30">
        <f>CY6/CY4</f>
        <v/>
      </c>
      <c r="CZ7" s="30">
        <f>CZ6/CZ4</f>
        <v/>
      </c>
      <c r="DA7" s="30">
        <f>DA6/DA4</f>
        <v/>
      </c>
      <c r="DB7" s="30">
        <f>DB6/DB4</f>
        <v/>
      </c>
      <c r="DC7" s="30">
        <f>DC6/DC4</f>
        <v/>
      </c>
      <c r="DD7" s="30">
        <f>DD6/DD4</f>
        <v/>
      </c>
      <c r="DE7" s="30">
        <f>DE6/DE4</f>
        <v/>
      </c>
      <c r="DF7" s="30">
        <f>DF6/DF4</f>
        <v/>
      </c>
      <c r="DG7" s="30">
        <f>DG6/DG4</f>
        <v/>
      </c>
      <c r="DH7" s="30">
        <f>DH6/DH4</f>
        <v/>
      </c>
      <c r="DI7" s="30">
        <f>DI6/DI4</f>
        <v/>
      </c>
      <c r="DJ7" s="30">
        <f>DJ6/DJ4</f>
        <v/>
      </c>
      <c r="DK7" s="30">
        <f>DK6/DK4</f>
        <v/>
      </c>
      <c r="DL7" s="30">
        <f>DL6/DL4</f>
        <v/>
      </c>
      <c r="DM7" s="30">
        <f>DM6/DM4</f>
        <v/>
      </c>
      <c r="DN7" s="30">
        <f>DN6/DN4</f>
        <v/>
      </c>
      <c r="DO7" s="30">
        <f>DO6/DO4</f>
        <v/>
      </c>
      <c r="DP7" s="30">
        <f>DP6/DP4</f>
        <v/>
      </c>
      <c r="DQ7" s="30">
        <f>DQ6/DQ4</f>
        <v/>
      </c>
    </row>
    <row r="8">
      <c r="A8" t="inlineStr"/>
    </row>
    <row r="9">
      <c r="A9" t="inlineStr">
        <is>
          <t>Operating Expenses</t>
        </is>
      </c>
    </row>
    <row r="10">
      <c r="A10" t="inlineStr">
        <is>
          <t xml:space="preserve">  Distribution &amp; Logistics</t>
        </is>
      </c>
      <c r="B10" s="34">
        <f>-B4*12/1000</f>
        <v/>
      </c>
      <c r="C10" s="34">
        <f>-C4*12/1000</f>
        <v/>
      </c>
      <c r="D10" s="34">
        <f>-D4*12/1000</f>
        <v/>
      </c>
      <c r="E10" s="34">
        <f>-E4*12/1000</f>
        <v/>
      </c>
      <c r="F10" s="34">
        <f>-F4*12/1000</f>
        <v/>
      </c>
      <c r="G10" s="34">
        <f>-G4*12/1000</f>
        <v/>
      </c>
      <c r="H10" s="34">
        <f>-H4*12/1000</f>
        <v/>
      </c>
      <c r="I10" s="34">
        <f>-I4*12/1000</f>
        <v/>
      </c>
      <c r="J10" s="34">
        <f>-J4*12/1000</f>
        <v/>
      </c>
      <c r="K10" s="34">
        <f>-K4*12/1000</f>
        <v/>
      </c>
      <c r="L10" s="34">
        <f>-L4*12/1000</f>
        <v/>
      </c>
      <c r="M10" s="34">
        <f>-M4*12/1000</f>
        <v/>
      </c>
      <c r="N10" s="34">
        <f>-N4*12/1000</f>
        <v/>
      </c>
      <c r="O10" s="34">
        <f>-O4*12/1000</f>
        <v/>
      </c>
      <c r="P10" s="34">
        <f>-P4*12/1000</f>
        <v/>
      </c>
      <c r="Q10" s="34">
        <f>-Q4*12/1000</f>
        <v/>
      </c>
      <c r="R10" s="34">
        <f>-R4*12/1000</f>
        <v/>
      </c>
      <c r="S10" s="34">
        <f>-S4*12/1000</f>
        <v/>
      </c>
      <c r="T10" s="34">
        <f>-T4*12/1000</f>
        <v/>
      </c>
      <c r="U10" s="34">
        <f>-U4*12/1000</f>
        <v/>
      </c>
      <c r="V10" s="34">
        <f>-V4*12/1000</f>
        <v/>
      </c>
      <c r="W10" s="34">
        <f>-W4*12/1000</f>
        <v/>
      </c>
      <c r="X10" s="34">
        <f>-X4*12/1000</f>
        <v/>
      </c>
      <c r="Y10" s="34">
        <f>-Y4*12/1000</f>
        <v/>
      </c>
      <c r="Z10" s="34">
        <f>-Z4*12/1000</f>
        <v/>
      </c>
      <c r="AA10" s="34">
        <f>-AA4*12/1000</f>
        <v/>
      </c>
      <c r="AB10" s="34">
        <f>-AB4*12/1000</f>
        <v/>
      </c>
      <c r="AC10" s="34">
        <f>-AC4*12/1000</f>
        <v/>
      </c>
      <c r="AD10" s="34">
        <f>-AD4*12/1000</f>
        <v/>
      </c>
      <c r="AE10" s="34">
        <f>-AE4*12/1000</f>
        <v/>
      </c>
      <c r="AF10" s="34">
        <f>-AF4*12/1000</f>
        <v/>
      </c>
      <c r="AG10" s="34">
        <f>-AG4*12/1000</f>
        <v/>
      </c>
      <c r="AH10" s="34">
        <f>-AH4*12/1000</f>
        <v/>
      </c>
      <c r="AI10" s="34">
        <f>-AI4*12/1000</f>
        <v/>
      </c>
      <c r="AJ10" s="34">
        <f>-AJ4*12/1000</f>
        <v/>
      </c>
      <c r="AK10" s="34">
        <f>-AK4*12/1000</f>
        <v/>
      </c>
      <c r="AL10" s="34">
        <f>-AL4*12/1000</f>
        <v/>
      </c>
      <c r="AM10" s="34">
        <f>-AM4*12/1000</f>
        <v/>
      </c>
      <c r="AN10" s="34">
        <f>-AN4*12/1000</f>
        <v/>
      </c>
      <c r="AO10" s="34">
        <f>-AO4*12/1000</f>
        <v/>
      </c>
      <c r="AP10" s="34">
        <f>-AP4*12/1000</f>
        <v/>
      </c>
      <c r="AQ10" s="34">
        <f>-AQ4*12/1000</f>
        <v/>
      </c>
      <c r="AR10" s="34">
        <f>-AR4*12/1000</f>
        <v/>
      </c>
      <c r="AS10" s="34">
        <f>-AS4*12/1000</f>
        <v/>
      </c>
      <c r="AT10" s="34">
        <f>-AT4*12/1000</f>
        <v/>
      </c>
      <c r="AU10" s="34">
        <f>-AU4*12/1000</f>
        <v/>
      </c>
      <c r="AV10" s="34">
        <f>-AV4*12/1000</f>
        <v/>
      </c>
      <c r="AW10" s="34">
        <f>-AW4*12/1000</f>
        <v/>
      </c>
      <c r="AX10" s="34">
        <f>-AX4*12/1000</f>
        <v/>
      </c>
      <c r="AY10" s="34">
        <f>-AY4*12/1000</f>
        <v/>
      </c>
      <c r="AZ10" s="34">
        <f>-AZ4*12/1000</f>
        <v/>
      </c>
      <c r="BA10" s="34">
        <f>-BA4*12/1000</f>
        <v/>
      </c>
      <c r="BB10" s="34">
        <f>-BB4*12/1000</f>
        <v/>
      </c>
      <c r="BC10" s="34">
        <f>-BC4*12/1000</f>
        <v/>
      </c>
      <c r="BD10" s="34">
        <f>-BD4*12/1000</f>
        <v/>
      </c>
      <c r="BE10" s="34">
        <f>-BE4*12/1000</f>
        <v/>
      </c>
      <c r="BF10" s="34">
        <f>-BF4*12/1000</f>
        <v/>
      </c>
      <c r="BG10" s="34">
        <f>-BG4*12/1000</f>
        <v/>
      </c>
      <c r="BH10" s="34">
        <f>-BH4*12/1000</f>
        <v/>
      </c>
      <c r="BI10" s="34">
        <f>-BI4*12/1000</f>
        <v/>
      </c>
      <c r="BJ10" s="34">
        <f>-BJ4*12/1000</f>
        <v/>
      </c>
      <c r="BK10" s="34">
        <f>-BK4*12/1000</f>
        <v/>
      </c>
      <c r="BL10" s="34">
        <f>-BL4*12/1000</f>
        <v/>
      </c>
      <c r="BM10" s="34">
        <f>-BM4*12/1000</f>
        <v/>
      </c>
      <c r="BN10" s="34">
        <f>-BN4*12/1000</f>
        <v/>
      </c>
      <c r="BO10" s="34">
        <f>-BO4*12/1000</f>
        <v/>
      </c>
      <c r="BP10" s="34">
        <f>-BP4*12/1000</f>
        <v/>
      </c>
      <c r="BQ10" s="34">
        <f>-BQ4*12/1000</f>
        <v/>
      </c>
      <c r="BR10" s="34">
        <f>-BR4*12/1000</f>
        <v/>
      </c>
      <c r="BS10" s="34">
        <f>-BS4*12/1000</f>
        <v/>
      </c>
      <c r="BT10" s="34">
        <f>-BT4*12/1000</f>
        <v/>
      </c>
      <c r="BU10" s="34">
        <f>-BU4*12/1000</f>
        <v/>
      </c>
      <c r="BV10" s="34">
        <f>-BV4*12/1000</f>
        <v/>
      </c>
      <c r="BW10" s="34">
        <f>-BW4*12/1000</f>
        <v/>
      </c>
      <c r="BX10" s="34">
        <f>-BX4*12/1000</f>
        <v/>
      </c>
      <c r="BY10" s="34">
        <f>-BY4*12/1000</f>
        <v/>
      </c>
      <c r="BZ10" s="34">
        <f>-BZ4*12/1000</f>
        <v/>
      </c>
      <c r="CA10" s="34">
        <f>-CA4*12/1000</f>
        <v/>
      </c>
      <c r="CB10" s="34">
        <f>-CB4*12/1000</f>
        <v/>
      </c>
      <c r="CC10" s="34">
        <f>-CC4*12/1000</f>
        <v/>
      </c>
      <c r="CD10" s="34">
        <f>-CD4*12/1000</f>
        <v/>
      </c>
      <c r="CE10" s="34">
        <f>-CE4*12/1000</f>
        <v/>
      </c>
      <c r="CF10" s="34">
        <f>-CF4*12/1000</f>
        <v/>
      </c>
      <c r="CG10" s="34">
        <f>-CG4*12/1000</f>
        <v/>
      </c>
      <c r="CH10" s="34">
        <f>-CH4*12/1000</f>
        <v/>
      </c>
      <c r="CI10" s="34">
        <f>-CI4*12/1000</f>
        <v/>
      </c>
      <c r="CJ10" s="34">
        <f>-CJ4*12/1000</f>
        <v/>
      </c>
      <c r="CK10" s="34">
        <f>-CK4*12/1000</f>
        <v/>
      </c>
      <c r="CL10" s="34">
        <f>-CL4*12/1000</f>
        <v/>
      </c>
      <c r="CM10" s="34">
        <f>-CM4*12/1000</f>
        <v/>
      </c>
      <c r="CN10" s="34">
        <f>-CN4*12/1000</f>
        <v/>
      </c>
      <c r="CO10" s="34">
        <f>-CO4*12/1000</f>
        <v/>
      </c>
      <c r="CP10" s="34">
        <f>-CP4*12/1000</f>
        <v/>
      </c>
      <c r="CQ10" s="34">
        <f>-CQ4*12/1000</f>
        <v/>
      </c>
      <c r="CR10" s="34">
        <f>-CR4*12/1000</f>
        <v/>
      </c>
      <c r="CS10" s="34">
        <f>-CS4*12/1000</f>
        <v/>
      </c>
      <c r="CT10" s="34">
        <f>-CT4*12/1000</f>
        <v/>
      </c>
      <c r="CU10" s="34">
        <f>-CU4*12/1000</f>
        <v/>
      </c>
      <c r="CV10" s="34">
        <f>-CV4*12/1000</f>
        <v/>
      </c>
      <c r="CW10" s="34">
        <f>-CW4*12/1000</f>
        <v/>
      </c>
      <c r="CX10" s="34">
        <f>-CX4*12/1000</f>
        <v/>
      </c>
      <c r="CY10" s="34">
        <f>-CY4*12/1000</f>
        <v/>
      </c>
      <c r="CZ10" s="34">
        <f>-CZ4*12/1000</f>
        <v/>
      </c>
      <c r="DA10" s="34">
        <f>-DA4*12/1000</f>
        <v/>
      </c>
      <c r="DB10" s="34">
        <f>-DB4*12/1000</f>
        <v/>
      </c>
      <c r="DC10" s="34">
        <f>-DC4*12/1000</f>
        <v/>
      </c>
      <c r="DD10" s="34">
        <f>-DD4*12/1000</f>
        <v/>
      </c>
      <c r="DE10" s="34">
        <f>-DE4*12/1000</f>
        <v/>
      </c>
      <c r="DF10" s="34">
        <f>-DF4*12/1000</f>
        <v/>
      </c>
      <c r="DG10" s="34">
        <f>-DG4*12/1000</f>
        <v/>
      </c>
      <c r="DH10" s="34">
        <f>-DH4*12/1000</f>
        <v/>
      </c>
      <c r="DI10" s="34">
        <f>-DI4*12/1000</f>
        <v/>
      </c>
      <c r="DJ10" s="34">
        <f>-DJ4*12/1000</f>
        <v/>
      </c>
      <c r="DK10" s="34">
        <f>-DK4*12/1000</f>
        <v/>
      </c>
      <c r="DL10" s="34">
        <f>-DL4*12/1000</f>
        <v/>
      </c>
      <c r="DM10" s="34">
        <f>-DM4*12/1000</f>
        <v/>
      </c>
      <c r="DN10" s="34">
        <f>-DN4*12/1000</f>
        <v/>
      </c>
      <c r="DO10" s="34">
        <f>-DO4*12/1000</f>
        <v/>
      </c>
      <c r="DP10" s="34">
        <f>-DP4*12/1000</f>
        <v/>
      </c>
      <c r="DQ10" s="34">
        <f>-DQ4*12/1000</f>
        <v/>
      </c>
    </row>
    <row r="11">
      <c r="A11" t="inlineStr">
        <is>
          <t xml:space="preserve">  SG&amp;A</t>
        </is>
      </c>
      <c r="B11" s="34">
        <f>-B4*0.12</f>
        <v/>
      </c>
      <c r="C11" s="34">
        <f>-C4*0.12</f>
        <v/>
      </c>
      <c r="D11" s="34">
        <f>-D4*0.12</f>
        <v/>
      </c>
      <c r="E11" s="34">
        <f>-E4*0.12</f>
        <v/>
      </c>
      <c r="F11" s="34">
        <f>-F4*0.12</f>
        <v/>
      </c>
      <c r="G11" s="34">
        <f>-G4*0.12</f>
        <v/>
      </c>
      <c r="H11" s="34">
        <f>-H4*0.12</f>
        <v/>
      </c>
      <c r="I11" s="34">
        <f>-I4*0.12</f>
        <v/>
      </c>
      <c r="J11" s="34">
        <f>-J4*0.12</f>
        <v/>
      </c>
      <c r="K11" s="34">
        <f>-K4*0.12</f>
        <v/>
      </c>
      <c r="L11" s="34">
        <f>-L4*0.12</f>
        <v/>
      </c>
      <c r="M11" s="34">
        <f>-M4*0.12</f>
        <v/>
      </c>
      <c r="N11" s="34">
        <f>-N4*0.12</f>
        <v/>
      </c>
      <c r="O11" s="34">
        <f>-O4*0.12</f>
        <v/>
      </c>
      <c r="P11" s="34">
        <f>-P4*0.12</f>
        <v/>
      </c>
      <c r="Q11" s="34">
        <f>-Q4*0.12</f>
        <v/>
      </c>
      <c r="R11" s="34">
        <f>-R4*0.12</f>
        <v/>
      </c>
      <c r="S11" s="34">
        <f>-S4*0.12</f>
        <v/>
      </c>
      <c r="T11" s="34">
        <f>-T4*0.12</f>
        <v/>
      </c>
      <c r="U11" s="34">
        <f>-U4*0.12</f>
        <v/>
      </c>
      <c r="V11" s="34">
        <f>-V4*0.12</f>
        <v/>
      </c>
      <c r="W11" s="34">
        <f>-W4*0.12</f>
        <v/>
      </c>
      <c r="X11" s="34">
        <f>-X4*0.12</f>
        <v/>
      </c>
      <c r="Y11" s="34">
        <f>-Y4*0.12</f>
        <v/>
      </c>
      <c r="Z11" s="34">
        <f>-Z4*0.12</f>
        <v/>
      </c>
      <c r="AA11" s="34">
        <f>-AA4*0.12</f>
        <v/>
      </c>
      <c r="AB11" s="34">
        <f>-AB4*0.12</f>
        <v/>
      </c>
      <c r="AC11" s="34">
        <f>-AC4*0.12</f>
        <v/>
      </c>
      <c r="AD11" s="34">
        <f>-AD4*0.12</f>
        <v/>
      </c>
      <c r="AE11" s="34">
        <f>-AE4*0.12</f>
        <v/>
      </c>
      <c r="AF11" s="34">
        <f>-AF4*0.12</f>
        <v/>
      </c>
      <c r="AG11" s="34">
        <f>-AG4*0.12</f>
        <v/>
      </c>
      <c r="AH11" s="34">
        <f>-AH4*0.12</f>
        <v/>
      </c>
      <c r="AI11" s="34">
        <f>-AI4*0.12</f>
        <v/>
      </c>
      <c r="AJ11" s="34">
        <f>-AJ4*0.12</f>
        <v/>
      </c>
      <c r="AK11" s="34">
        <f>-AK4*0.12</f>
        <v/>
      </c>
      <c r="AL11" s="34">
        <f>-AL4*0.12</f>
        <v/>
      </c>
      <c r="AM11" s="34">
        <f>-AM4*0.12</f>
        <v/>
      </c>
      <c r="AN11" s="34">
        <f>-AN4*0.12</f>
        <v/>
      </c>
      <c r="AO11" s="34">
        <f>-AO4*0.12</f>
        <v/>
      </c>
      <c r="AP11" s="34">
        <f>-AP4*0.12</f>
        <v/>
      </c>
      <c r="AQ11" s="34">
        <f>-AQ4*0.12</f>
        <v/>
      </c>
      <c r="AR11" s="34">
        <f>-AR4*0.12</f>
        <v/>
      </c>
      <c r="AS11" s="34">
        <f>-AS4*0.12</f>
        <v/>
      </c>
      <c r="AT11" s="34">
        <f>-AT4*0.12</f>
        <v/>
      </c>
      <c r="AU11" s="34">
        <f>-AU4*0.12</f>
        <v/>
      </c>
      <c r="AV11" s="34">
        <f>-AV4*0.12</f>
        <v/>
      </c>
      <c r="AW11" s="34">
        <f>-AW4*0.12</f>
        <v/>
      </c>
      <c r="AX11" s="34">
        <f>-AX4*0.12</f>
        <v/>
      </c>
      <c r="AY11" s="34">
        <f>-AY4*0.12</f>
        <v/>
      </c>
      <c r="AZ11" s="34">
        <f>-AZ4*0.12</f>
        <v/>
      </c>
      <c r="BA11" s="34">
        <f>-BA4*0.12</f>
        <v/>
      </c>
      <c r="BB11" s="34">
        <f>-BB4*0.12</f>
        <v/>
      </c>
      <c r="BC11" s="34">
        <f>-BC4*0.12</f>
        <v/>
      </c>
      <c r="BD11" s="34">
        <f>-BD4*0.12</f>
        <v/>
      </c>
      <c r="BE11" s="34">
        <f>-BE4*0.12</f>
        <v/>
      </c>
      <c r="BF11" s="34">
        <f>-BF4*0.12</f>
        <v/>
      </c>
      <c r="BG11" s="34">
        <f>-BG4*0.12</f>
        <v/>
      </c>
      <c r="BH11" s="34">
        <f>-BH4*0.12</f>
        <v/>
      </c>
      <c r="BI11" s="34">
        <f>-BI4*0.12</f>
        <v/>
      </c>
      <c r="BJ11" s="34">
        <f>-BJ4*0.12</f>
        <v/>
      </c>
      <c r="BK11" s="34">
        <f>-BK4*0.12</f>
        <v/>
      </c>
      <c r="BL11" s="34">
        <f>-BL4*0.12</f>
        <v/>
      </c>
      <c r="BM11" s="34">
        <f>-BM4*0.12</f>
        <v/>
      </c>
      <c r="BN11" s="34">
        <f>-BN4*0.12</f>
        <v/>
      </c>
      <c r="BO11" s="34">
        <f>-BO4*0.12</f>
        <v/>
      </c>
      <c r="BP11" s="34">
        <f>-BP4*0.12</f>
        <v/>
      </c>
      <c r="BQ11" s="34">
        <f>-BQ4*0.12</f>
        <v/>
      </c>
      <c r="BR11" s="34">
        <f>-BR4*0.12</f>
        <v/>
      </c>
      <c r="BS11" s="34">
        <f>-BS4*0.12</f>
        <v/>
      </c>
      <c r="BT11" s="34">
        <f>-BT4*0.12</f>
        <v/>
      </c>
      <c r="BU11" s="34">
        <f>-BU4*0.12</f>
        <v/>
      </c>
      <c r="BV11" s="34">
        <f>-BV4*0.12</f>
        <v/>
      </c>
      <c r="BW11" s="34">
        <f>-BW4*0.12</f>
        <v/>
      </c>
      <c r="BX11" s="34">
        <f>-BX4*0.12</f>
        <v/>
      </c>
      <c r="BY11" s="34">
        <f>-BY4*0.12</f>
        <v/>
      </c>
      <c r="BZ11" s="34">
        <f>-BZ4*0.12</f>
        <v/>
      </c>
      <c r="CA11" s="34">
        <f>-CA4*0.12</f>
        <v/>
      </c>
      <c r="CB11" s="34">
        <f>-CB4*0.12</f>
        <v/>
      </c>
      <c r="CC11" s="34">
        <f>-CC4*0.12</f>
        <v/>
      </c>
      <c r="CD11" s="34">
        <f>-CD4*0.12</f>
        <v/>
      </c>
      <c r="CE11" s="34">
        <f>-CE4*0.12</f>
        <v/>
      </c>
      <c r="CF11" s="34">
        <f>-CF4*0.12</f>
        <v/>
      </c>
      <c r="CG11" s="34">
        <f>-CG4*0.12</f>
        <v/>
      </c>
      <c r="CH11" s="34">
        <f>-CH4*0.12</f>
        <v/>
      </c>
      <c r="CI11" s="34">
        <f>-CI4*0.12</f>
        <v/>
      </c>
      <c r="CJ11" s="34">
        <f>-CJ4*0.12</f>
        <v/>
      </c>
      <c r="CK11" s="34">
        <f>-CK4*0.12</f>
        <v/>
      </c>
      <c r="CL11" s="34">
        <f>-CL4*0.12</f>
        <v/>
      </c>
      <c r="CM11" s="34">
        <f>-CM4*0.12</f>
        <v/>
      </c>
      <c r="CN11" s="34">
        <f>-CN4*0.12</f>
        <v/>
      </c>
      <c r="CO11" s="34">
        <f>-CO4*0.12</f>
        <v/>
      </c>
      <c r="CP11" s="34">
        <f>-CP4*0.12</f>
        <v/>
      </c>
      <c r="CQ11" s="34">
        <f>-CQ4*0.12</f>
        <v/>
      </c>
      <c r="CR11" s="34">
        <f>-CR4*0.12</f>
        <v/>
      </c>
      <c r="CS11" s="34">
        <f>-CS4*0.12</f>
        <v/>
      </c>
      <c r="CT11" s="34">
        <f>-CT4*0.12</f>
        <v/>
      </c>
      <c r="CU11" s="34">
        <f>-CU4*0.12</f>
        <v/>
      </c>
      <c r="CV11" s="34">
        <f>-CV4*0.12</f>
        <v/>
      </c>
      <c r="CW11" s="34">
        <f>-CW4*0.12</f>
        <v/>
      </c>
      <c r="CX11" s="34">
        <f>-CX4*0.12</f>
        <v/>
      </c>
      <c r="CY11" s="34">
        <f>-CY4*0.12</f>
        <v/>
      </c>
      <c r="CZ11" s="34">
        <f>-CZ4*0.12</f>
        <v/>
      </c>
      <c r="DA11" s="34">
        <f>-DA4*0.12</f>
        <v/>
      </c>
      <c r="DB11" s="34">
        <f>-DB4*0.12</f>
        <v/>
      </c>
      <c r="DC11" s="34">
        <f>-DC4*0.12</f>
        <v/>
      </c>
      <c r="DD11" s="34">
        <f>-DD4*0.12</f>
        <v/>
      </c>
      <c r="DE11" s="34">
        <f>-DE4*0.12</f>
        <v/>
      </c>
      <c r="DF11" s="34">
        <f>-DF4*0.12</f>
        <v/>
      </c>
      <c r="DG11" s="34">
        <f>-DG4*0.12</f>
        <v/>
      </c>
      <c r="DH11" s="34">
        <f>-DH4*0.12</f>
        <v/>
      </c>
      <c r="DI11" s="34">
        <f>-DI4*0.12</f>
        <v/>
      </c>
      <c r="DJ11" s="34">
        <f>-DJ4*0.12</f>
        <v/>
      </c>
      <c r="DK11" s="34">
        <f>-DK4*0.12</f>
        <v/>
      </c>
      <c r="DL11" s="34">
        <f>-DL4*0.12</f>
        <v/>
      </c>
      <c r="DM11" s="34">
        <f>-DM4*0.12</f>
        <v/>
      </c>
      <c r="DN11" s="34">
        <f>-DN4*0.12</f>
        <v/>
      </c>
      <c r="DO11" s="34">
        <f>-DO4*0.12</f>
        <v/>
      </c>
      <c r="DP11" s="34">
        <f>-DP4*0.12</f>
        <v/>
      </c>
      <c r="DQ11" s="34">
        <f>-DQ4*0.12</f>
        <v/>
      </c>
    </row>
    <row r="12">
      <c r="A12" t="inlineStr">
        <is>
          <t xml:space="preserve">  Admin &amp; Overhead</t>
        </is>
      </c>
      <c r="B12" s="34" t="n">
        <v>-150</v>
      </c>
      <c r="C12" s="34" t="n">
        <v>-150</v>
      </c>
      <c r="D12" s="34" t="n">
        <v>-150</v>
      </c>
      <c r="E12" s="34" t="n">
        <v>-150</v>
      </c>
      <c r="F12" s="34" t="n">
        <v>-150</v>
      </c>
      <c r="G12" s="34" t="n">
        <v>-150</v>
      </c>
      <c r="H12" s="34" t="n">
        <v>-150</v>
      </c>
      <c r="I12" s="34" t="n">
        <v>-150</v>
      </c>
      <c r="J12" s="34" t="n">
        <v>-150</v>
      </c>
      <c r="K12" s="34" t="n">
        <v>-150</v>
      </c>
      <c r="L12" s="34" t="n">
        <v>-150</v>
      </c>
      <c r="M12" s="34" t="n">
        <v>-150</v>
      </c>
      <c r="N12" s="34" t="n">
        <v>-150</v>
      </c>
      <c r="O12" s="34" t="n">
        <v>-150</v>
      </c>
      <c r="P12" s="34" t="n">
        <v>-150</v>
      </c>
      <c r="Q12" s="34" t="n">
        <v>-150</v>
      </c>
      <c r="R12" s="34" t="n">
        <v>-150</v>
      </c>
      <c r="S12" s="34" t="n">
        <v>-150</v>
      </c>
      <c r="T12" s="34" t="n">
        <v>-150</v>
      </c>
      <c r="U12" s="34" t="n">
        <v>-150</v>
      </c>
      <c r="V12" s="34" t="n">
        <v>-150</v>
      </c>
      <c r="W12" s="34" t="n">
        <v>-150</v>
      </c>
      <c r="X12" s="34" t="n">
        <v>-150</v>
      </c>
      <c r="Y12" s="34" t="n">
        <v>-150</v>
      </c>
      <c r="Z12" s="34" t="n">
        <v>-150</v>
      </c>
      <c r="AA12" s="34" t="n">
        <v>-150</v>
      </c>
      <c r="AB12" s="34" t="n">
        <v>-150</v>
      </c>
      <c r="AC12" s="34" t="n">
        <v>-150</v>
      </c>
      <c r="AD12" s="34" t="n">
        <v>-150</v>
      </c>
      <c r="AE12" s="34" t="n">
        <v>-150</v>
      </c>
      <c r="AF12" s="34" t="n">
        <v>-150</v>
      </c>
      <c r="AG12" s="34" t="n">
        <v>-150</v>
      </c>
      <c r="AH12" s="34" t="n">
        <v>-150</v>
      </c>
      <c r="AI12" s="34" t="n">
        <v>-150</v>
      </c>
      <c r="AJ12" s="34" t="n">
        <v>-150</v>
      </c>
      <c r="AK12" s="34" t="n">
        <v>-150</v>
      </c>
      <c r="AL12" s="34" t="n">
        <v>-150</v>
      </c>
      <c r="AM12" s="34" t="n">
        <v>-150</v>
      </c>
      <c r="AN12" s="34" t="n">
        <v>-150</v>
      </c>
      <c r="AO12" s="34" t="n">
        <v>-150</v>
      </c>
      <c r="AP12" s="34" t="n">
        <v>-150</v>
      </c>
      <c r="AQ12" s="34" t="n">
        <v>-150</v>
      </c>
      <c r="AR12" s="34" t="n">
        <v>-150</v>
      </c>
      <c r="AS12" s="34" t="n">
        <v>-150</v>
      </c>
      <c r="AT12" s="34" t="n">
        <v>-150</v>
      </c>
      <c r="AU12" s="34" t="n">
        <v>-150</v>
      </c>
      <c r="AV12" s="34" t="n">
        <v>-150</v>
      </c>
      <c r="AW12" s="34" t="n">
        <v>-150</v>
      </c>
      <c r="AX12" s="34" t="n">
        <v>-150</v>
      </c>
      <c r="AY12" s="34" t="n">
        <v>-150</v>
      </c>
      <c r="AZ12" s="34" t="n">
        <v>-150</v>
      </c>
      <c r="BA12" s="34" t="n">
        <v>-150</v>
      </c>
      <c r="BB12" s="34" t="n">
        <v>-150</v>
      </c>
      <c r="BC12" s="34" t="n">
        <v>-150</v>
      </c>
      <c r="BD12" s="34" t="n">
        <v>-150</v>
      </c>
      <c r="BE12" s="34" t="n">
        <v>-150</v>
      </c>
      <c r="BF12" s="34" t="n">
        <v>-150</v>
      </c>
      <c r="BG12" s="34" t="n">
        <v>-150</v>
      </c>
      <c r="BH12" s="34" t="n">
        <v>-150</v>
      </c>
      <c r="BI12" s="34" t="n">
        <v>-150</v>
      </c>
      <c r="BJ12" s="34" t="n">
        <v>-150</v>
      </c>
      <c r="BK12" s="34" t="n">
        <v>-150</v>
      </c>
      <c r="BL12" s="34" t="n">
        <v>-150</v>
      </c>
      <c r="BM12" s="34" t="n">
        <v>-150</v>
      </c>
      <c r="BN12" s="34" t="n">
        <v>-150</v>
      </c>
      <c r="BO12" s="34" t="n">
        <v>-150</v>
      </c>
      <c r="BP12" s="34" t="n">
        <v>-150</v>
      </c>
      <c r="BQ12" s="34" t="n">
        <v>-150</v>
      </c>
      <c r="BR12" s="34" t="n">
        <v>-150</v>
      </c>
      <c r="BS12" s="34" t="n">
        <v>-150</v>
      </c>
      <c r="BT12" s="34" t="n">
        <v>-150</v>
      </c>
      <c r="BU12" s="34" t="n">
        <v>-150</v>
      </c>
      <c r="BV12" s="34" t="n">
        <v>-150</v>
      </c>
      <c r="BW12" s="34" t="n">
        <v>-150</v>
      </c>
      <c r="BX12" s="34" t="n">
        <v>-150</v>
      </c>
      <c r="BY12" s="34" t="n">
        <v>-150</v>
      </c>
      <c r="BZ12" s="34" t="n">
        <v>-150</v>
      </c>
      <c r="CA12" s="34" t="n">
        <v>-150</v>
      </c>
      <c r="CB12" s="34" t="n">
        <v>-150</v>
      </c>
      <c r="CC12" s="34" t="n">
        <v>-150</v>
      </c>
      <c r="CD12" s="34" t="n">
        <v>-150</v>
      </c>
      <c r="CE12" s="34" t="n">
        <v>-150</v>
      </c>
      <c r="CF12" s="34" t="n">
        <v>-150</v>
      </c>
      <c r="CG12" s="34" t="n">
        <v>-150</v>
      </c>
      <c r="CH12" s="34" t="n">
        <v>-150</v>
      </c>
      <c r="CI12" s="34" t="n">
        <v>-150</v>
      </c>
      <c r="CJ12" s="34" t="n">
        <v>-150</v>
      </c>
      <c r="CK12" s="34" t="n">
        <v>-150</v>
      </c>
      <c r="CL12" s="34" t="n">
        <v>-150</v>
      </c>
      <c r="CM12" s="34" t="n">
        <v>-150</v>
      </c>
      <c r="CN12" s="34" t="n">
        <v>-150</v>
      </c>
      <c r="CO12" s="34" t="n">
        <v>-150</v>
      </c>
      <c r="CP12" s="34" t="n">
        <v>-150</v>
      </c>
      <c r="CQ12" s="34" t="n">
        <v>-150</v>
      </c>
      <c r="CR12" s="34" t="n">
        <v>-150</v>
      </c>
      <c r="CS12" s="34" t="n">
        <v>-150</v>
      </c>
      <c r="CT12" s="34" t="n">
        <v>-150</v>
      </c>
      <c r="CU12" s="34" t="n">
        <v>-150</v>
      </c>
      <c r="CV12" s="34" t="n">
        <v>-150</v>
      </c>
      <c r="CW12" s="34" t="n">
        <v>-150</v>
      </c>
      <c r="CX12" s="34" t="n">
        <v>-150</v>
      </c>
      <c r="CY12" s="34" t="n">
        <v>-150</v>
      </c>
      <c r="CZ12" s="34" t="n">
        <v>-150</v>
      </c>
      <c r="DA12" s="34" t="n">
        <v>-150</v>
      </c>
      <c r="DB12" s="34" t="n">
        <v>-150</v>
      </c>
      <c r="DC12" s="34" t="n">
        <v>-150</v>
      </c>
      <c r="DD12" s="34" t="n">
        <v>-150</v>
      </c>
      <c r="DE12" s="34" t="n">
        <v>-150</v>
      </c>
      <c r="DF12" s="34" t="n">
        <v>-150</v>
      </c>
      <c r="DG12" s="34" t="n">
        <v>-150</v>
      </c>
      <c r="DH12" s="34" t="n">
        <v>-150</v>
      </c>
      <c r="DI12" s="34" t="n">
        <v>-150</v>
      </c>
      <c r="DJ12" s="34" t="n">
        <v>-150</v>
      </c>
      <c r="DK12" s="34" t="n">
        <v>-150</v>
      </c>
      <c r="DL12" s="34" t="n">
        <v>-150</v>
      </c>
      <c r="DM12" s="34" t="n">
        <v>-150</v>
      </c>
      <c r="DN12" s="34" t="n">
        <v>-150</v>
      </c>
      <c r="DO12" s="34" t="n">
        <v>-150</v>
      </c>
      <c r="DP12" s="34" t="n">
        <v>-150</v>
      </c>
      <c r="DQ12" s="34" t="n">
        <v>-150</v>
      </c>
    </row>
    <row r="13">
      <c r="A13" t="inlineStr">
        <is>
          <t>Total OpEx</t>
        </is>
      </c>
      <c r="B13" s="34">
        <f>B11+B12+B13</f>
        <v/>
      </c>
      <c r="C13" s="34">
        <f>C11+C12+C13</f>
        <v/>
      </c>
      <c r="D13" s="34">
        <f>D11+D12+D13</f>
        <v/>
      </c>
      <c r="E13" s="34">
        <f>E11+E12+E13</f>
        <v/>
      </c>
      <c r="F13" s="34">
        <f>F11+F12+F13</f>
        <v/>
      </c>
      <c r="G13" s="34">
        <f>G11+G12+G13</f>
        <v/>
      </c>
      <c r="H13" s="34">
        <f>H11+H12+H13</f>
        <v/>
      </c>
      <c r="I13" s="34">
        <f>I11+I12+I13</f>
        <v/>
      </c>
      <c r="J13" s="34">
        <f>J11+J12+J13</f>
        <v/>
      </c>
      <c r="K13" s="34">
        <f>K11+K12+K13</f>
        <v/>
      </c>
      <c r="L13" s="34">
        <f>L11+L12+L13</f>
        <v/>
      </c>
      <c r="M13" s="34">
        <f>M11+M12+M13</f>
        <v/>
      </c>
      <c r="N13" s="34">
        <f>N11+N12+N13</f>
        <v/>
      </c>
      <c r="O13" s="34">
        <f>O11+O12+O13</f>
        <v/>
      </c>
      <c r="P13" s="34">
        <f>P11+P12+P13</f>
        <v/>
      </c>
      <c r="Q13" s="34">
        <f>Q11+Q12+Q13</f>
        <v/>
      </c>
      <c r="R13" s="34">
        <f>R11+R12+R13</f>
        <v/>
      </c>
      <c r="S13" s="34">
        <f>S11+S12+S13</f>
        <v/>
      </c>
      <c r="T13" s="34">
        <f>T11+T12+T13</f>
        <v/>
      </c>
      <c r="U13" s="34">
        <f>U11+U12+U13</f>
        <v/>
      </c>
      <c r="V13" s="34">
        <f>V11+V12+V13</f>
        <v/>
      </c>
      <c r="W13" s="34">
        <f>W11+W12+W13</f>
        <v/>
      </c>
      <c r="X13" s="34">
        <f>X11+X12+X13</f>
        <v/>
      </c>
      <c r="Y13" s="34">
        <f>Y11+Y12+Y13</f>
        <v/>
      </c>
      <c r="Z13" s="34">
        <f>Z11+Z12+Z13</f>
        <v/>
      </c>
      <c r="AA13" s="34">
        <f>AA11+AA12+AA13</f>
        <v/>
      </c>
      <c r="AB13" s="34">
        <f>AB11+AB12+AB13</f>
        <v/>
      </c>
      <c r="AC13" s="34">
        <f>AC11+AC12+AC13</f>
        <v/>
      </c>
      <c r="AD13" s="34">
        <f>AD11+AD12+AD13</f>
        <v/>
      </c>
      <c r="AE13" s="34">
        <f>AE11+AE12+AE13</f>
        <v/>
      </c>
      <c r="AF13" s="34">
        <f>AF11+AF12+AF13</f>
        <v/>
      </c>
      <c r="AG13" s="34">
        <f>AG11+AG12+AG13</f>
        <v/>
      </c>
      <c r="AH13" s="34">
        <f>AH11+AH12+AH13</f>
        <v/>
      </c>
      <c r="AI13" s="34">
        <f>AI11+AI12+AI13</f>
        <v/>
      </c>
      <c r="AJ13" s="34">
        <f>AJ11+AJ12+AJ13</f>
        <v/>
      </c>
      <c r="AK13" s="34">
        <f>AK11+AK12+AK13</f>
        <v/>
      </c>
      <c r="AL13" s="34">
        <f>AL11+AL12+AL13</f>
        <v/>
      </c>
      <c r="AM13" s="34">
        <f>AM11+AM12+AM13</f>
        <v/>
      </c>
      <c r="AN13" s="34">
        <f>AN11+AN12+AN13</f>
        <v/>
      </c>
      <c r="AO13" s="34">
        <f>AO11+AO12+AO13</f>
        <v/>
      </c>
      <c r="AP13" s="34">
        <f>AP11+AP12+AP13</f>
        <v/>
      </c>
      <c r="AQ13" s="34">
        <f>AQ11+AQ12+AQ13</f>
        <v/>
      </c>
      <c r="AR13" s="34">
        <f>AR11+AR12+AR13</f>
        <v/>
      </c>
      <c r="AS13" s="34">
        <f>AS11+AS12+AS13</f>
        <v/>
      </c>
      <c r="AT13" s="34">
        <f>AT11+AT12+AT13</f>
        <v/>
      </c>
      <c r="AU13" s="34">
        <f>AU11+AU12+AU13</f>
        <v/>
      </c>
      <c r="AV13" s="34">
        <f>AV11+AV12+AV13</f>
        <v/>
      </c>
      <c r="AW13" s="34">
        <f>AW11+AW12+AW13</f>
        <v/>
      </c>
      <c r="AX13" s="34">
        <f>AX11+AX12+AX13</f>
        <v/>
      </c>
      <c r="AY13" s="34">
        <f>AY11+AY12+AY13</f>
        <v/>
      </c>
      <c r="AZ13" s="34">
        <f>AZ11+AZ12+AZ13</f>
        <v/>
      </c>
      <c r="BA13" s="34">
        <f>BA11+BA12+BA13</f>
        <v/>
      </c>
      <c r="BB13" s="34">
        <f>BB11+BB12+BB13</f>
        <v/>
      </c>
      <c r="BC13" s="34">
        <f>BC11+BC12+BC13</f>
        <v/>
      </c>
      <c r="BD13" s="34">
        <f>BD11+BD12+BD13</f>
        <v/>
      </c>
      <c r="BE13" s="34">
        <f>BE11+BE12+BE13</f>
        <v/>
      </c>
      <c r="BF13" s="34">
        <f>BF11+BF12+BF13</f>
        <v/>
      </c>
      <c r="BG13" s="34">
        <f>BG11+BG12+BG13</f>
        <v/>
      </c>
      <c r="BH13" s="34">
        <f>BH11+BH12+BH13</f>
        <v/>
      </c>
      <c r="BI13" s="34">
        <f>BI11+BI12+BI13</f>
        <v/>
      </c>
      <c r="BJ13" s="34">
        <f>BJ11+BJ12+BJ13</f>
        <v/>
      </c>
      <c r="BK13" s="34">
        <f>BK11+BK12+BK13</f>
        <v/>
      </c>
      <c r="BL13" s="34">
        <f>BL11+BL12+BL13</f>
        <v/>
      </c>
      <c r="BM13" s="34">
        <f>BM11+BM12+BM13</f>
        <v/>
      </c>
      <c r="BN13" s="34">
        <f>BN11+BN12+BN13</f>
        <v/>
      </c>
      <c r="BO13" s="34">
        <f>BO11+BO12+BO13</f>
        <v/>
      </c>
      <c r="BP13" s="34">
        <f>BP11+BP12+BP13</f>
        <v/>
      </c>
      <c r="BQ13" s="34">
        <f>BQ11+BQ12+BQ13</f>
        <v/>
      </c>
      <c r="BR13" s="34">
        <f>BR11+BR12+BR13</f>
        <v/>
      </c>
      <c r="BS13" s="34">
        <f>BS11+BS12+BS13</f>
        <v/>
      </c>
      <c r="BT13" s="34">
        <f>BT11+BT12+BT13</f>
        <v/>
      </c>
      <c r="BU13" s="34">
        <f>BU11+BU12+BU13</f>
        <v/>
      </c>
      <c r="BV13" s="34">
        <f>BV11+BV12+BV13</f>
        <v/>
      </c>
      <c r="BW13" s="34">
        <f>BW11+BW12+BW13</f>
        <v/>
      </c>
      <c r="BX13" s="34">
        <f>BX11+BX12+BX13</f>
        <v/>
      </c>
      <c r="BY13" s="34">
        <f>BY11+BY12+BY13</f>
        <v/>
      </c>
      <c r="BZ13" s="34">
        <f>BZ11+BZ12+BZ13</f>
        <v/>
      </c>
      <c r="CA13" s="34">
        <f>CA11+CA12+CA13</f>
        <v/>
      </c>
      <c r="CB13" s="34">
        <f>CB11+CB12+CB13</f>
        <v/>
      </c>
      <c r="CC13" s="34">
        <f>CC11+CC12+CC13</f>
        <v/>
      </c>
      <c r="CD13" s="34">
        <f>CD11+CD12+CD13</f>
        <v/>
      </c>
      <c r="CE13" s="34">
        <f>CE11+CE12+CE13</f>
        <v/>
      </c>
      <c r="CF13" s="34">
        <f>CF11+CF12+CF13</f>
        <v/>
      </c>
      <c r="CG13" s="34">
        <f>CG11+CG12+CG13</f>
        <v/>
      </c>
      <c r="CH13" s="34">
        <f>CH11+CH12+CH13</f>
        <v/>
      </c>
      <c r="CI13" s="34">
        <f>CI11+CI12+CI13</f>
        <v/>
      </c>
      <c r="CJ13" s="34">
        <f>CJ11+CJ12+CJ13</f>
        <v/>
      </c>
      <c r="CK13" s="34">
        <f>CK11+CK12+CK13</f>
        <v/>
      </c>
      <c r="CL13" s="34">
        <f>CL11+CL12+CL13</f>
        <v/>
      </c>
      <c r="CM13" s="34">
        <f>CM11+CM12+CM13</f>
        <v/>
      </c>
      <c r="CN13" s="34">
        <f>CN11+CN12+CN13</f>
        <v/>
      </c>
      <c r="CO13" s="34">
        <f>CO11+CO12+CO13</f>
        <v/>
      </c>
      <c r="CP13" s="34">
        <f>CP11+CP12+CP13</f>
        <v/>
      </c>
      <c r="CQ13" s="34">
        <f>CQ11+CQ12+CQ13</f>
        <v/>
      </c>
      <c r="CR13" s="34">
        <f>CR11+CR12+CR13</f>
        <v/>
      </c>
      <c r="CS13" s="34">
        <f>CS11+CS12+CS13</f>
        <v/>
      </c>
      <c r="CT13" s="34">
        <f>CT11+CT12+CT13</f>
        <v/>
      </c>
      <c r="CU13" s="34">
        <f>CU11+CU12+CU13</f>
        <v/>
      </c>
      <c r="CV13" s="34">
        <f>CV11+CV12+CV13</f>
        <v/>
      </c>
      <c r="CW13" s="34">
        <f>CW11+CW12+CW13</f>
        <v/>
      </c>
      <c r="CX13" s="34">
        <f>CX11+CX12+CX13</f>
        <v/>
      </c>
      <c r="CY13" s="34">
        <f>CY11+CY12+CY13</f>
        <v/>
      </c>
      <c r="CZ13" s="34">
        <f>CZ11+CZ12+CZ13</f>
        <v/>
      </c>
      <c r="DA13" s="34">
        <f>DA11+DA12+DA13</f>
        <v/>
      </c>
      <c r="DB13" s="34">
        <f>DB11+DB12+DB13</f>
        <v/>
      </c>
      <c r="DC13" s="34">
        <f>DC11+DC12+DC13</f>
        <v/>
      </c>
      <c r="DD13" s="34">
        <f>DD11+DD12+DD13</f>
        <v/>
      </c>
      <c r="DE13" s="34">
        <f>DE11+DE12+DE13</f>
        <v/>
      </c>
      <c r="DF13" s="34">
        <f>DF11+DF12+DF13</f>
        <v/>
      </c>
      <c r="DG13" s="34">
        <f>DG11+DG12+DG13</f>
        <v/>
      </c>
      <c r="DH13" s="34">
        <f>DH11+DH12+DH13</f>
        <v/>
      </c>
      <c r="DI13" s="34">
        <f>DI11+DI12+DI13</f>
        <v/>
      </c>
      <c r="DJ13" s="34">
        <f>DJ11+DJ12+DJ13</f>
        <v/>
      </c>
      <c r="DK13" s="34">
        <f>DK11+DK12+DK13</f>
        <v/>
      </c>
      <c r="DL13" s="34">
        <f>DL11+DL12+DL13</f>
        <v/>
      </c>
      <c r="DM13" s="34">
        <f>DM11+DM12+DM13</f>
        <v/>
      </c>
      <c r="DN13" s="34">
        <f>DN11+DN12+DN13</f>
        <v/>
      </c>
      <c r="DO13" s="34">
        <f>DO11+DO12+DO13</f>
        <v/>
      </c>
      <c r="DP13" s="34">
        <f>DP11+DP12+DP13</f>
        <v/>
      </c>
      <c r="DQ13" s="34">
        <f>DQ11+DQ12+DQ13</f>
        <v/>
      </c>
    </row>
    <row r="14">
      <c r="A14" t="inlineStr"/>
    </row>
    <row r="15">
      <c r="A15" s="3" t="inlineStr">
        <is>
          <t>EBITDA</t>
        </is>
      </c>
      <c r="B15" s="35">
        <f>B6+B14</f>
        <v/>
      </c>
      <c r="C15" s="35">
        <f>C6+C14</f>
        <v/>
      </c>
      <c r="D15" s="35">
        <f>D6+D14</f>
        <v/>
      </c>
      <c r="E15" s="35">
        <f>E6+E14</f>
        <v/>
      </c>
      <c r="F15" s="35">
        <f>F6+F14</f>
        <v/>
      </c>
      <c r="G15" s="35">
        <f>G6+G14</f>
        <v/>
      </c>
      <c r="H15" s="35">
        <f>H6+H14</f>
        <v/>
      </c>
      <c r="I15" s="35">
        <f>I6+I14</f>
        <v/>
      </c>
      <c r="J15" s="35">
        <f>J6+J14</f>
        <v/>
      </c>
      <c r="K15" s="35">
        <f>K6+K14</f>
        <v/>
      </c>
      <c r="L15" s="35">
        <f>L6+L14</f>
        <v/>
      </c>
      <c r="M15" s="35">
        <f>M6+M14</f>
        <v/>
      </c>
      <c r="N15" s="35">
        <f>N6+N14</f>
        <v/>
      </c>
      <c r="O15" s="35">
        <f>O6+O14</f>
        <v/>
      </c>
      <c r="P15" s="35">
        <f>P6+P14</f>
        <v/>
      </c>
      <c r="Q15" s="35">
        <f>Q6+Q14</f>
        <v/>
      </c>
      <c r="R15" s="35">
        <f>R6+R14</f>
        <v/>
      </c>
      <c r="S15" s="35">
        <f>S6+S14</f>
        <v/>
      </c>
      <c r="T15" s="35">
        <f>T6+T14</f>
        <v/>
      </c>
      <c r="U15" s="35">
        <f>U6+U14</f>
        <v/>
      </c>
      <c r="V15" s="35">
        <f>V6+V14</f>
        <v/>
      </c>
      <c r="W15" s="35">
        <f>W6+W14</f>
        <v/>
      </c>
      <c r="X15" s="35">
        <f>X6+X14</f>
        <v/>
      </c>
      <c r="Y15" s="35">
        <f>Y6+Y14</f>
        <v/>
      </c>
      <c r="Z15" s="35">
        <f>Z6+Z14</f>
        <v/>
      </c>
      <c r="AA15" s="35">
        <f>AA6+AA14</f>
        <v/>
      </c>
      <c r="AB15" s="35">
        <f>AB6+AB14</f>
        <v/>
      </c>
      <c r="AC15" s="35">
        <f>AC6+AC14</f>
        <v/>
      </c>
      <c r="AD15" s="35">
        <f>AD6+AD14</f>
        <v/>
      </c>
      <c r="AE15" s="35">
        <f>AE6+AE14</f>
        <v/>
      </c>
      <c r="AF15" s="35">
        <f>AF6+AF14</f>
        <v/>
      </c>
      <c r="AG15" s="35">
        <f>AG6+AG14</f>
        <v/>
      </c>
      <c r="AH15" s="35">
        <f>AH6+AH14</f>
        <v/>
      </c>
      <c r="AI15" s="35">
        <f>AI6+AI14</f>
        <v/>
      </c>
      <c r="AJ15" s="35">
        <f>AJ6+AJ14</f>
        <v/>
      </c>
      <c r="AK15" s="35">
        <f>AK6+AK14</f>
        <v/>
      </c>
      <c r="AL15" s="35">
        <f>AL6+AL14</f>
        <v/>
      </c>
      <c r="AM15" s="35">
        <f>AM6+AM14</f>
        <v/>
      </c>
      <c r="AN15" s="35">
        <f>AN6+AN14</f>
        <v/>
      </c>
      <c r="AO15" s="35">
        <f>AO6+AO14</f>
        <v/>
      </c>
      <c r="AP15" s="35">
        <f>AP6+AP14</f>
        <v/>
      </c>
      <c r="AQ15" s="35">
        <f>AQ6+AQ14</f>
        <v/>
      </c>
      <c r="AR15" s="35">
        <f>AR6+AR14</f>
        <v/>
      </c>
      <c r="AS15" s="35">
        <f>AS6+AS14</f>
        <v/>
      </c>
      <c r="AT15" s="35">
        <f>AT6+AT14</f>
        <v/>
      </c>
      <c r="AU15" s="35">
        <f>AU6+AU14</f>
        <v/>
      </c>
      <c r="AV15" s="35">
        <f>AV6+AV14</f>
        <v/>
      </c>
      <c r="AW15" s="35">
        <f>AW6+AW14</f>
        <v/>
      </c>
      <c r="AX15" s="35">
        <f>AX6+AX14</f>
        <v/>
      </c>
      <c r="AY15" s="35">
        <f>AY6+AY14</f>
        <v/>
      </c>
      <c r="AZ15" s="35">
        <f>AZ6+AZ14</f>
        <v/>
      </c>
      <c r="BA15" s="35">
        <f>BA6+BA14</f>
        <v/>
      </c>
      <c r="BB15" s="35">
        <f>BB6+BB14</f>
        <v/>
      </c>
      <c r="BC15" s="35">
        <f>BC6+BC14</f>
        <v/>
      </c>
      <c r="BD15" s="35">
        <f>BD6+BD14</f>
        <v/>
      </c>
      <c r="BE15" s="35">
        <f>BE6+BE14</f>
        <v/>
      </c>
      <c r="BF15" s="35">
        <f>BF6+BF14</f>
        <v/>
      </c>
      <c r="BG15" s="35">
        <f>BG6+BG14</f>
        <v/>
      </c>
      <c r="BH15" s="35">
        <f>BH6+BH14</f>
        <v/>
      </c>
      <c r="BI15" s="35">
        <f>BI6+BI14</f>
        <v/>
      </c>
      <c r="BJ15" s="35">
        <f>BJ6+BJ14</f>
        <v/>
      </c>
      <c r="BK15" s="35">
        <f>BK6+BK14</f>
        <v/>
      </c>
      <c r="BL15" s="35">
        <f>BL6+BL14</f>
        <v/>
      </c>
      <c r="BM15" s="35">
        <f>BM6+BM14</f>
        <v/>
      </c>
      <c r="BN15" s="35">
        <f>BN6+BN14</f>
        <v/>
      </c>
      <c r="BO15" s="35">
        <f>BO6+BO14</f>
        <v/>
      </c>
      <c r="BP15" s="35">
        <f>BP6+BP14</f>
        <v/>
      </c>
      <c r="BQ15" s="35">
        <f>BQ6+BQ14</f>
        <v/>
      </c>
      <c r="BR15" s="35">
        <f>BR6+BR14</f>
        <v/>
      </c>
      <c r="BS15" s="35">
        <f>BS6+BS14</f>
        <v/>
      </c>
      <c r="BT15" s="35">
        <f>BT6+BT14</f>
        <v/>
      </c>
      <c r="BU15" s="35">
        <f>BU6+BU14</f>
        <v/>
      </c>
      <c r="BV15" s="35">
        <f>BV6+BV14</f>
        <v/>
      </c>
      <c r="BW15" s="35">
        <f>BW6+BW14</f>
        <v/>
      </c>
      <c r="BX15" s="35">
        <f>BX6+BX14</f>
        <v/>
      </c>
      <c r="BY15" s="35">
        <f>BY6+BY14</f>
        <v/>
      </c>
      <c r="BZ15" s="35">
        <f>BZ6+BZ14</f>
        <v/>
      </c>
      <c r="CA15" s="35">
        <f>CA6+CA14</f>
        <v/>
      </c>
      <c r="CB15" s="35">
        <f>CB6+CB14</f>
        <v/>
      </c>
      <c r="CC15" s="35">
        <f>CC6+CC14</f>
        <v/>
      </c>
      <c r="CD15" s="35">
        <f>CD6+CD14</f>
        <v/>
      </c>
      <c r="CE15" s="35">
        <f>CE6+CE14</f>
        <v/>
      </c>
      <c r="CF15" s="35">
        <f>CF6+CF14</f>
        <v/>
      </c>
      <c r="CG15" s="35">
        <f>CG6+CG14</f>
        <v/>
      </c>
      <c r="CH15" s="35">
        <f>CH6+CH14</f>
        <v/>
      </c>
      <c r="CI15" s="35">
        <f>CI6+CI14</f>
        <v/>
      </c>
      <c r="CJ15" s="35">
        <f>CJ6+CJ14</f>
        <v/>
      </c>
      <c r="CK15" s="35">
        <f>CK6+CK14</f>
        <v/>
      </c>
      <c r="CL15" s="35">
        <f>CL6+CL14</f>
        <v/>
      </c>
      <c r="CM15" s="35">
        <f>CM6+CM14</f>
        <v/>
      </c>
      <c r="CN15" s="35">
        <f>CN6+CN14</f>
        <v/>
      </c>
      <c r="CO15" s="35">
        <f>CO6+CO14</f>
        <v/>
      </c>
      <c r="CP15" s="35">
        <f>CP6+CP14</f>
        <v/>
      </c>
      <c r="CQ15" s="35">
        <f>CQ6+CQ14</f>
        <v/>
      </c>
      <c r="CR15" s="35">
        <f>CR6+CR14</f>
        <v/>
      </c>
      <c r="CS15" s="35">
        <f>CS6+CS14</f>
        <v/>
      </c>
      <c r="CT15" s="35">
        <f>CT6+CT14</f>
        <v/>
      </c>
      <c r="CU15" s="35">
        <f>CU6+CU14</f>
        <v/>
      </c>
      <c r="CV15" s="35">
        <f>CV6+CV14</f>
        <v/>
      </c>
      <c r="CW15" s="35">
        <f>CW6+CW14</f>
        <v/>
      </c>
      <c r="CX15" s="35">
        <f>CX6+CX14</f>
        <v/>
      </c>
      <c r="CY15" s="35">
        <f>CY6+CY14</f>
        <v/>
      </c>
      <c r="CZ15" s="35">
        <f>CZ6+CZ14</f>
        <v/>
      </c>
      <c r="DA15" s="35">
        <f>DA6+DA14</f>
        <v/>
      </c>
      <c r="DB15" s="35">
        <f>DB6+DB14</f>
        <v/>
      </c>
      <c r="DC15" s="35">
        <f>DC6+DC14</f>
        <v/>
      </c>
      <c r="DD15" s="35">
        <f>DD6+DD14</f>
        <v/>
      </c>
      <c r="DE15" s="35">
        <f>DE6+DE14</f>
        <v/>
      </c>
      <c r="DF15" s="35">
        <f>DF6+DF14</f>
        <v/>
      </c>
      <c r="DG15" s="35">
        <f>DG6+DG14</f>
        <v/>
      </c>
      <c r="DH15" s="35">
        <f>DH6+DH14</f>
        <v/>
      </c>
      <c r="DI15" s="35">
        <f>DI6+DI14</f>
        <v/>
      </c>
      <c r="DJ15" s="35">
        <f>DJ6+DJ14</f>
        <v/>
      </c>
      <c r="DK15" s="35">
        <f>DK6+DK14</f>
        <v/>
      </c>
      <c r="DL15" s="35">
        <f>DL6+DL14</f>
        <v/>
      </c>
      <c r="DM15" s="35">
        <f>DM6+DM14</f>
        <v/>
      </c>
      <c r="DN15" s="35">
        <f>DN6+DN14</f>
        <v/>
      </c>
      <c r="DO15" s="35">
        <f>DO6+DO14</f>
        <v/>
      </c>
      <c r="DP15" s="35">
        <f>DP6+DP14</f>
        <v/>
      </c>
      <c r="DQ15" s="35">
        <f>DQ6+DQ14</f>
        <v/>
      </c>
    </row>
    <row r="16">
      <c r="A16" s="3" t="inlineStr">
        <is>
          <t>EBITDA Margin %</t>
        </is>
      </c>
      <c r="B16" s="24">
        <f>B16/B4</f>
        <v/>
      </c>
      <c r="C16" s="24">
        <f>C16/C4</f>
        <v/>
      </c>
      <c r="D16" s="24">
        <f>D16/D4</f>
        <v/>
      </c>
      <c r="E16" s="24">
        <f>E16/E4</f>
        <v/>
      </c>
      <c r="F16" s="24">
        <f>F16/F4</f>
        <v/>
      </c>
      <c r="G16" s="24">
        <f>G16/G4</f>
        <v/>
      </c>
      <c r="H16" s="24">
        <f>H16/H4</f>
        <v/>
      </c>
      <c r="I16" s="24">
        <f>I16/I4</f>
        <v/>
      </c>
      <c r="J16" s="24">
        <f>J16/J4</f>
        <v/>
      </c>
      <c r="K16" s="24">
        <f>K16/K4</f>
        <v/>
      </c>
      <c r="L16" s="24">
        <f>L16/L4</f>
        <v/>
      </c>
      <c r="M16" s="24">
        <f>M16/M4</f>
        <v/>
      </c>
      <c r="N16" s="24">
        <f>N16/N4</f>
        <v/>
      </c>
      <c r="O16" s="24">
        <f>O16/O4</f>
        <v/>
      </c>
      <c r="P16" s="24">
        <f>P16/P4</f>
        <v/>
      </c>
      <c r="Q16" s="24">
        <f>Q16/Q4</f>
        <v/>
      </c>
      <c r="R16" s="24">
        <f>R16/R4</f>
        <v/>
      </c>
      <c r="S16" s="24">
        <f>S16/S4</f>
        <v/>
      </c>
      <c r="T16" s="24">
        <f>T16/T4</f>
        <v/>
      </c>
      <c r="U16" s="24">
        <f>U16/U4</f>
        <v/>
      </c>
      <c r="V16" s="24">
        <f>V16/V4</f>
        <v/>
      </c>
      <c r="W16" s="24">
        <f>W16/W4</f>
        <v/>
      </c>
      <c r="X16" s="24">
        <f>X16/X4</f>
        <v/>
      </c>
      <c r="Y16" s="24">
        <f>Y16/Y4</f>
        <v/>
      </c>
      <c r="Z16" s="24">
        <f>Z16/Z4</f>
        <v/>
      </c>
      <c r="AA16" s="24">
        <f>AA16/AA4</f>
        <v/>
      </c>
      <c r="AB16" s="24">
        <f>AB16/AB4</f>
        <v/>
      </c>
      <c r="AC16" s="24">
        <f>AC16/AC4</f>
        <v/>
      </c>
      <c r="AD16" s="24">
        <f>AD16/AD4</f>
        <v/>
      </c>
      <c r="AE16" s="24">
        <f>AE16/AE4</f>
        <v/>
      </c>
      <c r="AF16" s="24">
        <f>AF16/AF4</f>
        <v/>
      </c>
      <c r="AG16" s="24">
        <f>AG16/AG4</f>
        <v/>
      </c>
      <c r="AH16" s="24">
        <f>AH16/AH4</f>
        <v/>
      </c>
      <c r="AI16" s="24">
        <f>AI16/AI4</f>
        <v/>
      </c>
      <c r="AJ16" s="24">
        <f>AJ16/AJ4</f>
        <v/>
      </c>
      <c r="AK16" s="24">
        <f>AK16/AK4</f>
        <v/>
      </c>
      <c r="AL16" s="24">
        <f>AL16/AL4</f>
        <v/>
      </c>
      <c r="AM16" s="24">
        <f>AM16/AM4</f>
        <v/>
      </c>
      <c r="AN16" s="24">
        <f>AN16/AN4</f>
        <v/>
      </c>
      <c r="AO16" s="24">
        <f>AO16/AO4</f>
        <v/>
      </c>
      <c r="AP16" s="24">
        <f>AP16/AP4</f>
        <v/>
      </c>
      <c r="AQ16" s="24">
        <f>AQ16/AQ4</f>
        <v/>
      </c>
      <c r="AR16" s="24">
        <f>AR16/AR4</f>
        <v/>
      </c>
      <c r="AS16" s="24">
        <f>AS16/AS4</f>
        <v/>
      </c>
      <c r="AT16" s="24">
        <f>AT16/AT4</f>
        <v/>
      </c>
      <c r="AU16" s="24">
        <f>AU16/AU4</f>
        <v/>
      </c>
      <c r="AV16" s="24">
        <f>AV16/AV4</f>
        <v/>
      </c>
      <c r="AW16" s="24">
        <f>AW16/AW4</f>
        <v/>
      </c>
      <c r="AX16" s="24">
        <f>AX16/AX4</f>
        <v/>
      </c>
      <c r="AY16" s="24">
        <f>AY16/AY4</f>
        <v/>
      </c>
      <c r="AZ16" s="24">
        <f>AZ16/AZ4</f>
        <v/>
      </c>
      <c r="BA16" s="24">
        <f>BA16/BA4</f>
        <v/>
      </c>
      <c r="BB16" s="24">
        <f>BB16/BB4</f>
        <v/>
      </c>
      <c r="BC16" s="24">
        <f>BC16/BC4</f>
        <v/>
      </c>
      <c r="BD16" s="24">
        <f>BD16/BD4</f>
        <v/>
      </c>
      <c r="BE16" s="24">
        <f>BE16/BE4</f>
        <v/>
      </c>
      <c r="BF16" s="24">
        <f>BF16/BF4</f>
        <v/>
      </c>
      <c r="BG16" s="24">
        <f>BG16/BG4</f>
        <v/>
      </c>
      <c r="BH16" s="24">
        <f>BH16/BH4</f>
        <v/>
      </c>
      <c r="BI16" s="24">
        <f>BI16/BI4</f>
        <v/>
      </c>
      <c r="BJ16" s="24">
        <f>BJ16/BJ4</f>
        <v/>
      </c>
      <c r="BK16" s="24">
        <f>BK16/BK4</f>
        <v/>
      </c>
      <c r="BL16" s="24">
        <f>BL16/BL4</f>
        <v/>
      </c>
      <c r="BM16" s="24">
        <f>BM16/BM4</f>
        <v/>
      </c>
      <c r="BN16" s="24">
        <f>BN16/BN4</f>
        <v/>
      </c>
      <c r="BO16" s="24">
        <f>BO16/BO4</f>
        <v/>
      </c>
      <c r="BP16" s="24">
        <f>BP16/BP4</f>
        <v/>
      </c>
      <c r="BQ16" s="24">
        <f>BQ16/BQ4</f>
        <v/>
      </c>
      <c r="BR16" s="24">
        <f>BR16/BR4</f>
        <v/>
      </c>
      <c r="BS16" s="24">
        <f>BS16/BS4</f>
        <v/>
      </c>
      <c r="BT16" s="24">
        <f>BT16/BT4</f>
        <v/>
      </c>
      <c r="BU16" s="24">
        <f>BU16/BU4</f>
        <v/>
      </c>
      <c r="BV16" s="24">
        <f>BV16/BV4</f>
        <v/>
      </c>
      <c r="BW16" s="24">
        <f>BW16/BW4</f>
        <v/>
      </c>
      <c r="BX16" s="24">
        <f>BX16/BX4</f>
        <v/>
      </c>
      <c r="BY16" s="24">
        <f>BY16/BY4</f>
        <v/>
      </c>
      <c r="BZ16" s="24">
        <f>BZ16/BZ4</f>
        <v/>
      </c>
      <c r="CA16" s="24">
        <f>CA16/CA4</f>
        <v/>
      </c>
      <c r="CB16" s="24">
        <f>CB16/CB4</f>
        <v/>
      </c>
      <c r="CC16" s="24">
        <f>CC16/CC4</f>
        <v/>
      </c>
      <c r="CD16" s="24">
        <f>CD16/CD4</f>
        <v/>
      </c>
      <c r="CE16" s="24">
        <f>CE16/CE4</f>
        <v/>
      </c>
      <c r="CF16" s="24">
        <f>CF16/CF4</f>
        <v/>
      </c>
      <c r="CG16" s="24">
        <f>CG16/CG4</f>
        <v/>
      </c>
      <c r="CH16" s="24">
        <f>CH16/CH4</f>
        <v/>
      </c>
      <c r="CI16" s="24">
        <f>CI16/CI4</f>
        <v/>
      </c>
      <c r="CJ16" s="24">
        <f>CJ16/CJ4</f>
        <v/>
      </c>
      <c r="CK16" s="24">
        <f>CK16/CK4</f>
        <v/>
      </c>
      <c r="CL16" s="24">
        <f>CL16/CL4</f>
        <v/>
      </c>
      <c r="CM16" s="24">
        <f>CM16/CM4</f>
        <v/>
      </c>
      <c r="CN16" s="24">
        <f>CN16/CN4</f>
        <v/>
      </c>
      <c r="CO16" s="24">
        <f>CO16/CO4</f>
        <v/>
      </c>
      <c r="CP16" s="24">
        <f>CP16/CP4</f>
        <v/>
      </c>
      <c r="CQ16" s="24">
        <f>CQ16/CQ4</f>
        <v/>
      </c>
      <c r="CR16" s="24">
        <f>CR16/CR4</f>
        <v/>
      </c>
      <c r="CS16" s="24">
        <f>CS16/CS4</f>
        <v/>
      </c>
      <c r="CT16" s="24">
        <f>CT16/CT4</f>
        <v/>
      </c>
      <c r="CU16" s="24">
        <f>CU16/CU4</f>
        <v/>
      </c>
      <c r="CV16" s="24">
        <f>CV16/CV4</f>
        <v/>
      </c>
      <c r="CW16" s="24">
        <f>CW16/CW4</f>
        <v/>
      </c>
      <c r="CX16" s="24">
        <f>CX16/CX4</f>
        <v/>
      </c>
      <c r="CY16" s="24">
        <f>CY16/CY4</f>
        <v/>
      </c>
      <c r="CZ16" s="24">
        <f>CZ16/CZ4</f>
        <v/>
      </c>
      <c r="DA16" s="24">
        <f>DA16/DA4</f>
        <v/>
      </c>
      <c r="DB16" s="24">
        <f>DB16/DB4</f>
        <v/>
      </c>
      <c r="DC16" s="24">
        <f>DC16/DC4</f>
        <v/>
      </c>
      <c r="DD16" s="24">
        <f>DD16/DD4</f>
        <v/>
      </c>
      <c r="DE16" s="24">
        <f>DE16/DE4</f>
        <v/>
      </c>
      <c r="DF16" s="24">
        <f>DF16/DF4</f>
        <v/>
      </c>
      <c r="DG16" s="24">
        <f>DG16/DG4</f>
        <v/>
      </c>
      <c r="DH16" s="24">
        <f>DH16/DH4</f>
        <v/>
      </c>
      <c r="DI16" s="24">
        <f>DI16/DI4</f>
        <v/>
      </c>
      <c r="DJ16" s="24">
        <f>DJ16/DJ4</f>
        <v/>
      </c>
      <c r="DK16" s="24">
        <f>DK16/DK4</f>
        <v/>
      </c>
      <c r="DL16" s="24">
        <f>DL16/DL4</f>
        <v/>
      </c>
      <c r="DM16" s="24">
        <f>DM16/DM4</f>
        <v/>
      </c>
      <c r="DN16" s="24">
        <f>DN16/DN4</f>
        <v/>
      </c>
      <c r="DO16" s="24">
        <f>DO16/DO4</f>
        <v/>
      </c>
      <c r="DP16" s="24">
        <f>DP16/DP4</f>
        <v/>
      </c>
      <c r="DQ16" s="24">
        <f>DQ16/DQ4</f>
        <v/>
      </c>
    </row>
    <row r="17">
      <c r="A17" t="inlineStr"/>
    </row>
    <row r="18">
      <c r="A18" t="inlineStr">
        <is>
          <t>Depreciation &amp; Amortisation</t>
        </is>
      </c>
      <c r="B18" s="34" t="n">
        <v>-250</v>
      </c>
      <c r="C18" s="34" t="n">
        <v>-250</v>
      </c>
      <c r="D18" s="34" t="n">
        <v>-250</v>
      </c>
      <c r="E18" s="34" t="n">
        <v>-250</v>
      </c>
      <c r="F18" s="34" t="n">
        <v>-250</v>
      </c>
      <c r="G18" s="34" t="n">
        <v>-250</v>
      </c>
      <c r="H18" s="34" t="n">
        <v>-250</v>
      </c>
      <c r="I18" s="34" t="n">
        <v>-250</v>
      </c>
      <c r="J18" s="34" t="n">
        <v>-250</v>
      </c>
      <c r="K18" s="34" t="n">
        <v>-250</v>
      </c>
      <c r="L18" s="34" t="n">
        <v>-250</v>
      </c>
      <c r="M18" s="34" t="n">
        <v>-250</v>
      </c>
      <c r="N18" s="34" t="n">
        <v>-250</v>
      </c>
      <c r="O18" s="34" t="n">
        <v>-250</v>
      </c>
      <c r="P18" s="34" t="n">
        <v>-250</v>
      </c>
      <c r="Q18" s="34" t="n">
        <v>-250</v>
      </c>
      <c r="R18" s="34" t="n">
        <v>-250</v>
      </c>
      <c r="S18" s="34" t="n">
        <v>-250</v>
      </c>
      <c r="T18" s="34" t="n">
        <v>-250</v>
      </c>
      <c r="U18" s="34" t="n">
        <v>-250</v>
      </c>
      <c r="V18" s="34" t="n">
        <v>-250</v>
      </c>
      <c r="W18" s="34" t="n">
        <v>-250</v>
      </c>
      <c r="X18" s="34" t="n">
        <v>-250</v>
      </c>
      <c r="Y18" s="34" t="n">
        <v>-250</v>
      </c>
      <c r="Z18" s="34" t="n">
        <v>-250</v>
      </c>
      <c r="AA18" s="34" t="n">
        <v>-250</v>
      </c>
      <c r="AB18" s="34" t="n">
        <v>-250</v>
      </c>
      <c r="AC18" s="34" t="n">
        <v>-250</v>
      </c>
      <c r="AD18" s="34" t="n">
        <v>-250</v>
      </c>
      <c r="AE18" s="34" t="n">
        <v>-250</v>
      </c>
      <c r="AF18" s="34" t="n">
        <v>-250</v>
      </c>
      <c r="AG18" s="34" t="n">
        <v>-250</v>
      </c>
      <c r="AH18" s="34" t="n">
        <v>-250</v>
      </c>
      <c r="AI18" s="34" t="n">
        <v>-250</v>
      </c>
      <c r="AJ18" s="34" t="n">
        <v>-250</v>
      </c>
      <c r="AK18" s="34" t="n">
        <v>-250</v>
      </c>
      <c r="AL18" s="34" t="n">
        <v>-250</v>
      </c>
      <c r="AM18" s="34" t="n">
        <v>-250</v>
      </c>
      <c r="AN18" s="34" t="n">
        <v>-250</v>
      </c>
      <c r="AO18" s="34" t="n">
        <v>-250</v>
      </c>
      <c r="AP18" s="34" t="n">
        <v>-250</v>
      </c>
      <c r="AQ18" s="34" t="n">
        <v>-250</v>
      </c>
      <c r="AR18" s="34" t="n">
        <v>-250</v>
      </c>
      <c r="AS18" s="34" t="n">
        <v>-250</v>
      </c>
      <c r="AT18" s="34" t="n">
        <v>-250</v>
      </c>
      <c r="AU18" s="34" t="n">
        <v>-250</v>
      </c>
      <c r="AV18" s="34" t="n">
        <v>-250</v>
      </c>
      <c r="AW18" s="34" t="n">
        <v>-250</v>
      </c>
      <c r="AX18" s="34" t="n">
        <v>-250</v>
      </c>
      <c r="AY18" s="34" t="n">
        <v>-250</v>
      </c>
      <c r="AZ18" s="34" t="n">
        <v>-250</v>
      </c>
      <c r="BA18" s="34" t="n">
        <v>-250</v>
      </c>
      <c r="BB18" s="34" t="n">
        <v>-250</v>
      </c>
      <c r="BC18" s="34" t="n">
        <v>-250</v>
      </c>
      <c r="BD18" s="34" t="n">
        <v>-250</v>
      </c>
      <c r="BE18" s="34" t="n">
        <v>-250</v>
      </c>
      <c r="BF18" s="34" t="n">
        <v>-250</v>
      </c>
      <c r="BG18" s="34" t="n">
        <v>-250</v>
      </c>
      <c r="BH18" s="34" t="n">
        <v>-250</v>
      </c>
      <c r="BI18" s="34" t="n">
        <v>-250</v>
      </c>
      <c r="BJ18" s="34" t="n">
        <v>-250</v>
      </c>
      <c r="BK18" s="34" t="n">
        <v>-250</v>
      </c>
      <c r="BL18" s="34" t="n">
        <v>-250</v>
      </c>
      <c r="BM18" s="34" t="n">
        <v>-250</v>
      </c>
      <c r="BN18" s="34" t="n">
        <v>-250</v>
      </c>
      <c r="BO18" s="34" t="n">
        <v>-250</v>
      </c>
      <c r="BP18" s="34" t="n">
        <v>-250</v>
      </c>
      <c r="BQ18" s="34" t="n">
        <v>-250</v>
      </c>
      <c r="BR18" s="34" t="n">
        <v>-250</v>
      </c>
      <c r="BS18" s="34" t="n">
        <v>-250</v>
      </c>
      <c r="BT18" s="34" t="n">
        <v>-250</v>
      </c>
      <c r="BU18" s="34" t="n">
        <v>-250</v>
      </c>
      <c r="BV18" s="34" t="n">
        <v>-250</v>
      </c>
      <c r="BW18" s="34" t="n">
        <v>-250</v>
      </c>
      <c r="BX18" s="34" t="n">
        <v>-250</v>
      </c>
      <c r="BY18" s="34" t="n">
        <v>-250</v>
      </c>
      <c r="BZ18" s="34" t="n">
        <v>-250</v>
      </c>
      <c r="CA18" s="34" t="n">
        <v>-250</v>
      </c>
      <c r="CB18" s="34" t="n">
        <v>-250</v>
      </c>
      <c r="CC18" s="34" t="n">
        <v>-250</v>
      </c>
      <c r="CD18" s="34" t="n">
        <v>-250</v>
      </c>
      <c r="CE18" s="34" t="n">
        <v>-250</v>
      </c>
      <c r="CF18" s="34" t="n">
        <v>-250</v>
      </c>
      <c r="CG18" s="34" t="n">
        <v>-250</v>
      </c>
      <c r="CH18" s="34" t="n">
        <v>-250</v>
      </c>
      <c r="CI18" s="34" t="n">
        <v>-250</v>
      </c>
      <c r="CJ18" s="34" t="n">
        <v>-250</v>
      </c>
      <c r="CK18" s="34" t="n">
        <v>-250</v>
      </c>
      <c r="CL18" s="34" t="n">
        <v>-250</v>
      </c>
      <c r="CM18" s="34" t="n">
        <v>-250</v>
      </c>
      <c r="CN18" s="34" t="n">
        <v>-250</v>
      </c>
      <c r="CO18" s="34" t="n">
        <v>-250</v>
      </c>
      <c r="CP18" s="34" t="n">
        <v>-250</v>
      </c>
      <c r="CQ18" s="34" t="n">
        <v>-250</v>
      </c>
      <c r="CR18" s="34" t="n">
        <v>-250</v>
      </c>
      <c r="CS18" s="34" t="n">
        <v>-250</v>
      </c>
      <c r="CT18" s="34" t="n">
        <v>-250</v>
      </c>
      <c r="CU18" s="34" t="n">
        <v>-250</v>
      </c>
      <c r="CV18" s="34" t="n">
        <v>-250</v>
      </c>
      <c r="CW18" s="34" t="n">
        <v>-250</v>
      </c>
      <c r="CX18" s="34" t="n">
        <v>-250</v>
      </c>
      <c r="CY18" s="34" t="n">
        <v>-250</v>
      </c>
      <c r="CZ18" s="34" t="n">
        <v>-250</v>
      </c>
      <c r="DA18" s="34" t="n">
        <v>-250</v>
      </c>
      <c r="DB18" s="34" t="n">
        <v>-250</v>
      </c>
      <c r="DC18" s="34" t="n">
        <v>-250</v>
      </c>
      <c r="DD18" s="34" t="n">
        <v>-250</v>
      </c>
      <c r="DE18" s="34" t="n">
        <v>-250</v>
      </c>
      <c r="DF18" s="34" t="n">
        <v>-250</v>
      </c>
      <c r="DG18" s="34" t="n">
        <v>-250</v>
      </c>
      <c r="DH18" s="34" t="n">
        <v>-250</v>
      </c>
      <c r="DI18" s="34" t="n">
        <v>-250</v>
      </c>
      <c r="DJ18" s="34" t="n">
        <v>-250</v>
      </c>
      <c r="DK18" s="34" t="n">
        <v>-250</v>
      </c>
      <c r="DL18" s="34" t="n">
        <v>-250</v>
      </c>
      <c r="DM18" s="34" t="n">
        <v>-250</v>
      </c>
      <c r="DN18" s="34" t="n">
        <v>-250</v>
      </c>
      <c r="DO18" s="34" t="n">
        <v>-250</v>
      </c>
      <c r="DP18" s="34" t="n">
        <v>-250</v>
      </c>
      <c r="DQ18" s="34" t="n">
        <v>-250</v>
      </c>
    </row>
    <row r="19">
      <c r="A19" s="3" t="inlineStr">
        <is>
          <t>EBIT</t>
        </is>
      </c>
      <c r="B19" s="35">
        <f>B16+B19</f>
        <v/>
      </c>
      <c r="C19" s="35">
        <f>C16+C19</f>
        <v/>
      </c>
      <c r="D19" s="35">
        <f>D16+D19</f>
        <v/>
      </c>
      <c r="E19" s="35">
        <f>E16+E19</f>
        <v/>
      </c>
      <c r="F19" s="35">
        <f>F16+F19</f>
        <v/>
      </c>
      <c r="G19" s="35">
        <f>G16+G19</f>
        <v/>
      </c>
      <c r="H19" s="35">
        <f>H16+H19</f>
        <v/>
      </c>
      <c r="I19" s="35">
        <f>I16+I19</f>
        <v/>
      </c>
      <c r="J19" s="35">
        <f>J16+J19</f>
        <v/>
      </c>
      <c r="K19" s="35">
        <f>K16+K19</f>
        <v/>
      </c>
      <c r="L19" s="35">
        <f>L16+L19</f>
        <v/>
      </c>
      <c r="M19" s="35">
        <f>M16+M19</f>
        <v/>
      </c>
      <c r="N19" s="35">
        <f>N16+N19</f>
        <v/>
      </c>
      <c r="O19" s="35">
        <f>O16+O19</f>
        <v/>
      </c>
      <c r="P19" s="35">
        <f>P16+P19</f>
        <v/>
      </c>
      <c r="Q19" s="35">
        <f>Q16+Q19</f>
        <v/>
      </c>
      <c r="R19" s="35">
        <f>R16+R19</f>
        <v/>
      </c>
      <c r="S19" s="35">
        <f>S16+S19</f>
        <v/>
      </c>
      <c r="T19" s="35">
        <f>T16+T19</f>
        <v/>
      </c>
      <c r="U19" s="35">
        <f>U16+U19</f>
        <v/>
      </c>
      <c r="V19" s="35">
        <f>V16+V19</f>
        <v/>
      </c>
      <c r="W19" s="35">
        <f>W16+W19</f>
        <v/>
      </c>
      <c r="X19" s="35">
        <f>X16+X19</f>
        <v/>
      </c>
      <c r="Y19" s="35">
        <f>Y16+Y19</f>
        <v/>
      </c>
      <c r="Z19" s="35">
        <f>Z16+Z19</f>
        <v/>
      </c>
      <c r="AA19" s="35">
        <f>AA16+AA19</f>
        <v/>
      </c>
      <c r="AB19" s="35">
        <f>AB16+AB19</f>
        <v/>
      </c>
      <c r="AC19" s="35">
        <f>AC16+AC19</f>
        <v/>
      </c>
      <c r="AD19" s="35">
        <f>AD16+AD19</f>
        <v/>
      </c>
      <c r="AE19" s="35">
        <f>AE16+AE19</f>
        <v/>
      </c>
      <c r="AF19" s="35">
        <f>AF16+AF19</f>
        <v/>
      </c>
      <c r="AG19" s="35">
        <f>AG16+AG19</f>
        <v/>
      </c>
      <c r="AH19" s="35">
        <f>AH16+AH19</f>
        <v/>
      </c>
      <c r="AI19" s="35">
        <f>AI16+AI19</f>
        <v/>
      </c>
      <c r="AJ19" s="35">
        <f>AJ16+AJ19</f>
        <v/>
      </c>
      <c r="AK19" s="35">
        <f>AK16+AK19</f>
        <v/>
      </c>
      <c r="AL19" s="35">
        <f>AL16+AL19</f>
        <v/>
      </c>
      <c r="AM19" s="35">
        <f>AM16+AM19</f>
        <v/>
      </c>
      <c r="AN19" s="35">
        <f>AN16+AN19</f>
        <v/>
      </c>
      <c r="AO19" s="35">
        <f>AO16+AO19</f>
        <v/>
      </c>
      <c r="AP19" s="35">
        <f>AP16+AP19</f>
        <v/>
      </c>
      <c r="AQ19" s="35">
        <f>AQ16+AQ19</f>
        <v/>
      </c>
      <c r="AR19" s="35">
        <f>AR16+AR19</f>
        <v/>
      </c>
      <c r="AS19" s="35">
        <f>AS16+AS19</f>
        <v/>
      </c>
      <c r="AT19" s="35">
        <f>AT16+AT19</f>
        <v/>
      </c>
      <c r="AU19" s="35">
        <f>AU16+AU19</f>
        <v/>
      </c>
      <c r="AV19" s="35">
        <f>AV16+AV19</f>
        <v/>
      </c>
      <c r="AW19" s="35">
        <f>AW16+AW19</f>
        <v/>
      </c>
      <c r="AX19" s="35">
        <f>AX16+AX19</f>
        <v/>
      </c>
      <c r="AY19" s="35">
        <f>AY16+AY19</f>
        <v/>
      </c>
      <c r="AZ19" s="35">
        <f>AZ16+AZ19</f>
        <v/>
      </c>
      <c r="BA19" s="35">
        <f>BA16+BA19</f>
        <v/>
      </c>
      <c r="BB19" s="35">
        <f>BB16+BB19</f>
        <v/>
      </c>
      <c r="BC19" s="35">
        <f>BC16+BC19</f>
        <v/>
      </c>
      <c r="BD19" s="35">
        <f>BD16+BD19</f>
        <v/>
      </c>
      <c r="BE19" s="35">
        <f>BE16+BE19</f>
        <v/>
      </c>
      <c r="BF19" s="35">
        <f>BF16+BF19</f>
        <v/>
      </c>
      <c r="BG19" s="35">
        <f>BG16+BG19</f>
        <v/>
      </c>
      <c r="BH19" s="35">
        <f>BH16+BH19</f>
        <v/>
      </c>
      <c r="BI19" s="35">
        <f>BI16+BI19</f>
        <v/>
      </c>
      <c r="BJ19" s="35">
        <f>BJ16+BJ19</f>
        <v/>
      </c>
      <c r="BK19" s="35">
        <f>BK16+BK19</f>
        <v/>
      </c>
      <c r="BL19" s="35">
        <f>BL16+BL19</f>
        <v/>
      </c>
      <c r="BM19" s="35">
        <f>BM16+BM19</f>
        <v/>
      </c>
      <c r="BN19" s="35">
        <f>BN16+BN19</f>
        <v/>
      </c>
      <c r="BO19" s="35">
        <f>BO16+BO19</f>
        <v/>
      </c>
      <c r="BP19" s="35">
        <f>BP16+BP19</f>
        <v/>
      </c>
      <c r="BQ19" s="35">
        <f>BQ16+BQ19</f>
        <v/>
      </c>
      <c r="BR19" s="35">
        <f>BR16+BR19</f>
        <v/>
      </c>
      <c r="BS19" s="35">
        <f>BS16+BS19</f>
        <v/>
      </c>
      <c r="BT19" s="35">
        <f>BT16+BT19</f>
        <v/>
      </c>
      <c r="BU19" s="35">
        <f>BU16+BU19</f>
        <v/>
      </c>
      <c r="BV19" s="35">
        <f>BV16+BV19</f>
        <v/>
      </c>
      <c r="BW19" s="35">
        <f>BW16+BW19</f>
        <v/>
      </c>
      <c r="BX19" s="35">
        <f>BX16+BX19</f>
        <v/>
      </c>
      <c r="BY19" s="35">
        <f>BY16+BY19</f>
        <v/>
      </c>
      <c r="BZ19" s="35">
        <f>BZ16+BZ19</f>
        <v/>
      </c>
      <c r="CA19" s="35">
        <f>CA16+CA19</f>
        <v/>
      </c>
      <c r="CB19" s="35">
        <f>CB16+CB19</f>
        <v/>
      </c>
      <c r="CC19" s="35">
        <f>CC16+CC19</f>
        <v/>
      </c>
      <c r="CD19" s="35">
        <f>CD16+CD19</f>
        <v/>
      </c>
      <c r="CE19" s="35">
        <f>CE16+CE19</f>
        <v/>
      </c>
      <c r="CF19" s="35">
        <f>CF16+CF19</f>
        <v/>
      </c>
      <c r="CG19" s="35">
        <f>CG16+CG19</f>
        <v/>
      </c>
      <c r="CH19" s="35">
        <f>CH16+CH19</f>
        <v/>
      </c>
      <c r="CI19" s="35">
        <f>CI16+CI19</f>
        <v/>
      </c>
      <c r="CJ19" s="35">
        <f>CJ16+CJ19</f>
        <v/>
      </c>
      <c r="CK19" s="35">
        <f>CK16+CK19</f>
        <v/>
      </c>
      <c r="CL19" s="35">
        <f>CL16+CL19</f>
        <v/>
      </c>
      <c r="CM19" s="35">
        <f>CM16+CM19</f>
        <v/>
      </c>
      <c r="CN19" s="35">
        <f>CN16+CN19</f>
        <v/>
      </c>
      <c r="CO19" s="35">
        <f>CO16+CO19</f>
        <v/>
      </c>
      <c r="CP19" s="35">
        <f>CP16+CP19</f>
        <v/>
      </c>
      <c r="CQ19" s="35">
        <f>CQ16+CQ19</f>
        <v/>
      </c>
      <c r="CR19" s="35">
        <f>CR16+CR19</f>
        <v/>
      </c>
      <c r="CS19" s="35">
        <f>CS16+CS19</f>
        <v/>
      </c>
      <c r="CT19" s="35">
        <f>CT16+CT19</f>
        <v/>
      </c>
      <c r="CU19" s="35">
        <f>CU16+CU19</f>
        <v/>
      </c>
      <c r="CV19" s="35">
        <f>CV16+CV19</f>
        <v/>
      </c>
      <c r="CW19" s="35">
        <f>CW16+CW19</f>
        <v/>
      </c>
      <c r="CX19" s="35">
        <f>CX16+CX19</f>
        <v/>
      </c>
      <c r="CY19" s="35">
        <f>CY16+CY19</f>
        <v/>
      </c>
      <c r="CZ19" s="35">
        <f>CZ16+CZ19</f>
        <v/>
      </c>
      <c r="DA19" s="35">
        <f>DA16+DA19</f>
        <v/>
      </c>
      <c r="DB19" s="35">
        <f>DB16+DB19</f>
        <v/>
      </c>
      <c r="DC19" s="35">
        <f>DC16+DC19</f>
        <v/>
      </c>
      <c r="DD19" s="35">
        <f>DD16+DD19</f>
        <v/>
      </c>
      <c r="DE19" s="35">
        <f>DE16+DE19</f>
        <v/>
      </c>
      <c r="DF19" s="35">
        <f>DF16+DF19</f>
        <v/>
      </c>
      <c r="DG19" s="35">
        <f>DG16+DG19</f>
        <v/>
      </c>
      <c r="DH19" s="35">
        <f>DH16+DH19</f>
        <v/>
      </c>
      <c r="DI19" s="35">
        <f>DI16+DI19</f>
        <v/>
      </c>
      <c r="DJ19" s="35">
        <f>DJ16+DJ19</f>
        <v/>
      </c>
      <c r="DK19" s="35">
        <f>DK16+DK19</f>
        <v/>
      </c>
      <c r="DL19" s="35">
        <f>DL16+DL19</f>
        <v/>
      </c>
      <c r="DM19" s="35">
        <f>DM16+DM19</f>
        <v/>
      </c>
      <c r="DN19" s="35">
        <f>DN16+DN19</f>
        <v/>
      </c>
      <c r="DO19" s="35">
        <f>DO16+DO19</f>
        <v/>
      </c>
      <c r="DP19" s="35">
        <f>DP16+DP19</f>
        <v/>
      </c>
      <c r="DQ19" s="35">
        <f>DQ16+DQ19</f>
        <v/>
      </c>
    </row>
    <row r="20">
      <c r="A20" t="inlineStr"/>
    </row>
    <row r="21">
      <c r="A21" t="inlineStr">
        <is>
          <t>Interest Expense</t>
        </is>
      </c>
      <c r="B21" s="34" t="n">
        <v>-81.25</v>
      </c>
      <c r="C21" s="34" t="n">
        <v>-81.25</v>
      </c>
      <c r="D21" s="34" t="n">
        <v>-81.25</v>
      </c>
      <c r="E21" s="34" t="n">
        <v>-81.25</v>
      </c>
      <c r="F21" s="34" t="n">
        <v>-81.25</v>
      </c>
      <c r="G21" s="34" t="n">
        <v>-81.25</v>
      </c>
      <c r="H21" s="34" t="n">
        <v>-81.25</v>
      </c>
      <c r="I21" s="34" t="n">
        <v>-81.25</v>
      </c>
      <c r="J21" s="34" t="n">
        <v>-81.25</v>
      </c>
      <c r="K21" s="34" t="n">
        <v>-81.25</v>
      </c>
      <c r="L21" s="34" t="n">
        <v>-81.25</v>
      </c>
      <c r="M21" s="34" t="n">
        <v>-81.25</v>
      </c>
      <c r="N21" s="34" t="n">
        <v>-81.25</v>
      </c>
      <c r="O21" s="34" t="n">
        <v>-81.25</v>
      </c>
      <c r="P21" s="34" t="n">
        <v>-81.25</v>
      </c>
      <c r="Q21" s="34" t="n">
        <v>-81.25</v>
      </c>
      <c r="R21" s="34" t="n">
        <v>-81.25</v>
      </c>
      <c r="S21" s="34" t="n">
        <v>-81.25</v>
      </c>
      <c r="T21" s="34" t="n">
        <v>-81.25</v>
      </c>
      <c r="U21" s="34" t="n">
        <v>-81.25</v>
      </c>
      <c r="V21" s="34" t="n">
        <v>-81.25</v>
      </c>
      <c r="W21" s="34" t="n">
        <v>-81.25</v>
      </c>
      <c r="X21" s="34" t="n">
        <v>-81.25</v>
      </c>
      <c r="Y21" s="34" t="n">
        <v>-81.25</v>
      </c>
      <c r="Z21" s="34" t="n">
        <v>-81.25</v>
      </c>
      <c r="AA21" s="34" t="n">
        <v>-81.25</v>
      </c>
      <c r="AB21" s="34" t="n">
        <v>-81.25</v>
      </c>
      <c r="AC21" s="34" t="n">
        <v>-81.25</v>
      </c>
      <c r="AD21" s="34" t="n">
        <v>-81.25</v>
      </c>
      <c r="AE21" s="34" t="n">
        <v>-81.25</v>
      </c>
      <c r="AF21" s="34" t="n">
        <v>-81.25</v>
      </c>
      <c r="AG21" s="34" t="n">
        <v>-81.25</v>
      </c>
      <c r="AH21" s="34" t="n">
        <v>-81.25</v>
      </c>
      <c r="AI21" s="34" t="n">
        <v>-81.25</v>
      </c>
      <c r="AJ21" s="34" t="n">
        <v>-81.25</v>
      </c>
      <c r="AK21" s="34" t="n">
        <v>-81.25</v>
      </c>
      <c r="AL21" s="34" t="n">
        <v>-81.25</v>
      </c>
      <c r="AM21" s="34" t="n">
        <v>-81.25</v>
      </c>
      <c r="AN21" s="34" t="n">
        <v>-81.25</v>
      </c>
      <c r="AO21" s="34" t="n">
        <v>-81.25</v>
      </c>
      <c r="AP21" s="34" t="n">
        <v>-81.25</v>
      </c>
      <c r="AQ21" s="34" t="n">
        <v>-81.25</v>
      </c>
      <c r="AR21" s="34" t="n">
        <v>-81.25</v>
      </c>
      <c r="AS21" s="34" t="n">
        <v>-81.25</v>
      </c>
      <c r="AT21" s="34" t="n">
        <v>-81.25</v>
      </c>
      <c r="AU21" s="34" t="n">
        <v>-81.25</v>
      </c>
      <c r="AV21" s="34" t="n">
        <v>-81.25</v>
      </c>
      <c r="AW21" s="34" t="n">
        <v>-81.25</v>
      </c>
      <c r="AX21" s="34" t="n">
        <v>-81.25</v>
      </c>
      <c r="AY21" s="34" t="n">
        <v>-81.25</v>
      </c>
      <c r="AZ21" s="34" t="n">
        <v>-81.25</v>
      </c>
      <c r="BA21" s="34" t="n">
        <v>-81.25</v>
      </c>
      <c r="BB21" s="34" t="n">
        <v>-81.25</v>
      </c>
      <c r="BC21" s="34" t="n">
        <v>-81.25</v>
      </c>
      <c r="BD21" s="34" t="n">
        <v>-81.25</v>
      </c>
      <c r="BE21" s="34" t="n">
        <v>-81.25</v>
      </c>
      <c r="BF21" s="34" t="n">
        <v>-81.25</v>
      </c>
      <c r="BG21" s="34" t="n">
        <v>-81.25</v>
      </c>
      <c r="BH21" s="34" t="n">
        <v>-81.25</v>
      </c>
      <c r="BI21" s="34" t="n">
        <v>-81.25</v>
      </c>
      <c r="BJ21" s="34" t="n">
        <v>-81.25</v>
      </c>
      <c r="BK21" s="34" t="n">
        <v>-81.25</v>
      </c>
      <c r="BL21" s="34" t="n">
        <v>-81.25</v>
      </c>
      <c r="BM21" s="34" t="n">
        <v>-81.25</v>
      </c>
      <c r="BN21" s="34" t="n">
        <v>-81.25</v>
      </c>
      <c r="BO21" s="34" t="n">
        <v>-81.25</v>
      </c>
      <c r="BP21" s="34" t="n">
        <v>-81.25</v>
      </c>
      <c r="BQ21" s="34" t="n">
        <v>-81.25</v>
      </c>
      <c r="BR21" s="34" t="n">
        <v>-81.25</v>
      </c>
      <c r="BS21" s="34" t="n">
        <v>-81.25</v>
      </c>
      <c r="BT21" s="34" t="n">
        <v>-81.25</v>
      </c>
      <c r="BU21" s="34" t="n">
        <v>-81.25</v>
      </c>
      <c r="BV21" s="34" t="n">
        <v>-81.25</v>
      </c>
      <c r="BW21" s="34" t="n">
        <v>-81.25</v>
      </c>
      <c r="BX21" s="34" t="n">
        <v>-81.25</v>
      </c>
      <c r="BY21" s="34" t="n">
        <v>-81.25</v>
      </c>
      <c r="BZ21" s="34" t="n">
        <v>-81.25</v>
      </c>
      <c r="CA21" s="34" t="n">
        <v>-81.25</v>
      </c>
      <c r="CB21" s="34" t="n">
        <v>-81.25</v>
      </c>
      <c r="CC21" s="34" t="n">
        <v>-81.25</v>
      </c>
      <c r="CD21" s="34" t="n">
        <v>-81.25</v>
      </c>
      <c r="CE21" s="34" t="n">
        <v>-81.25</v>
      </c>
      <c r="CF21" s="34" t="n">
        <v>-81.25</v>
      </c>
      <c r="CG21" s="34" t="n">
        <v>-81.25</v>
      </c>
      <c r="CH21" s="34" t="n">
        <v>-81.25</v>
      </c>
      <c r="CI21" s="34" t="n">
        <v>-81.25</v>
      </c>
      <c r="CJ21" s="34" t="n">
        <v>-81.25</v>
      </c>
      <c r="CK21" s="34" t="n">
        <v>-81.25</v>
      </c>
      <c r="CL21" s="34" t="n">
        <v>-81.25</v>
      </c>
      <c r="CM21" s="34" t="n">
        <v>-81.25</v>
      </c>
      <c r="CN21" s="34" t="n">
        <v>-81.25</v>
      </c>
      <c r="CO21" s="34" t="n">
        <v>-81.25</v>
      </c>
      <c r="CP21" s="34" t="n">
        <v>-81.25</v>
      </c>
      <c r="CQ21" s="34" t="n">
        <v>-81.25</v>
      </c>
      <c r="CR21" s="34" t="n">
        <v>-81.25</v>
      </c>
      <c r="CS21" s="34" t="n">
        <v>-81.25</v>
      </c>
      <c r="CT21" s="34" t="n">
        <v>-81.25</v>
      </c>
      <c r="CU21" s="34" t="n">
        <v>-81.25</v>
      </c>
      <c r="CV21" s="34" t="n">
        <v>-81.25</v>
      </c>
      <c r="CW21" s="34" t="n">
        <v>-81.25</v>
      </c>
      <c r="CX21" s="34" t="n">
        <v>-81.25</v>
      </c>
      <c r="CY21" s="34" t="n">
        <v>-81.25</v>
      </c>
      <c r="CZ21" s="34" t="n">
        <v>-81.25</v>
      </c>
      <c r="DA21" s="34" t="n">
        <v>-81.25</v>
      </c>
      <c r="DB21" s="34" t="n">
        <v>-81.25</v>
      </c>
      <c r="DC21" s="34" t="n">
        <v>-81.25</v>
      </c>
      <c r="DD21" s="34" t="n">
        <v>-81.25</v>
      </c>
      <c r="DE21" s="34" t="n">
        <v>-81.25</v>
      </c>
      <c r="DF21" s="34" t="n">
        <v>-81.25</v>
      </c>
      <c r="DG21" s="34" t="n">
        <v>-81.25</v>
      </c>
      <c r="DH21" s="34" t="n">
        <v>-81.25</v>
      </c>
      <c r="DI21" s="34" t="n">
        <v>-81.25</v>
      </c>
      <c r="DJ21" s="34" t="n">
        <v>-81.25</v>
      </c>
      <c r="DK21" s="34" t="n">
        <v>-81.25</v>
      </c>
      <c r="DL21" s="34" t="n">
        <v>-81.25</v>
      </c>
      <c r="DM21" s="34" t="n">
        <v>-81.25</v>
      </c>
      <c r="DN21" s="34" t="n">
        <v>-81.25</v>
      </c>
      <c r="DO21" s="34" t="n">
        <v>-81.25</v>
      </c>
      <c r="DP21" s="34" t="n">
        <v>-81.25</v>
      </c>
      <c r="DQ21" s="34" t="n">
        <v>-81.25</v>
      </c>
    </row>
    <row r="22">
      <c r="A22" s="3" t="inlineStr">
        <is>
          <t>EBT</t>
        </is>
      </c>
      <c r="B22" s="34">
        <f>B20+B22</f>
        <v/>
      </c>
      <c r="C22" s="34">
        <f>C20+C22</f>
        <v/>
      </c>
      <c r="D22" s="34">
        <f>D20+D22</f>
        <v/>
      </c>
      <c r="E22" s="34">
        <f>E20+E22</f>
        <v/>
      </c>
      <c r="F22" s="34">
        <f>F20+F22</f>
        <v/>
      </c>
      <c r="G22" s="34">
        <f>G20+G22</f>
        <v/>
      </c>
      <c r="H22" s="34">
        <f>H20+H22</f>
        <v/>
      </c>
      <c r="I22" s="34">
        <f>I20+I22</f>
        <v/>
      </c>
      <c r="J22" s="34">
        <f>J20+J22</f>
        <v/>
      </c>
      <c r="K22" s="34">
        <f>K20+K22</f>
        <v/>
      </c>
      <c r="L22" s="34">
        <f>L20+L22</f>
        <v/>
      </c>
      <c r="M22" s="34">
        <f>M20+M22</f>
        <v/>
      </c>
      <c r="N22" s="34">
        <f>N20+N22</f>
        <v/>
      </c>
      <c r="O22" s="34">
        <f>O20+O22</f>
        <v/>
      </c>
      <c r="P22" s="34">
        <f>P20+P22</f>
        <v/>
      </c>
      <c r="Q22" s="34">
        <f>Q20+Q22</f>
        <v/>
      </c>
      <c r="R22" s="34">
        <f>R20+R22</f>
        <v/>
      </c>
      <c r="S22" s="34">
        <f>S20+S22</f>
        <v/>
      </c>
      <c r="T22" s="34">
        <f>T20+T22</f>
        <v/>
      </c>
      <c r="U22" s="34">
        <f>U20+U22</f>
        <v/>
      </c>
      <c r="V22" s="34">
        <f>V20+V22</f>
        <v/>
      </c>
      <c r="W22" s="34">
        <f>W20+W22</f>
        <v/>
      </c>
      <c r="X22" s="34">
        <f>X20+X22</f>
        <v/>
      </c>
      <c r="Y22" s="34">
        <f>Y20+Y22</f>
        <v/>
      </c>
      <c r="Z22" s="34">
        <f>Z20+Z22</f>
        <v/>
      </c>
      <c r="AA22" s="34">
        <f>AA20+AA22</f>
        <v/>
      </c>
      <c r="AB22" s="34">
        <f>AB20+AB22</f>
        <v/>
      </c>
      <c r="AC22" s="34">
        <f>AC20+AC22</f>
        <v/>
      </c>
      <c r="AD22" s="34">
        <f>AD20+AD22</f>
        <v/>
      </c>
      <c r="AE22" s="34">
        <f>AE20+AE22</f>
        <v/>
      </c>
      <c r="AF22" s="34">
        <f>AF20+AF22</f>
        <v/>
      </c>
      <c r="AG22" s="34">
        <f>AG20+AG22</f>
        <v/>
      </c>
      <c r="AH22" s="34">
        <f>AH20+AH22</f>
        <v/>
      </c>
      <c r="AI22" s="34">
        <f>AI20+AI22</f>
        <v/>
      </c>
      <c r="AJ22" s="34">
        <f>AJ20+AJ22</f>
        <v/>
      </c>
      <c r="AK22" s="34">
        <f>AK20+AK22</f>
        <v/>
      </c>
      <c r="AL22" s="34">
        <f>AL20+AL22</f>
        <v/>
      </c>
      <c r="AM22" s="34">
        <f>AM20+AM22</f>
        <v/>
      </c>
      <c r="AN22" s="34">
        <f>AN20+AN22</f>
        <v/>
      </c>
      <c r="AO22" s="34">
        <f>AO20+AO22</f>
        <v/>
      </c>
      <c r="AP22" s="34">
        <f>AP20+AP22</f>
        <v/>
      </c>
      <c r="AQ22" s="34">
        <f>AQ20+AQ22</f>
        <v/>
      </c>
      <c r="AR22" s="34">
        <f>AR20+AR22</f>
        <v/>
      </c>
      <c r="AS22" s="34">
        <f>AS20+AS22</f>
        <v/>
      </c>
      <c r="AT22" s="34">
        <f>AT20+AT22</f>
        <v/>
      </c>
      <c r="AU22" s="34">
        <f>AU20+AU22</f>
        <v/>
      </c>
      <c r="AV22" s="34">
        <f>AV20+AV22</f>
        <v/>
      </c>
      <c r="AW22" s="34">
        <f>AW20+AW22</f>
        <v/>
      </c>
      <c r="AX22" s="34">
        <f>AX20+AX22</f>
        <v/>
      </c>
      <c r="AY22" s="34">
        <f>AY20+AY22</f>
        <v/>
      </c>
      <c r="AZ22" s="34">
        <f>AZ20+AZ22</f>
        <v/>
      </c>
      <c r="BA22" s="34">
        <f>BA20+BA22</f>
        <v/>
      </c>
      <c r="BB22" s="34">
        <f>BB20+BB22</f>
        <v/>
      </c>
      <c r="BC22" s="34">
        <f>BC20+BC22</f>
        <v/>
      </c>
      <c r="BD22" s="34">
        <f>BD20+BD22</f>
        <v/>
      </c>
      <c r="BE22" s="34">
        <f>BE20+BE22</f>
        <v/>
      </c>
      <c r="BF22" s="34">
        <f>BF20+BF22</f>
        <v/>
      </c>
      <c r="BG22" s="34">
        <f>BG20+BG22</f>
        <v/>
      </c>
      <c r="BH22" s="34">
        <f>BH20+BH22</f>
        <v/>
      </c>
      <c r="BI22" s="34">
        <f>BI20+BI22</f>
        <v/>
      </c>
      <c r="BJ22" s="34">
        <f>BJ20+BJ22</f>
        <v/>
      </c>
      <c r="BK22" s="34">
        <f>BK20+BK22</f>
        <v/>
      </c>
      <c r="BL22" s="34">
        <f>BL20+BL22</f>
        <v/>
      </c>
      <c r="BM22" s="34">
        <f>BM20+BM22</f>
        <v/>
      </c>
      <c r="BN22" s="34">
        <f>BN20+BN22</f>
        <v/>
      </c>
      <c r="BO22" s="34">
        <f>BO20+BO22</f>
        <v/>
      </c>
      <c r="BP22" s="34">
        <f>BP20+BP22</f>
        <v/>
      </c>
      <c r="BQ22" s="34">
        <f>BQ20+BQ22</f>
        <v/>
      </c>
      <c r="BR22" s="34">
        <f>BR20+BR22</f>
        <v/>
      </c>
      <c r="BS22" s="34">
        <f>BS20+BS22</f>
        <v/>
      </c>
      <c r="BT22" s="34">
        <f>BT20+BT22</f>
        <v/>
      </c>
      <c r="BU22" s="34">
        <f>BU20+BU22</f>
        <v/>
      </c>
      <c r="BV22" s="34">
        <f>BV20+BV22</f>
        <v/>
      </c>
      <c r="BW22" s="34">
        <f>BW20+BW22</f>
        <v/>
      </c>
      <c r="BX22" s="34">
        <f>BX20+BX22</f>
        <v/>
      </c>
      <c r="BY22" s="34">
        <f>BY20+BY22</f>
        <v/>
      </c>
      <c r="BZ22" s="34">
        <f>BZ20+BZ22</f>
        <v/>
      </c>
      <c r="CA22" s="34">
        <f>CA20+CA22</f>
        <v/>
      </c>
      <c r="CB22" s="34">
        <f>CB20+CB22</f>
        <v/>
      </c>
      <c r="CC22" s="34">
        <f>CC20+CC22</f>
        <v/>
      </c>
      <c r="CD22" s="34">
        <f>CD20+CD22</f>
        <v/>
      </c>
      <c r="CE22" s="34">
        <f>CE20+CE22</f>
        <v/>
      </c>
      <c r="CF22" s="34">
        <f>CF20+CF22</f>
        <v/>
      </c>
      <c r="CG22" s="34">
        <f>CG20+CG22</f>
        <v/>
      </c>
      <c r="CH22" s="34">
        <f>CH20+CH22</f>
        <v/>
      </c>
      <c r="CI22" s="34">
        <f>CI20+CI22</f>
        <v/>
      </c>
      <c r="CJ22" s="34">
        <f>CJ20+CJ22</f>
        <v/>
      </c>
      <c r="CK22" s="34">
        <f>CK20+CK22</f>
        <v/>
      </c>
      <c r="CL22" s="34">
        <f>CL20+CL22</f>
        <v/>
      </c>
      <c r="CM22" s="34">
        <f>CM20+CM22</f>
        <v/>
      </c>
      <c r="CN22" s="34">
        <f>CN20+CN22</f>
        <v/>
      </c>
      <c r="CO22" s="34">
        <f>CO20+CO22</f>
        <v/>
      </c>
      <c r="CP22" s="34">
        <f>CP20+CP22</f>
        <v/>
      </c>
      <c r="CQ22" s="34">
        <f>CQ20+CQ22</f>
        <v/>
      </c>
      <c r="CR22" s="34">
        <f>CR20+CR22</f>
        <v/>
      </c>
      <c r="CS22" s="34">
        <f>CS20+CS22</f>
        <v/>
      </c>
      <c r="CT22" s="34">
        <f>CT20+CT22</f>
        <v/>
      </c>
      <c r="CU22" s="34">
        <f>CU20+CU22</f>
        <v/>
      </c>
      <c r="CV22" s="34">
        <f>CV20+CV22</f>
        <v/>
      </c>
      <c r="CW22" s="34">
        <f>CW20+CW22</f>
        <v/>
      </c>
      <c r="CX22" s="34">
        <f>CX20+CX22</f>
        <v/>
      </c>
      <c r="CY22" s="34">
        <f>CY20+CY22</f>
        <v/>
      </c>
      <c r="CZ22" s="34">
        <f>CZ20+CZ22</f>
        <v/>
      </c>
      <c r="DA22" s="34">
        <f>DA20+DA22</f>
        <v/>
      </c>
      <c r="DB22" s="34">
        <f>DB20+DB22</f>
        <v/>
      </c>
      <c r="DC22" s="34">
        <f>DC20+DC22</f>
        <v/>
      </c>
      <c r="DD22" s="34">
        <f>DD20+DD22</f>
        <v/>
      </c>
      <c r="DE22" s="34">
        <f>DE20+DE22</f>
        <v/>
      </c>
      <c r="DF22" s="34">
        <f>DF20+DF22</f>
        <v/>
      </c>
      <c r="DG22" s="34">
        <f>DG20+DG22</f>
        <v/>
      </c>
      <c r="DH22" s="34">
        <f>DH20+DH22</f>
        <v/>
      </c>
      <c r="DI22" s="34">
        <f>DI20+DI22</f>
        <v/>
      </c>
      <c r="DJ22" s="34">
        <f>DJ20+DJ22</f>
        <v/>
      </c>
      <c r="DK22" s="34">
        <f>DK20+DK22</f>
        <v/>
      </c>
      <c r="DL22" s="34">
        <f>DL20+DL22</f>
        <v/>
      </c>
      <c r="DM22" s="34">
        <f>DM20+DM22</f>
        <v/>
      </c>
      <c r="DN22" s="34">
        <f>DN20+DN22</f>
        <v/>
      </c>
      <c r="DO22" s="34">
        <f>DO20+DO22</f>
        <v/>
      </c>
      <c r="DP22" s="34">
        <f>DP20+DP22</f>
        <v/>
      </c>
      <c r="DQ22" s="34">
        <f>DQ20+DQ22</f>
        <v/>
      </c>
    </row>
    <row r="23">
      <c r="A23" t="inlineStr"/>
    </row>
    <row r="24">
      <c r="A24" t="inlineStr">
        <is>
          <t>Tax Expense (30%)</t>
        </is>
      </c>
      <c r="B24" s="34">
        <f>-MAX(0,B23)*0.30</f>
        <v/>
      </c>
      <c r="C24" s="34">
        <f>-MAX(0,C23)*0.30</f>
        <v/>
      </c>
      <c r="D24" s="34">
        <f>-MAX(0,D23)*0.30</f>
        <v/>
      </c>
      <c r="E24" s="34">
        <f>-MAX(0,E23)*0.30</f>
        <v/>
      </c>
      <c r="F24" s="34">
        <f>-MAX(0,F23)*0.30</f>
        <v/>
      </c>
      <c r="G24" s="34">
        <f>-MAX(0,G23)*0.30</f>
        <v/>
      </c>
      <c r="H24" s="34">
        <f>-MAX(0,H23)*0.30</f>
        <v/>
      </c>
      <c r="I24" s="34">
        <f>-MAX(0,I23)*0.30</f>
        <v/>
      </c>
      <c r="J24" s="34">
        <f>-MAX(0,J23)*0.30</f>
        <v/>
      </c>
      <c r="K24" s="34">
        <f>-MAX(0,K23)*0.30</f>
        <v/>
      </c>
      <c r="L24" s="34">
        <f>-MAX(0,L23)*0.30</f>
        <v/>
      </c>
      <c r="M24" s="34">
        <f>-MAX(0,M23)*0.30</f>
        <v/>
      </c>
      <c r="N24" s="34">
        <f>-MAX(0,N23)*0.30</f>
        <v/>
      </c>
      <c r="O24" s="34">
        <f>-MAX(0,O23)*0.30</f>
        <v/>
      </c>
      <c r="P24" s="34">
        <f>-MAX(0,P23)*0.30</f>
        <v/>
      </c>
      <c r="Q24" s="34">
        <f>-MAX(0,Q23)*0.30</f>
        <v/>
      </c>
      <c r="R24" s="34">
        <f>-MAX(0,R23)*0.30</f>
        <v/>
      </c>
      <c r="S24" s="34">
        <f>-MAX(0,S23)*0.30</f>
        <v/>
      </c>
      <c r="T24" s="34">
        <f>-MAX(0,T23)*0.30</f>
        <v/>
      </c>
      <c r="U24" s="34">
        <f>-MAX(0,U23)*0.30</f>
        <v/>
      </c>
      <c r="V24" s="34">
        <f>-MAX(0,V23)*0.30</f>
        <v/>
      </c>
      <c r="W24" s="34">
        <f>-MAX(0,W23)*0.30</f>
        <v/>
      </c>
      <c r="X24" s="34">
        <f>-MAX(0,X23)*0.30</f>
        <v/>
      </c>
      <c r="Y24" s="34">
        <f>-MAX(0,Y23)*0.30</f>
        <v/>
      </c>
      <c r="Z24" s="34">
        <f>-MAX(0,Z23)*0.30</f>
        <v/>
      </c>
      <c r="AA24" s="34">
        <f>-MAX(0,AA23)*0.30</f>
        <v/>
      </c>
      <c r="AB24" s="34">
        <f>-MAX(0,AB23)*0.30</f>
        <v/>
      </c>
      <c r="AC24" s="34">
        <f>-MAX(0,AC23)*0.30</f>
        <v/>
      </c>
      <c r="AD24" s="34">
        <f>-MAX(0,AD23)*0.30</f>
        <v/>
      </c>
      <c r="AE24" s="34">
        <f>-MAX(0,AE23)*0.30</f>
        <v/>
      </c>
      <c r="AF24" s="34">
        <f>-MAX(0,AF23)*0.30</f>
        <v/>
      </c>
      <c r="AG24" s="34">
        <f>-MAX(0,AG23)*0.30</f>
        <v/>
      </c>
      <c r="AH24" s="34">
        <f>-MAX(0,AH23)*0.30</f>
        <v/>
      </c>
      <c r="AI24" s="34">
        <f>-MAX(0,AI23)*0.30</f>
        <v/>
      </c>
      <c r="AJ24" s="34">
        <f>-MAX(0,AJ23)*0.30</f>
        <v/>
      </c>
      <c r="AK24" s="34">
        <f>-MAX(0,AK23)*0.30</f>
        <v/>
      </c>
      <c r="AL24" s="34">
        <f>-MAX(0,AL23)*0.30</f>
        <v/>
      </c>
      <c r="AM24" s="34">
        <f>-MAX(0,AM23)*0.30</f>
        <v/>
      </c>
      <c r="AN24" s="34">
        <f>-MAX(0,AN23)*0.30</f>
        <v/>
      </c>
      <c r="AO24" s="34">
        <f>-MAX(0,AO23)*0.30</f>
        <v/>
      </c>
      <c r="AP24" s="34">
        <f>-MAX(0,AP23)*0.30</f>
        <v/>
      </c>
      <c r="AQ24" s="34">
        <f>-MAX(0,AQ23)*0.30</f>
        <v/>
      </c>
      <c r="AR24" s="34">
        <f>-MAX(0,AR23)*0.30</f>
        <v/>
      </c>
      <c r="AS24" s="34">
        <f>-MAX(0,AS23)*0.30</f>
        <v/>
      </c>
      <c r="AT24" s="34">
        <f>-MAX(0,AT23)*0.30</f>
        <v/>
      </c>
      <c r="AU24" s="34">
        <f>-MAX(0,AU23)*0.30</f>
        <v/>
      </c>
      <c r="AV24" s="34">
        <f>-MAX(0,AV23)*0.30</f>
        <v/>
      </c>
      <c r="AW24" s="34">
        <f>-MAX(0,AW23)*0.30</f>
        <v/>
      </c>
      <c r="AX24" s="34">
        <f>-MAX(0,AX23)*0.30</f>
        <v/>
      </c>
      <c r="AY24" s="34">
        <f>-MAX(0,AY23)*0.30</f>
        <v/>
      </c>
      <c r="AZ24" s="34">
        <f>-MAX(0,AZ23)*0.30</f>
        <v/>
      </c>
      <c r="BA24" s="34">
        <f>-MAX(0,BA23)*0.30</f>
        <v/>
      </c>
      <c r="BB24" s="34">
        <f>-MAX(0,BB23)*0.30</f>
        <v/>
      </c>
      <c r="BC24" s="34">
        <f>-MAX(0,BC23)*0.30</f>
        <v/>
      </c>
      <c r="BD24" s="34">
        <f>-MAX(0,BD23)*0.30</f>
        <v/>
      </c>
      <c r="BE24" s="34">
        <f>-MAX(0,BE23)*0.30</f>
        <v/>
      </c>
      <c r="BF24" s="34">
        <f>-MAX(0,BF23)*0.30</f>
        <v/>
      </c>
      <c r="BG24" s="34">
        <f>-MAX(0,BG23)*0.30</f>
        <v/>
      </c>
      <c r="BH24" s="34">
        <f>-MAX(0,BH23)*0.30</f>
        <v/>
      </c>
      <c r="BI24" s="34">
        <f>-MAX(0,BI23)*0.30</f>
        <v/>
      </c>
      <c r="BJ24" s="34">
        <f>-MAX(0,BJ23)*0.30</f>
        <v/>
      </c>
      <c r="BK24" s="34">
        <f>-MAX(0,BK23)*0.30</f>
        <v/>
      </c>
      <c r="BL24" s="34">
        <f>-MAX(0,BL23)*0.30</f>
        <v/>
      </c>
      <c r="BM24" s="34">
        <f>-MAX(0,BM23)*0.30</f>
        <v/>
      </c>
      <c r="BN24" s="34">
        <f>-MAX(0,BN23)*0.30</f>
        <v/>
      </c>
      <c r="BO24" s="34">
        <f>-MAX(0,BO23)*0.30</f>
        <v/>
      </c>
      <c r="BP24" s="34">
        <f>-MAX(0,BP23)*0.30</f>
        <v/>
      </c>
      <c r="BQ24" s="34">
        <f>-MAX(0,BQ23)*0.30</f>
        <v/>
      </c>
      <c r="BR24" s="34">
        <f>-MAX(0,BR23)*0.30</f>
        <v/>
      </c>
      <c r="BS24" s="34">
        <f>-MAX(0,BS23)*0.30</f>
        <v/>
      </c>
      <c r="BT24" s="34">
        <f>-MAX(0,BT23)*0.30</f>
        <v/>
      </c>
      <c r="BU24" s="34">
        <f>-MAX(0,BU23)*0.30</f>
        <v/>
      </c>
      <c r="BV24" s="34">
        <f>-MAX(0,BV23)*0.30</f>
        <v/>
      </c>
      <c r="BW24" s="34">
        <f>-MAX(0,BW23)*0.30</f>
        <v/>
      </c>
      <c r="BX24" s="34">
        <f>-MAX(0,BX23)*0.30</f>
        <v/>
      </c>
      <c r="BY24" s="34">
        <f>-MAX(0,BY23)*0.30</f>
        <v/>
      </c>
      <c r="BZ24" s="34">
        <f>-MAX(0,BZ23)*0.30</f>
        <v/>
      </c>
      <c r="CA24" s="34">
        <f>-MAX(0,CA23)*0.30</f>
        <v/>
      </c>
      <c r="CB24" s="34">
        <f>-MAX(0,CB23)*0.30</f>
        <v/>
      </c>
      <c r="CC24" s="34">
        <f>-MAX(0,CC23)*0.30</f>
        <v/>
      </c>
      <c r="CD24" s="34">
        <f>-MAX(0,CD23)*0.30</f>
        <v/>
      </c>
      <c r="CE24" s="34">
        <f>-MAX(0,CE23)*0.30</f>
        <v/>
      </c>
      <c r="CF24" s="34">
        <f>-MAX(0,CF23)*0.30</f>
        <v/>
      </c>
      <c r="CG24" s="34">
        <f>-MAX(0,CG23)*0.30</f>
        <v/>
      </c>
      <c r="CH24" s="34">
        <f>-MAX(0,CH23)*0.30</f>
        <v/>
      </c>
      <c r="CI24" s="34">
        <f>-MAX(0,CI23)*0.30</f>
        <v/>
      </c>
      <c r="CJ24" s="34">
        <f>-MAX(0,CJ23)*0.30</f>
        <v/>
      </c>
      <c r="CK24" s="34">
        <f>-MAX(0,CK23)*0.30</f>
        <v/>
      </c>
      <c r="CL24" s="34">
        <f>-MAX(0,CL23)*0.30</f>
        <v/>
      </c>
      <c r="CM24" s="34">
        <f>-MAX(0,CM23)*0.30</f>
        <v/>
      </c>
      <c r="CN24" s="34">
        <f>-MAX(0,CN23)*0.30</f>
        <v/>
      </c>
      <c r="CO24" s="34">
        <f>-MAX(0,CO23)*0.30</f>
        <v/>
      </c>
      <c r="CP24" s="34">
        <f>-MAX(0,CP23)*0.30</f>
        <v/>
      </c>
      <c r="CQ24" s="34">
        <f>-MAX(0,CQ23)*0.30</f>
        <v/>
      </c>
      <c r="CR24" s="34">
        <f>-MAX(0,CR23)*0.30</f>
        <v/>
      </c>
      <c r="CS24" s="34">
        <f>-MAX(0,CS23)*0.30</f>
        <v/>
      </c>
      <c r="CT24" s="34">
        <f>-MAX(0,CT23)*0.30</f>
        <v/>
      </c>
      <c r="CU24" s="34">
        <f>-MAX(0,CU23)*0.30</f>
        <v/>
      </c>
      <c r="CV24" s="34">
        <f>-MAX(0,CV23)*0.30</f>
        <v/>
      </c>
      <c r="CW24" s="34">
        <f>-MAX(0,CW23)*0.30</f>
        <v/>
      </c>
      <c r="CX24" s="34">
        <f>-MAX(0,CX23)*0.30</f>
        <v/>
      </c>
      <c r="CY24" s="34">
        <f>-MAX(0,CY23)*0.30</f>
        <v/>
      </c>
      <c r="CZ24" s="34">
        <f>-MAX(0,CZ23)*0.30</f>
        <v/>
      </c>
      <c r="DA24" s="34">
        <f>-MAX(0,DA23)*0.30</f>
        <v/>
      </c>
      <c r="DB24" s="34">
        <f>-MAX(0,DB23)*0.30</f>
        <v/>
      </c>
      <c r="DC24" s="34">
        <f>-MAX(0,DC23)*0.30</f>
        <v/>
      </c>
      <c r="DD24" s="34">
        <f>-MAX(0,DD23)*0.30</f>
        <v/>
      </c>
      <c r="DE24" s="34">
        <f>-MAX(0,DE23)*0.30</f>
        <v/>
      </c>
      <c r="DF24" s="34">
        <f>-MAX(0,DF23)*0.30</f>
        <v/>
      </c>
      <c r="DG24" s="34">
        <f>-MAX(0,DG23)*0.30</f>
        <v/>
      </c>
      <c r="DH24" s="34">
        <f>-MAX(0,DH23)*0.30</f>
        <v/>
      </c>
      <c r="DI24" s="34">
        <f>-MAX(0,DI23)*0.30</f>
        <v/>
      </c>
      <c r="DJ24" s="34">
        <f>-MAX(0,DJ23)*0.30</f>
        <v/>
      </c>
      <c r="DK24" s="34">
        <f>-MAX(0,DK23)*0.30</f>
        <v/>
      </c>
      <c r="DL24" s="34">
        <f>-MAX(0,DL23)*0.30</f>
        <v/>
      </c>
      <c r="DM24" s="34">
        <f>-MAX(0,DM23)*0.30</f>
        <v/>
      </c>
      <c r="DN24" s="34">
        <f>-MAX(0,DN23)*0.30</f>
        <v/>
      </c>
      <c r="DO24" s="34">
        <f>-MAX(0,DO23)*0.30</f>
        <v/>
      </c>
      <c r="DP24" s="34">
        <f>-MAX(0,DP23)*0.30</f>
        <v/>
      </c>
      <c r="DQ24" s="34">
        <f>-MAX(0,DQ23)*0.30</f>
        <v/>
      </c>
    </row>
    <row r="25">
      <c r="A25" s="3" t="inlineStr">
        <is>
          <t>NET INCOME</t>
        </is>
      </c>
      <c r="B25" s="35">
        <f>B23+B25</f>
        <v/>
      </c>
      <c r="C25" s="35">
        <f>C23+C25</f>
        <v/>
      </c>
      <c r="D25" s="35">
        <f>D23+D25</f>
        <v/>
      </c>
      <c r="E25" s="35">
        <f>E23+E25</f>
        <v/>
      </c>
      <c r="F25" s="35">
        <f>F23+F25</f>
        <v/>
      </c>
      <c r="G25" s="35">
        <f>G23+G25</f>
        <v/>
      </c>
      <c r="H25" s="35">
        <f>H23+H25</f>
        <v/>
      </c>
      <c r="I25" s="35">
        <f>I23+I25</f>
        <v/>
      </c>
      <c r="J25" s="35">
        <f>J23+J25</f>
        <v/>
      </c>
      <c r="K25" s="35">
        <f>K23+K25</f>
        <v/>
      </c>
      <c r="L25" s="35">
        <f>L23+L25</f>
        <v/>
      </c>
      <c r="M25" s="35">
        <f>M23+M25</f>
        <v/>
      </c>
      <c r="N25" s="35">
        <f>N23+N25</f>
        <v/>
      </c>
      <c r="O25" s="35">
        <f>O23+O25</f>
        <v/>
      </c>
      <c r="P25" s="35">
        <f>P23+P25</f>
        <v/>
      </c>
      <c r="Q25" s="35">
        <f>Q23+Q25</f>
        <v/>
      </c>
      <c r="R25" s="35">
        <f>R23+R25</f>
        <v/>
      </c>
      <c r="S25" s="35">
        <f>S23+S25</f>
        <v/>
      </c>
      <c r="T25" s="35">
        <f>T23+T25</f>
        <v/>
      </c>
      <c r="U25" s="35">
        <f>U23+U25</f>
        <v/>
      </c>
      <c r="V25" s="35">
        <f>V23+V25</f>
        <v/>
      </c>
      <c r="W25" s="35">
        <f>W23+W25</f>
        <v/>
      </c>
      <c r="X25" s="35">
        <f>X23+X25</f>
        <v/>
      </c>
      <c r="Y25" s="35">
        <f>Y23+Y25</f>
        <v/>
      </c>
      <c r="Z25" s="35">
        <f>Z23+Z25</f>
        <v/>
      </c>
      <c r="AA25" s="35">
        <f>AA23+AA25</f>
        <v/>
      </c>
      <c r="AB25" s="35">
        <f>AB23+AB25</f>
        <v/>
      </c>
      <c r="AC25" s="35">
        <f>AC23+AC25</f>
        <v/>
      </c>
      <c r="AD25" s="35">
        <f>AD23+AD25</f>
        <v/>
      </c>
      <c r="AE25" s="35">
        <f>AE23+AE25</f>
        <v/>
      </c>
      <c r="AF25" s="35">
        <f>AF23+AF25</f>
        <v/>
      </c>
      <c r="AG25" s="35">
        <f>AG23+AG25</f>
        <v/>
      </c>
      <c r="AH25" s="35">
        <f>AH23+AH25</f>
        <v/>
      </c>
      <c r="AI25" s="35">
        <f>AI23+AI25</f>
        <v/>
      </c>
      <c r="AJ25" s="35">
        <f>AJ23+AJ25</f>
        <v/>
      </c>
      <c r="AK25" s="35">
        <f>AK23+AK25</f>
        <v/>
      </c>
      <c r="AL25" s="35">
        <f>AL23+AL25</f>
        <v/>
      </c>
      <c r="AM25" s="35">
        <f>AM23+AM25</f>
        <v/>
      </c>
      <c r="AN25" s="35">
        <f>AN23+AN25</f>
        <v/>
      </c>
      <c r="AO25" s="35">
        <f>AO23+AO25</f>
        <v/>
      </c>
      <c r="AP25" s="35">
        <f>AP23+AP25</f>
        <v/>
      </c>
      <c r="AQ25" s="35">
        <f>AQ23+AQ25</f>
        <v/>
      </c>
      <c r="AR25" s="35">
        <f>AR23+AR25</f>
        <v/>
      </c>
      <c r="AS25" s="35">
        <f>AS23+AS25</f>
        <v/>
      </c>
      <c r="AT25" s="35">
        <f>AT23+AT25</f>
        <v/>
      </c>
      <c r="AU25" s="35">
        <f>AU23+AU25</f>
        <v/>
      </c>
      <c r="AV25" s="35">
        <f>AV23+AV25</f>
        <v/>
      </c>
      <c r="AW25" s="35">
        <f>AW23+AW25</f>
        <v/>
      </c>
      <c r="AX25" s="35">
        <f>AX23+AX25</f>
        <v/>
      </c>
      <c r="AY25" s="35">
        <f>AY23+AY25</f>
        <v/>
      </c>
      <c r="AZ25" s="35">
        <f>AZ23+AZ25</f>
        <v/>
      </c>
      <c r="BA25" s="35">
        <f>BA23+BA25</f>
        <v/>
      </c>
      <c r="BB25" s="35">
        <f>BB23+BB25</f>
        <v/>
      </c>
      <c r="BC25" s="35">
        <f>BC23+BC25</f>
        <v/>
      </c>
      <c r="BD25" s="35">
        <f>BD23+BD25</f>
        <v/>
      </c>
      <c r="BE25" s="35">
        <f>BE23+BE25</f>
        <v/>
      </c>
      <c r="BF25" s="35">
        <f>BF23+BF25</f>
        <v/>
      </c>
      <c r="BG25" s="35">
        <f>BG23+BG25</f>
        <v/>
      </c>
      <c r="BH25" s="35">
        <f>BH23+BH25</f>
        <v/>
      </c>
      <c r="BI25" s="35">
        <f>BI23+BI25</f>
        <v/>
      </c>
      <c r="BJ25" s="35">
        <f>BJ23+BJ25</f>
        <v/>
      </c>
      <c r="BK25" s="35">
        <f>BK23+BK25</f>
        <v/>
      </c>
      <c r="BL25" s="35">
        <f>BL23+BL25</f>
        <v/>
      </c>
      <c r="BM25" s="35">
        <f>BM23+BM25</f>
        <v/>
      </c>
      <c r="BN25" s="35">
        <f>BN23+BN25</f>
        <v/>
      </c>
      <c r="BO25" s="35">
        <f>BO23+BO25</f>
        <v/>
      </c>
      <c r="BP25" s="35">
        <f>BP23+BP25</f>
        <v/>
      </c>
      <c r="BQ25" s="35">
        <f>BQ23+BQ25</f>
        <v/>
      </c>
      <c r="BR25" s="35">
        <f>BR23+BR25</f>
        <v/>
      </c>
      <c r="BS25" s="35">
        <f>BS23+BS25</f>
        <v/>
      </c>
      <c r="BT25" s="35">
        <f>BT23+BT25</f>
        <v/>
      </c>
      <c r="BU25" s="35">
        <f>BU23+BU25</f>
        <v/>
      </c>
      <c r="BV25" s="35">
        <f>BV23+BV25</f>
        <v/>
      </c>
      <c r="BW25" s="35">
        <f>BW23+BW25</f>
        <v/>
      </c>
      <c r="BX25" s="35">
        <f>BX23+BX25</f>
        <v/>
      </c>
      <c r="BY25" s="35">
        <f>BY23+BY25</f>
        <v/>
      </c>
      <c r="BZ25" s="35">
        <f>BZ23+BZ25</f>
        <v/>
      </c>
      <c r="CA25" s="35">
        <f>CA23+CA25</f>
        <v/>
      </c>
      <c r="CB25" s="35">
        <f>CB23+CB25</f>
        <v/>
      </c>
      <c r="CC25" s="35">
        <f>CC23+CC25</f>
        <v/>
      </c>
      <c r="CD25" s="35">
        <f>CD23+CD25</f>
        <v/>
      </c>
      <c r="CE25" s="35">
        <f>CE23+CE25</f>
        <v/>
      </c>
      <c r="CF25" s="35">
        <f>CF23+CF25</f>
        <v/>
      </c>
      <c r="CG25" s="35">
        <f>CG23+CG25</f>
        <v/>
      </c>
      <c r="CH25" s="35">
        <f>CH23+CH25</f>
        <v/>
      </c>
      <c r="CI25" s="35">
        <f>CI23+CI25</f>
        <v/>
      </c>
      <c r="CJ25" s="35">
        <f>CJ23+CJ25</f>
        <v/>
      </c>
      <c r="CK25" s="35">
        <f>CK23+CK25</f>
        <v/>
      </c>
      <c r="CL25" s="35">
        <f>CL23+CL25</f>
        <v/>
      </c>
      <c r="CM25" s="35">
        <f>CM23+CM25</f>
        <v/>
      </c>
      <c r="CN25" s="35">
        <f>CN23+CN25</f>
        <v/>
      </c>
      <c r="CO25" s="35">
        <f>CO23+CO25</f>
        <v/>
      </c>
      <c r="CP25" s="35">
        <f>CP23+CP25</f>
        <v/>
      </c>
      <c r="CQ25" s="35">
        <f>CQ23+CQ25</f>
        <v/>
      </c>
      <c r="CR25" s="35">
        <f>CR23+CR25</f>
        <v/>
      </c>
      <c r="CS25" s="35">
        <f>CS23+CS25</f>
        <v/>
      </c>
      <c r="CT25" s="35">
        <f>CT23+CT25</f>
        <v/>
      </c>
      <c r="CU25" s="35">
        <f>CU23+CU25</f>
        <v/>
      </c>
      <c r="CV25" s="35">
        <f>CV23+CV25</f>
        <v/>
      </c>
      <c r="CW25" s="35">
        <f>CW23+CW25</f>
        <v/>
      </c>
      <c r="CX25" s="35">
        <f>CX23+CX25</f>
        <v/>
      </c>
      <c r="CY25" s="35">
        <f>CY23+CY25</f>
        <v/>
      </c>
      <c r="CZ25" s="35">
        <f>CZ23+CZ25</f>
        <v/>
      </c>
      <c r="DA25" s="35">
        <f>DA23+DA25</f>
        <v/>
      </c>
      <c r="DB25" s="35">
        <f>DB23+DB25</f>
        <v/>
      </c>
      <c r="DC25" s="35">
        <f>DC23+DC25</f>
        <v/>
      </c>
      <c r="DD25" s="35">
        <f>DD23+DD25</f>
        <v/>
      </c>
      <c r="DE25" s="35">
        <f>DE23+DE25</f>
        <v/>
      </c>
      <c r="DF25" s="35">
        <f>DF23+DF25</f>
        <v/>
      </c>
      <c r="DG25" s="35">
        <f>DG23+DG25</f>
        <v/>
      </c>
      <c r="DH25" s="35">
        <f>DH23+DH25</f>
        <v/>
      </c>
      <c r="DI25" s="35">
        <f>DI23+DI25</f>
        <v/>
      </c>
      <c r="DJ25" s="35">
        <f>DJ23+DJ25</f>
        <v/>
      </c>
      <c r="DK25" s="35">
        <f>DK23+DK25</f>
        <v/>
      </c>
      <c r="DL25" s="35">
        <f>DL23+DL25</f>
        <v/>
      </c>
      <c r="DM25" s="35">
        <f>DM23+DM25</f>
        <v/>
      </c>
      <c r="DN25" s="35">
        <f>DN23+DN25</f>
        <v/>
      </c>
      <c r="DO25" s="35">
        <f>DO23+DO25</f>
        <v/>
      </c>
      <c r="DP25" s="35">
        <f>DP23+DP25</f>
        <v/>
      </c>
      <c r="DQ25" s="35">
        <f>DQ23+DQ25</f>
        <v/>
      </c>
    </row>
    <row r="26">
      <c r="A26" t="inlineStr">
        <is>
          <t>Net Margin %</t>
        </is>
      </c>
      <c r="B26" s="30">
        <f>B26/B4</f>
        <v/>
      </c>
      <c r="C26" s="30">
        <f>C26/C4</f>
        <v/>
      </c>
      <c r="D26" s="30">
        <f>D26/D4</f>
        <v/>
      </c>
      <c r="E26" s="30">
        <f>E26/E4</f>
        <v/>
      </c>
      <c r="F26" s="30">
        <f>F26/F4</f>
        <v/>
      </c>
      <c r="G26" s="30">
        <f>G26/G4</f>
        <v/>
      </c>
      <c r="H26" s="30">
        <f>H26/H4</f>
        <v/>
      </c>
      <c r="I26" s="30">
        <f>I26/I4</f>
        <v/>
      </c>
      <c r="J26" s="30">
        <f>J26/J4</f>
        <v/>
      </c>
      <c r="K26" s="30">
        <f>K26/K4</f>
        <v/>
      </c>
      <c r="L26" s="30">
        <f>L26/L4</f>
        <v/>
      </c>
      <c r="M26" s="30">
        <f>M26/M4</f>
        <v/>
      </c>
      <c r="N26" s="30">
        <f>N26/N4</f>
        <v/>
      </c>
      <c r="O26" s="30">
        <f>O26/O4</f>
        <v/>
      </c>
      <c r="P26" s="30">
        <f>P26/P4</f>
        <v/>
      </c>
      <c r="Q26" s="30">
        <f>Q26/Q4</f>
        <v/>
      </c>
      <c r="R26" s="30">
        <f>R26/R4</f>
        <v/>
      </c>
      <c r="S26" s="30">
        <f>S26/S4</f>
        <v/>
      </c>
      <c r="T26" s="30">
        <f>T26/T4</f>
        <v/>
      </c>
      <c r="U26" s="30">
        <f>U26/U4</f>
        <v/>
      </c>
      <c r="V26" s="30">
        <f>V26/V4</f>
        <v/>
      </c>
      <c r="W26" s="30">
        <f>W26/W4</f>
        <v/>
      </c>
      <c r="X26" s="30">
        <f>X26/X4</f>
        <v/>
      </c>
      <c r="Y26" s="30">
        <f>Y26/Y4</f>
        <v/>
      </c>
      <c r="Z26" s="30">
        <f>Z26/Z4</f>
        <v/>
      </c>
      <c r="AA26" s="30">
        <f>AA26/AA4</f>
        <v/>
      </c>
      <c r="AB26" s="30">
        <f>AB26/AB4</f>
        <v/>
      </c>
      <c r="AC26" s="30">
        <f>AC26/AC4</f>
        <v/>
      </c>
      <c r="AD26" s="30">
        <f>AD26/AD4</f>
        <v/>
      </c>
      <c r="AE26" s="30">
        <f>AE26/AE4</f>
        <v/>
      </c>
      <c r="AF26" s="30">
        <f>AF26/AF4</f>
        <v/>
      </c>
      <c r="AG26" s="30">
        <f>AG26/AG4</f>
        <v/>
      </c>
      <c r="AH26" s="30">
        <f>AH26/AH4</f>
        <v/>
      </c>
      <c r="AI26" s="30">
        <f>AI26/AI4</f>
        <v/>
      </c>
      <c r="AJ26" s="30">
        <f>AJ26/AJ4</f>
        <v/>
      </c>
      <c r="AK26" s="30">
        <f>AK26/AK4</f>
        <v/>
      </c>
      <c r="AL26" s="30">
        <f>AL26/AL4</f>
        <v/>
      </c>
      <c r="AM26" s="30">
        <f>AM26/AM4</f>
        <v/>
      </c>
      <c r="AN26" s="30">
        <f>AN26/AN4</f>
        <v/>
      </c>
      <c r="AO26" s="30">
        <f>AO26/AO4</f>
        <v/>
      </c>
      <c r="AP26" s="30">
        <f>AP26/AP4</f>
        <v/>
      </c>
      <c r="AQ26" s="30">
        <f>AQ26/AQ4</f>
        <v/>
      </c>
      <c r="AR26" s="30">
        <f>AR26/AR4</f>
        <v/>
      </c>
      <c r="AS26" s="30">
        <f>AS26/AS4</f>
        <v/>
      </c>
      <c r="AT26" s="30">
        <f>AT26/AT4</f>
        <v/>
      </c>
      <c r="AU26" s="30">
        <f>AU26/AU4</f>
        <v/>
      </c>
      <c r="AV26" s="30">
        <f>AV26/AV4</f>
        <v/>
      </c>
      <c r="AW26" s="30">
        <f>AW26/AW4</f>
        <v/>
      </c>
      <c r="AX26" s="30">
        <f>AX26/AX4</f>
        <v/>
      </c>
      <c r="AY26" s="30">
        <f>AY26/AY4</f>
        <v/>
      </c>
      <c r="AZ26" s="30">
        <f>AZ26/AZ4</f>
        <v/>
      </c>
      <c r="BA26" s="30">
        <f>BA26/BA4</f>
        <v/>
      </c>
      <c r="BB26" s="30">
        <f>BB26/BB4</f>
        <v/>
      </c>
      <c r="BC26" s="30">
        <f>BC26/BC4</f>
        <v/>
      </c>
      <c r="BD26" s="30">
        <f>BD26/BD4</f>
        <v/>
      </c>
      <c r="BE26" s="30">
        <f>BE26/BE4</f>
        <v/>
      </c>
      <c r="BF26" s="30">
        <f>BF26/BF4</f>
        <v/>
      </c>
      <c r="BG26" s="30">
        <f>BG26/BG4</f>
        <v/>
      </c>
      <c r="BH26" s="30">
        <f>BH26/BH4</f>
        <v/>
      </c>
      <c r="BI26" s="30">
        <f>BI26/BI4</f>
        <v/>
      </c>
      <c r="BJ26" s="30">
        <f>BJ26/BJ4</f>
        <v/>
      </c>
      <c r="BK26" s="30">
        <f>BK26/BK4</f>
        <v/>
      </c>
      <c r="BL26" s="30">
        <f>BL26/BL4</f>
        <v/>
      </c>
      <c r="BM26" s="30">
        <f>BM26/BM4</f>
        <v/>
      </c>
      <c r="BN26" s="30">
        <f>BN26/BN4</f>
        <v/>
      </c>
      <c r="BO26" s="30">
        <f>BO26/BO4</f>
        <v/>
      </c>
      <c r="BP26" s="30">
        <f>BP26/BP4</f>
        <v/>
      </c>
      <c r="BQ26" s="30">
        <f>BQ26/BQ4</f>
        <v/>
      </c>
      <c r="BR26" s="30">
        <f>BR26/BR4</f>
        <v/>
      </c>
      <c r="BS26" s="30">
        <f>BS26/BS4</f>
        <v/>
      </c>
      <c r="BT26" s="30">
        <f>BT26/BT4</f>
        <v/>
      </c>
      <c r="BU26" s="30">
        <f>BU26/BU4</f>
        <v/>
      </c>
      <c r="BV26" s="30">
        <f>BV26/BV4</f>
        <v/>
      </c>
      <c r="BW26" s="30">
        <f>BW26/BW4</f>
        <v/>
      </c>
      <c r="BX26" s="30">
        <f>BX26/BX4</f>
        <v/>
      </c>
      <c r="BY26" s="30">
        <f>BY26/BY4</f>
        <v/>
      </c>
      <c r="BZ26" s="30">
        <f>BZ26/BZ4</f>
        <v/>
      </c>
      <c r="CA26" s="30">
        <f>CA26/CA4</f>
        <v/>
      </c>
      <c r="CB26" s="30">
        <f>CB26/CB4</f>
        <v/>
      </c>
      <c r="CC26" s="30">
        <f>CC26/CC4</f>
        <v/>
      </c>
      <c r="CD26" s="30">
        <f>CD26/CD4</f>
        <v/>
      </c>
      <c r="CE26" s="30">
        <f>CE26/CE4</f>
        <v/>
      </c>
      <c r="CF26" s="30">
        <f>CF26/CF4</f>
        <v/>
      </c>
      <c r="CG26" s="30">
        <f>CG26/CG4</f>
        <v/>
      </c>
      <c r="CH26" s="30">
        <f>CH26/CH4</f>
        <v/>
      </c>
      <c r="CI26" s="30">
        <f>CI26/CI4</f>
        <v/>
      </c>
      <c r="CJ26" s="30">
        <f>CJ26/CJ4</f>
        <v/>
      </c>
      <c r="CK26" s="30">
        <f>CK26/CK4</f>
        <v/>
      </c>
      <c r="CL26" s="30">
        <f>CL26/CL4</f>
        <v/>
      </c>
      <c r="CM26" s="30">
        <f>CM26/CM4</f>
        <v/>
      </c>
      <c r="CN26" s="30">
        <f>CN26/CN4</f>
        <v/>
      </c>
      <c r="CO26" s="30">
        <f>CO26/CO4</f>
        <v/>
      </c>
      <c r="CP26" s="30">
        <f>CP26/CP4</f>
        <v/>
      </c>
      <c r="CQ26" s="30">
        <f>CQ26/CQ4</f>
        <v/>
      </c>
      <c r="CR26" s="30">
        <f>CR26/CR4</f>
        <v/>
      </c>
      <c r="CS26" s="30">
        <f>CS26/CS4</f>
        <v/>
      </c>
      <c r="CT26" s="30">
        <f>CT26/CT4</f>
        <v/>
      </c>
      <c r="CU26" s="30">
        <f>CU26/CU4</f>
        <v/>
      </c>
      <c r="CV26" s="30">
        <f>CV26/CV4</f>
        <v/>
      </c>
      <c r="CW26" s="30">
        <f>CW26/CW4</f>
        <v/>
      </c>
      <c r="CX26" s="30">
        <f>CX26/CX4</f>
        <v/>
      </c>
      <c r="CY26" s="30">
        <f>CY26/CY4</f>
        <v/>
      </c>
      <c r="CZ26" s="30">
        <f>CZ26/CZ4</f>
        <v/>
      </c>
      <c r="DA26" s="30">
        <f>DA26/DA4</f>
        <v/>
      </c>
      <c r="DB26" s="30">
        <f>DB26/DB4</f>
        <v/>
      </c>
      <c r="DC26" s="30">
        <f>DC26/DC4</f>
        <v/>
      </c>
      <c r="DD26" s="30">
        <f>DD26/DD4</f>
        <v/>
      </c>
      <c r="DE26" s="30">
        <f>DE26/DE4</f>
        <v/>
      </c>
      <c r="DF26" s="30">
        <f>DF26/DF4</f>
        <v/>
      </c>
      <c r="DG26" s="30">
        <f>DG26/DG4</f>
        <v/>
      </c>
      <c r="DH26" s="30">
        <f>DH26/DH4</f>
        <v/>
      </c>
      <c r="DI26" s="30">
        <f>DI26/DI4</f>
        <v/>
      </c>
      <c r="DJ26" s="30">
        <f>DJ26/DJ4</f>
        <v/>
      </c>
      <c r="DK26" s="30">
        <f>DK26/DK4</f>
        <v/>
      </c>
      <c r="DL26" s="30">
        <f>DL26/DL4</f>
        <v/>
      </c>
      <c r="DM26" s="30">
        <f>DM26/DM4</f>
        <v/>
      </c>
      <c r="DN26" s="30">
        <f>DN26/DN4</f>
        <v/>
      </c>
      <c r="DO26" s="30">
        <f>DO26/DO4</f>
        <v/>
      </c>
      <c r="DP26" s="30">
        <f>DP26/DP4</f>
        <v/>
      </c>
      <c r="DQ26" s="30">
        <f>DQ26/DQ4</f>
        <v/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Q2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11" customWidth="1" min="92" max="92"/>
    <col width="11" customWidth="1" min="93" max="93"/>
    <col width="11" customWidth="1" min="94" max="94"/>
    <col width="11" customWidth="1" min="95" max="95"/>
    <col width="11" customWidth="1" min="96" max="96"/>
    <col width="11" customWidth="1" min="97" max="97"/>
    <col width="11" customWidth="1" min="98" max="98"/>
    <col width="11" customWidth="1" min="99" max="99"/>
    <col width="11" customWidth="1" min="100" max="100"/>
    <col width="11" customWidth="1" min="101" max="101"/>
    <col width="11" customWidth="1" min="102" max="102"/>
    <col width="11" customWidth="1" min="103" max="103"/>
    <col width="11" customWidth="1" min="104" max="104"/>
    <col width="11" customWidth="1" min="105" max="105"/>
    <col width="11" customWidth="1" min="106" max="106"/>
    <col width="11" customWidth="1" min="107" max="107"/>
    <col width="11" customWidth="1" min="108" max="108"/>
    <col width="11" customWidth="1" min="109" max="109"/>
    <col width="11" customWidth="1" min="110" max="110"/>
    <col width="11" customWidth="1" min="111" max="111"/>
    <col width="11" customWidth="1" min="112" max="112"/>
    <col width="11" customWidth="1" min="113" max="113"/>
    <col width="11" customWidth="1" min="114" max="114"/>
    <col width="11" customWidth="1" min="115" max="115"/>
    <col width="11" customWidth="1" min="116" max="116"/>
    <col width="11" customWidth="1" min="117" max="117"/>
    <col width="11" customWidth="1" min="118" max="118"/>
    <col width="11" customWidth="1" min="119" max="119"/>
    <col width="11" customWidth="1" min="120" max="120"/>
    <col width="11" customWidth="1" min="121" max="121"/>
  </cols>
  <sheetData>
    <row r="1">
      <c r="A1" s="2" t="inlineStr">
        <is>
          <t>CASH FLOW STATEMENT (AUD '000)</t>
        </is>
      </c>
    </row>
    <row r="3">
      <c r="A3" s="6" t="inlineStr">
        <is>
          <t>Line Item</t>
        </is>
      </c>
      <c r="B3" s="29">
        <f>TIMELINE!B7</f>
        <v/>
      </c>
      <c r="C3" s="29">
        <f>TIMELINE!C7</f>
        <v/>
      </c>
      <c r="D3" s="29">
        <f>TIMELINE!D7</f>
        <v/>
      </c>
      <c r="E3" s="29">
        <f>TIMELINE!E7</f>
        <v/>
      </c>
      <c r="F3" s="29">
        <f>TIMELINE!F7</f>
        <v/>
      </c>
      <c r="G3" s="29">
        <f>TIMELINE!G7</f>
        <v/>
      </c>
      <c r="H3" s="29">
        <f>TIMELINE!H7</f>
        <v/>
      </c>
      <c r="I3" s="29">
        <f>TIMELINE!I7</f>
        <v/>
      </c>
      <c r="J3" s="29">
        <f>TIMELINE!J7</f>
        <v/>
      </c>
      <c r="K3" s="29">
        <f>TIMELINE!K7</f>
        <v/>
      </c>
      <c r="L3" s="29">
        <f>TIMELINE!L7</f>
        <v/>
      </c>
      <c r="M3" s="29">
        <f>TIMELINE!M7</f>
        <v/>
      </c>
      <c r="N3" s="29">
        <f>TIMELINE!N7</f>
        <v/>
      </c>
      <c r="O3" s="29">
        <f>TIMELINE!O7</f>
        <v/>
      </c>
      <c r="P3" s="29">
        <f>TIMELINE!P7</f>
        <v/>
      </c>
      <c r="Q3" s="29">
        <f>TIMELINE!Q7</f>
        <v/>
      </c>
      <c r="R3" s="29">
        <f>TIMELINE!R7</f>
        <v/>
      </c>
      <c r="S3" s="29">
        <f>TIMELINE!S7</f>
        <v/>
      </c>
      <c r="T3" s="29">
        <f>TIMELINE!T7</f>
        <v/>
      </c>
      <c r="U3" s="29">
        <f>TIMELINE!U7</f>
        <v/>
      </c>
      <c r="V3" s="29">
        <f>TIMELINE!V7</f>
        <v/>
      </c>
      <c r="W3" s="29">
        <f>TIMELINE!W7</f>
        <v/>
      </c>
      <c r="X3" s="29">
        <f>TIMELINE!X7</f>
        <v/>
      </c>
      <c r="Y3" s="29">
        <f>TIMELINE!Y7</f>
        <v/>
      </c>
      <c r="Z3" s="29">
        <f>TIMELINE!Z7</f>
        <v/>
      </c>
      <c r="AA3" s="29">
        <f>TIMELINE!AA7</f>
        <v/>
      </c>
      <c r="AB3" s="29">
        <f>TIMELINE!AB7</f>
        <v/>
      </c>
      <c r="AC3" s="29">
        <f>TIMELINE!AC7</f>
        <v/>
      </c>
      <c r="AD3" s="29">
        <f>TIMELINE!AD7</f>
        <v/>
      </c>
      <c r="AE3" s="29">
        <f>TIMELINE!AE7</f>
        <v/>
      </c>
      <c r="AF3" s="29">
        <f>TIMELINE!AF7</f>
        <v/>
      </c>
      <c r="AG3" s="29">
        <f>TIMELINE!AG7</f>
        <v/>
      </c>
      <c r="AH3" s="29">
        <f>TIMELINE!AH7</f>
        <v/>
      </c>
      <c r="AI3" s="29">
        <f>TIMELINE!AI7</f>
        <v/>
      </c>
      <c r="AJ3" s="29">
        <f>TIMELINE!AJ7</f>
        <v/>
      </c>
      <c r="AK3" s="29">
        <f>TIMELINE!AK7</f>
        <v/>
      </c>
      <c r="AL3" s="29">
        <f>TIMELINE!AL7</f>
        <v/>
      </c>
      <c r="AM3" s="29">
        <f>TIMELINE!AM7</f>
        <v/>
      </c>
      <c r="AN3" s="29">
        <f>TIMELINE!AN7</f>
        <v/>
      </c>
      <c r="AO3" s="29">
        <f>TIMELINE!AO7</f>
        <v/>
      </c>
      <c r="AP3" s="29">
        <f>TIMELINE!AP7</f>
        <v/>
      </c>
      <c r="AQ3" s="29">
        <f>TIMELINE!AQ7</f>
        <v/>
      </c>
      <c r="AR3" s="29">
        <f>TIMELINE!AR7</f>
        <v/>
      </c>
      <c r="AS3" s="29">
        <f>TIMELINE!AS7</f>
        <v/>
      </c>
      <c r="AT3" s="29">
        <f>TIMELINE!AT7</f>
        <v/>
      </c>
      <c r="AU3" s="29">
        <f>TIMELINE!AU7</f>
        <v/>
      </c>
      <c r="AV3" s="29">
        <f>TIMELINE!AV7</f>
        <v/>
      </c>
      <c r="AW3" s="29">
        <f>TIMELINE!AW7</f>
        <v/>
      </c>
      <c r="AX3" s="29">
        <f>TIMELINE!AX7</f>
        <v/>
      </c>
      <c r="AY3" s="29">
        <f>TIMELINE!AY7</f>
        <v/>
      </c>
      <c r="AZ3" s="29">
        <f>TIMELINE!AZ7</f>
        <v/>
      </c>
      <c r="BA3" s="29">
        <f>TIMELINE!BA7</f>
        <v/>
      </c>
      <c r="BB3" s="29">
        <f>TIMELINE!BB7</f>
        <v/>
      </c>
      <c r="BC3" s="29">
        <f>TIMELINE!BC7</f>
        <v/>
      </c>
      <c r="BD3" s="29">
        <f>TIMELINE!BD7</f>
        <v/>
      </c>
      <c r="BE3" s="29">
        <f>TIMELINE!BE7</f>
        <v/>
      </c>
      <c r="BF3" s="29">
        <f>TIMELINE!BF7</f>
        <v/>
      </c>
      <c r="BG3" s="29">
        <f>TIMELINE!BG7</f>
        <v/>
      </c>
      <c r="BH3" s="29">
        <f>TIMELINE!BH7</f>
        <v/>
      </c>
      <c r="BI3" s="29">
        <f>TIMELINE!BI7</f>
        <v/>
      </c>
      <c r="BJ3" s="29">
        <f>TIMELINE!BJ7</f>
        <v/>
      </c>
      <c r="BK3" s="29">
        <f>TIMELINE!BK7</f>
        <v/>
      </c>
      <c r="BL3" s="29">
        <f>TIMELINE!BL7</f>
        <v/>
      </c>
      <c r="BM3" s="29">
        <f>TIMELINE!BM7</f>
        <v/>
      </c>
      <c r="BN3" s="29">
        <f>TIMELINE!BN7</f>
        <v/>
      </c>
      <c r="BO3" s="29">
        <f>TIMELINE!BO7</f>
        <v/>
      </c>
      <c r="BP3" s="29">
        <f>TIMELINE!BP7</f>
        <v/>
      </c>
      <c r="BQ3" s="29">
        <f>TIMELINE!BQ7</f>
        <v/>
      </c>
      <c r="BR3" s="29">
        <f>TIMELINE!BR7</f>
        <v/>
      </c>
      <c r="BS3" s="29">
        <f>TIMELINE!BS7</f>
        <v/>
      </c>
      <c r="BT3" s="29">
        <f>TIMELINE!BT7</f>
        <v/>
      </c>
      <c r="BU3" s="29">
        <f>TIMELINE!BU7</f>
        <v/>
      </c>
      <c r="BV3" s="29">
        <f>TIMELINE!BV7</f>
        <v/>
      </c>
      <c r="BW3" s="29">
        <f>TIMELINE!BW7</f>
        <v/>
      </c>
      <c r="BX3" s="29">
        <f>TIMELINE!BX7</f>
        <v/>
      </c>
      <c r="BY3" s="29">
        <f>TIMELINE!BY7</f>
        <v/>
      </c>
      <c r="BZ3" s="29">
        <f>TIMELINE!BZ7</f>
        <v/>
      </c>
      <c r="CA3" s="29">
        <f>TIMELINE!CA7</f>
        <v/>
      </c>
      <c r="CB3" s="29">
        <f>TIMELINE!CB7</f>
        <v/>
      </c>
      <c r="CC3" s="29">
        <f>TIMELINE!CC7</f>
        <v/>
      </c>
      <c r="CD3" s="29">
        <f>TIMELINE!CD7</f>
        <v/>
      </c>
      <c r="CE3" s="29">
        <f>TIMELINE!CE7</f>
        <v/>
      </c>
      <c r="CF3" s="29">
        <f>TIMELINE!CF7</f>
        <v/>
      </c>
      <c r="CG3" s="29">
        <f>TIMELINE!CG7</f>
        <v/>
      </c>
      <c r="CH3" s="29">
        <f>TIMELINE!CH7</f>
        <v/>
      </c>
      <c r="CI3" s="29">
        <f>TIMELINE!CI7</f>
        <v/>
      </c>
      <c r="CJ3" s="29">
        <f>TIMELINE!CJ7</f>
        <v/>
      </c>
      <c r="CK3" s="29">
        <f>TIMELINE!CK7</f>
        <v/>
      </c>
      <c r="CL3" s="29">
        <f>TIMELINE!CL7</f>
        <v/>
      </c>
      <c r="CM3" s="29">
        <f>TIMELINE!CM7</f>
        <v/>
      </c>
      <c r="CN3" s="29">
        <f>TIMELINE!CN7</f>
        <v/>
      </c>
      <c r="CO3" s="29">
        <f>TIMELINE!CO7</f>
        <v/>
      </c>
      <c r="CP3" s="29">
        <f>TIMELINE!CP7</f>
        <v/>
      </c>
      <c r="CQ3" s="29">
        <f>TIMELINE!CQ7</f>
        <v/>
      </c>
      <c r="CR3" s="29">
        <f>TIMELINE!CR7</f>
        <v/>
      </c>
      <c r="CS3" s="29">
        <f>TIMELINE!CS7</f>
        <v/>
      </c>
      <c r="CT3" s="29">
        <f>TIMELINE!CT7</f>
        <v/>
      </c>
      <c r="CU3" s="29">
        <f>TIMELINE!CU7</f>
        <v/>
      </c>
      <c r="CV3" s="29">
        <f>TIMELINE!CV7</f>
        <v/>
      </c>
      <c r="CW3" s="29">
        <f>TIMELINE!CW7</f>
        <v/>
      </c>
      <c r="CX3" s="29">
        <f>TIMELINE!CX7</f>
        <v/>
      </c>
      <c r="CY3" s="29">
        <f>TIMELINE!CY7</f>
        <v/>
      </c>
      <c r="CZ3" s="29">
        <f>TIMELINE!CZ7</f>
        <v/>
      </c>
      <c r="DA3" s="29">
        <f>TIMELINE!DA7</f>
        <v/>
      </c>
      <c r="DB3" s="29">
        <f>TIMELINE!DB7</f>
        <v/>
      </c>
      <c r="DC3" s="29">
        <f>TIMELINE!DC7</f>
        <v/>
      </c>
      <c r="DD3" s="29">
        <f>TIMELINE!DD7</f>
        <v/>
      </c>
      <c r="DE3" s="29">
        <f>TIMELINE!DE7</f>
        <v/>
      </c>
      <c r="DF3" s="29">
        <f>TIMELINE!DF7</f>
        <v/>
      </c>
      <c r="DG3" s="29">
        <f>TIMELINE!DG7</f>
        <v/>
      </c>
      <c r="DH3" s="29">
        <f>TIMELINE!DH7</f>
        <v/>
      </c>
      <c r="DI3" s="29">
        <f>TIMELINE!DI7</f>
        <v/>
      </c>
      <c r="DJ3" s="29">
        <f>TIMELINE!DJ7</f>
        <v/>
      </c>
      <c r="DK3" s="29">
        <f>TIMELINE!DK7</f>
        <v/>
      </c>
      <c r="DL3" s="29">
        <f>TIMELINE!DL7</f>
        <v/>
      </c>
      <c r="DM3" s="29">
        <f>TIMELINE!DM7</f>
        <v/>
      </c>
      <c r="DN3" s="29">
        <f>TIMELINE!DN7</f>
        <v/>
      </c>
      <c r="DO3" s="29">
        <f>TIMELINE!DO7</f>
        <v/>
      </c>
      <c r="DP3" s="29">
        <f>TIMELINE!DP7</f>
        <v/>
      </c>
      <c r="DQ3" s="29">
        <f>TIMELINE!DQ7</f>
        <v/>
      </c>
    </row>
    <row r="4">
      <c r="A4" t="inlineStr">
        <is>
          <t>Operating Activities</t>
        </is>
      </c>
    </row>
    <row r="5">
      <c r="A5" t="inlineStr">
        <is>
          <t xml:space="preserve">  Net Income</t>
        </is>
      </c>
      <c r="B5" s="34">
        <f>IS!B26</f>
        <v/>
      </c>
      <c r="C5" s="34">
        <f>IS!C26</f>
        <v/>
      </c>
      <c r="D5" s="34">
        <f>IS!D26</f>
        <v/>
      </c>
      <c r="E5" s="34">
        <f>IS!E26</f>
        <v/>
      </c>
      <c r="F5" s="34">
        <f>IS!F26</f>
        <v/>
      </c>
      <c r="G5" s="34">
        <f>IS!G26</f>
        <v/>
      </c>
      <c r="H5" s="34">
        <f>IS!H26</f>
        <v/>
      </c>
      <c r="I5" s="34">
        <f>IS!I26</f>
        <v/>
      </c>
      <c r="J5" s="34">
        <f>IS!J26</f>
        <v/>
      </c>
      <c r="K5" s="34">
        <f>IS!K26</f>
        <v/>
      </c>
      <c r="L5" s="34">
        <f>IS!L26</f>
        <v/>
      </c>
      <c r="M5" s="34">
        <f>IS!M26</f>
        <v/>
      </c>
      <c r="N5" s="34">
        <f>IS!N26</f>
        <v/>
      </c>
      <c r="O5" s="34">
        <f>IS!O26</f>
        <v/>
      </c>
      <c r="P5" s="34">
        <f>IS!P26</f>
        <v/>
      </c>
      <c r="Q5" s="34">
        <f>IS!Q26</f>
        <v/>
      </c>
      <c r="R5" s="34">
        <f>IS!R26</f>
        <v/>
      </c>
      <c r="S5" s="34">
        <f>IS!S26</f>
        <v/>
      </c>
      <c r="T5" s="34">
        <f>IS!T26</f>
        <v/>
      </c>
      <c r="U5" s="34">
        <f>IS!U26</f>
        <v/>
      </c>
      <c r="V5" s="34">
        <f>IS!V26</f>
        <v/>
      </c>
      <c r="W5" s="34">
        <f>IS!W26</f>
        <v/>
      </c>
      <c r="X5" s="34">
        <f>IS!X26</f>
        <v/>
      </c>
      <c r="Y5" s="34">
        <f>IS!Y26</f>
        <v/>
      </c>
      <c r="Z5" s="34">
        <f>IS!Z26</f>
        <v/>
      </c>
      <c r="AA5" s="34">
        <f>IS!AA26</f>
        <v/>
      </c>
      <c r="AB5" s="34">
        <f>IS!AB26</f>
        <v/>
      </c>
      <c r="AC5" s="34">
        <f>IS!AC26</f>
        <v/>
      </c>
      <c r="AD5" s="34">
        <f>IS!AD26</f>
        <v/>
      </c>
      <c r="AE5" s="34">
        <f>IS!AE26</f>
        <v/>
      </c>
      <c r="AF5" s="34">
        <f>IS!AF26</f>
        <v/>
      </c>
      <c r="AG5" s="34">
        <f>IS!AG26</f>
        <v/>
      </c>
      <c r="AH5" s="34">
        <f>IS!AH26</f>
        <v/>
      </c>
      <c r="AI5" s="34">
        <f>IS!AI26</f>
        <v/>
      </c>
      <c r="AJ5" s="34">
        <f>IS!AJ26</f>
        <v/>
      </c>
      <c r="AK5" s="34">
        <f>IS!AK26</f>
        <v/>
      </c>
      <c r="AL5" s="34">
        <f>IS!AL26</f>
        <v/>
      </c>
      <c r="AM5" s="34">
        <f>IS!AM26</f>
        <v/>
      </c>
      <c r="AN5" s="34">
        <f>IS!AN26</f>
        <v/>
      </c>
      <c r="AO5" s="34">
        <f>IS!AO26</f>
        <v/>
      </c>
      <c r="AP5" s="34">
        <f>IS!AP26</f>
        <v/>
      </c>
      <c r="AQ5" s="34">
        <f>IS!AQ26</f>
        <v/>
      </c>
      <c r="AR5" s="34">
        <f>IS!AR26</f>
        <v/>
      </c>
      <c r="AS5" s="34">
        <f>IS!AS26</f>
        <v/>
      </c>
      <c r="AT5" s="34">
        <f>IS!AT26</f>
        <v/>
      </c>
      <c r="AU5" s="34">
        <f>IS!AU26</f>
        <v/>
      </c>
      <c r="AV5" s="34">
        <f>IS!AV26</f>
        <v/>
      </c>
      <c r="AW5" s="34">
        <f>IS!AW26</f>
        <v/>
      </c>
      <c r="AX5" s="34">
        <f>IS!AX26</f>
        <v/>
      </c>
      <c r="AY5" s="34">
        <f>IS!AY26</f>
        <v/>
      </c>
      <c r="AZ5" s="34">
        <f>IS!AZ26</f>
        <v/>
      </c>
      <c r="BA5" s="34">
        <f>IS!BA26</f>
        <v/>
      </c>
      <c r="BB5" s="34">
        <f>IS!BB26</f>
        <v/>
      </c>
      <c r="BC5" s="34">
        <f>IS!BC26</f>
        <v/>
      </c>
      <c r="BD5" s="34">
        <f>IS!BD26</f>
        <v/>
      </c>
      <c r="BE5" s="34">
        <f>IS!BE26</f>
        <v/>
      </c>
      <c r="BF5" s="34">
        <f>IS!BF26</f>
        <v/>
      </c>
      <c r="BG5" s="34">
        <f>IS!BG26</f>
        <v/>
      </c>
      <c r="BH5" s="34">
        <f>IS!BH26</f>
        <v/>
      </c>
      <c r="BI5" s="34">
        <f>IS!BI26</f>
        <v/>
      </c>
      <c r="BJ5" s="34">
        <f>IS!BJ26</f>
        <v/>
      </c>
      <c r="BK5" s="34">
        <f>IS!BK26</f>
        <v/>
      </c>
      <c r="BL5" s="34">
        <f>IS!BL26</f>
        <v/>
      </c>
      <c r="BM5" s="34">
        <f>IS!BM26</f>
        <v/>
      </c>
      <c r="BN5" s="34">
        <f>IS!BN26</f>
        <v/>
      </c>
      <c r="BO5" s="34">
        <f>IS!BO26</f>
        <v/>
      </c>
      <c r="BP5" s="34">
        <f>IS!BP26</f>
        <v/>
      </c>
      <c r="BQ5" s="34">
        <f>IS!BQ26</f>
        <v/>
      </c>
      <c r="BR5" s="34">
        <f>IS!BR26</f>
        <v/>
      </c>
      <c r="BS5" s="34">
        <f>IS!BS26</f>
        <v/>
      </c>
      <c r="BT5" s="34">
        <f>IS!BT26</f>
        <v/>
      </c>
      <c r="BU5" s="34">
        <f>IS!BU26</f>
        <v/>
      </c>
      <c r="BV5" s="34">
        <f>IS!BV26</f>
        <v/>
      </c>
      <c r="BW5" s="34">
        <f>IS!BW26</f>
        <v/>
      </c>
      <c r="BX5" s="34">
        <f>IS!BX26</f>
        <v/>
      </c>
      <c r="BY5" s="34">
        <f>IS!BY26</f>
        <v/>
      </c>
      <c r="BZ5" s="34">
        <f>IS!BZ26</f>
        <v/>
      </c>
      <c r="CA5" s="34">
        <f>IS!CA26</f>
        <v/>
      </c>
      <c r="CB5" s="34">
        <f>IS!CB26</f>
        <v/>
      </c>
      <c r="CC5" s="34">
        <f>IS!CC26</f>
        <v/>
      </c>
      <c r="CD5" s="34">
        <f>IS!CD26</f>
        <v/>
      </c>
      <c r="CE5" s="34">
        <f>IS!CE26</f>
        <v/>
      </c>
      <c r="CF5" s="34">
        <f>IS!CF26</f>
        <v/>
      </c>
      <c r="CG5" s="34">
        <f>IS!CG26</f>
        <v/>
      </c>
      <c r="CH5" s="34">
        <f>IS!CH26</f>
        <v/>
      </c>
      <c r="CI5" s="34">
        <f>IS!CI26</f>
        <v/>
      </c>
      <c r="CJ5" s="34">
        <f>IS!CJ26</f>
        <v/>
      </c>
      <c r="CK5" s="34">
        <f>IS!CK26</f>
        <v/>
      </c>
      <c r="CL5" s="34">
        <f>IS!CL26</f>
        <v/>
      </c>
      <c r="CM5" s="34">
        <f>IS!CM26</f>
        <v/>
      </c>
      <c r="CN5" s="34">
        <f>IS!CN26</f>
        <v/>
      </c>
      <c r="CO5" s="34">
        <f>IS!CO26</f>
        <v/>
      </c>
      <c r="CP5" s="34">
        <f>IS!CP26</f>
        <v/>
      </c>
      <c r="CQ5" s="34">
        <f>IS!CQ26</f>
        <v/>
      </c>
      <c r="CR5" s="34">
        <f>IS!CR26</f>
        <v/>
      </c>
      <c r="CS5" s="34">
        <f>IS!CS26</f>
        <v/>
      </c>
      <c r="CT5" s="34">
        <f>IS!CT26</f>
        <v/>
      </c>
      <c r="CU5" s="34">
        <f>IS!CU26</f>
        <v/>
      </c>
      <c r="CV5" s="34">
        <f>IS!CV26</f>
        <v/>
      </c>
      <c r="CW5" s="34">
        <f>IS!CW26</f>
        <v/>
      </c>
      <c r="CX5" s="34">
        <f>IS!CX26</f>
        <v/>
      </c>
      <c r="CY5" s="34">
        <f>IS!CY26</f>
        <v/>
      </c>
      <c r="CZ5" s="34">
        <f>IS!CZ26</f>
        <v/>
      </c>
      <c r="DA5" s="34">
        <f>IS!DA26</f>
        <v/>
      </c>
      <c r="DB5" s="34">
        <f>IS!DB26</f>
        <v/>
      </c>
      <c r="DC5" s="34">
        <f>IS!DC26</f>
        <v/>
      </c>
      <c r="DD5" s="34">
        <f>IS!DD26</f>
        <v/>
      </c>
      <c r="DE5" s="34">
        <f>IS!DE26</f>
        <v/>
      </c>
      <c r="DF5" s="34">
        <f>IS!DF26</f>
        <v/>
      </c>
      <c r="DG5" s="34">
        <f>IS!DG26</f>
        <v/>
      </c>
      <c r="DH5" s="34">
        <f>IS!DH26</f>
        <v/>
      </c>
      <c r="DI5" s="34">
        <f>IS!DI26</f>
        <v/>
      </c>
      <c r="DJ5" s="34">
        <f>IS!DJ26</f>
        <v/>
      </c>
      <c r="DK5" s="34">
        <f>IS!DK26</f>
        <v/>
      </c>
      <c r="DL5" s="34">
        <f>IS!DL26</f>
        <v/>
      </c>
      <c r="DM5" s="34">
        <f>IS!DM26</f>
        <v/>
      </c>
      <c r="DN5" s="34">
        <f>IS!DN26</f>
        <v/>
      </c>
      <c r="DO5" s="34">
        <f>IS!DO26</f>
        <v/>
      </c>
      <c r="DP5" s="34">
        <f>IS!DP26</f>
        <v/>
      </c>
      <c r="DQ5" s="34">
        <f>IS!DQ26</f>
        <v/>
      </c>
    </row>
    <row r="6">
      <c r="A6" t="inlineStr">
        <is>
          <t xml:space="preserve">  Add: Depreciation</t>
        </is>
      </c>
      <c r="B6" s="34">
        <f>IS!B19*-1</f>
        <v/>
      </c>
      <c r="C6" s="34">
        <f>IS!C19*-1</f>
        <v/>
      </c>
      <c r="D6" s="34">
        <f>IS!D19*-1</f>
        <v/>
      </c>
      <c r="E6" s="34">
        <f>IS!E19*-1</f>
        <v/>
      </c>
      <c r="F6" s="34">
        <f>IS!F19*-1</f>
        <v/>
      </c>
      <c r="G6" s="34">
        <f>IS!G19*-1</f>
        <v/>
      </c>
      <c r="H6" s="34">
        <f>IS!H19*-1</f>
        <v/>
      </c>
      <c r="I6" s="34">
        <f>IS!I19*-1</f>
        <v/>
      </c>
      <c r="J6" s="34">
        <f>IS!J19*-1</f>
        <v/>
      </c>
      <c r="K6" s="34">
        <f>IS!K19*-1</f>
        <v/>
      </c>
      <c r="L6" s="34">
        <f>IS!L19*-1</f>
        <v/>
      </c>
      <c r="M6" s="34">
        <f>IS!M19*-1</f>
        <v/>
      </c>
      <c r="N6" s="34">
        <f>IS!N19*-1</f>
        <v/>
      </c>
      <c r="O6" s="34">
        <f>IS!O19*-1</f>
        <v/>
      </c>
      <c r="P6" s="34">
        <f>IS!P19*-1</f>
        <v/>
      </c>
      <c r="Q6" s="34">
        <f>IS!Q19*-1</f>
        <v/>
      </c>
      <c r="R6" s="34">
        <f>IS!R19*-1</f>
        <v/>
      </c>
      <c r="S6" s="34">
        <f>IS!S19*-1</f>
        <v/>
      </c>
      <c r="T6" s="34">
        <f>IS!T19*-1</f>
        <v/>
      </c>
      <c r="U6" s="34">
        <f>IS!U19*-1</f>
        <v/>
      </c>
      <c r="V6" s="34">
        <f>IS!V19*-1</f>
        <v/>
      </c>
      <c r="W6" s="34">
        <f>IS!W19*-1</f>
        <v/>
      </c>
      <c r="X6" s="34">
        <f>IS!X19*-1</f>
        <v/>
      </c>
      <c r="Y6" s="34">
        <f>IS!Y19*-1</f>
        <v/>
      </c>
      <c r="Z6" s="34">
        <f>IS!Z19*-1</f>
        <v/>
      </c>
      <c r="AA6" s="34">
        <f>IS!AA19*-1</f>
        <v/>
      </c>
      <c r="AB6" s="34">
        <f>IS!AB19*-1</f>
        <v/>
      </c>
      <c r="AC6" s="34">
        <f>IS!AC19*-1</f>
        <v/>
      </c>
      <c r="AD6" s="34">
        <f>IS!AD19*-1</f>
        <v/>
      </c>
      <c r="AE6" s="34">
        <f>IS!AE19*-1</f>
        <v/>
      </c>
      <c r="AF6" s="34">
        <f>IS!AF19*-1</f>
        <v/>
      </c>
      <c r="AG6" s="34">
        <f>IS!AG19*-1</f>
        <v/>
      </c>
      <c r="AH6" s="34">
        <f>IS!AH19*-1</f>
        <v/>
      </c>
      <c r="AI6" s="34">
        <f>IS!AI19*-1</f>
        <v/>
      </c>
      <c r="AJ6" s="34">
        <f>IS!AJ19*-1</f>
        <v/>
      </c>
      <c r="AK6" s="34">
        <f>IS!AK19*-1</f>
        <v/>
      </c>
      <c r="AL6" s="34">
        <f>IS!AL19*-1</f>
        <v/>
      </c>
      <c r="AM6" s="34">
        <f>IS!AM19*-1</f>
        <v/>
      </c>
      <c r="AN6" s="34">
        <f>IS!AN19*-1</f>
        <v/>
      </c>
      <c r="AO6" s="34">
        <f>IS!AO19*-1</f>
        <v/>
      </c>
      <c r="AP6" s="34">
        <f>IS!AP19*-1</f>
        <v/>
      </c>
      <c r="AQ6" s="34">
        <f>IS!AQ19*-1</f>
        <v/>
      </c>
      <c r="AR6" s="34">
        <f>IS!AR19*-1</f>
        <v/>
      </c>
      <c r="AS6" s="34">
        <f>IS!AS19*-1</f>
        <v/>
      </c>
      <c r="AT6" s="34">
        <f>IS!AT19*-1</f>
        <v/>
      </c>
      <c r="AU6" s="34">
        <f>IS!AU19*-1</f>
        <v/>
      </c>
      <c r="AV6" s="34">
        <f>IS!AV19*-1</f>
        <v/>
      </c>
      <c r="AW6" s="34">
        <f>IS!AW19*-1</f>
        <v/>
      </c>
      <c r="AX6" s="34">
        <f>IS!AX19*-1</f>
        <v/>
      </c>
      <c r="AY6" s="34">
        <f>IS!AY19*-1</f>
        <v/>
      </c>
      <c r="AZ6" s="34">
        <f>IS!AZ19*-1</f>
        <v/>
      </c>
      <c r="BA6" s="34">
        <f>IS!BA19*-1</f>
        <v/>
      </c>
      <c r="BB6" s="34">
        <f>IS!BB19*-1</f>
        <v/>
      </c>
      <c r="BC6" s="34">
        <f>IS!BC19*-1</f>
        <v/>
      </c>
      <c r="BD6" s="34">
        <f>IS!BD19*-1</f>
        <v/>
      </c>
      <c r="BE6" s="34">
        <f>IS!BE19*-1</f>
        <v/>
      </c>
      <c r="BF6" s="34">
        <f>IS!BF19*-1</f>
        <v/>
      </c>
      <c r="BG6" s="34">
        <f>IS!BG19*-1</f>
        <v/>
      </c>
      <c r="BH6" s="34">
        <f>IS!BH19*-1</f>
        <v/>
      </c>
      <c r="BI6" s="34">
        <f>IS!BI19*-1</f>
        <v/>
      </c>
      <c r="BJ6" s="34">
        <f>IS!BJ19*-1</f>
        <v/>
      </c>
      <c r="BK6" s="34">
        <f>IS!BK19*-1</f>
        <v/>
      </c>
      <c r="BL6" s="34">
        <f>IS!BL19*-1</f>
        <v/>
      </c>
      <c r="BM6" s="34">
        <f>IS!BM19*-1</f>
        <v/>
      </c>
      <c r="BN6" s="34">
        <f>IS!BN19*-1</f>
        <v/>
      </c>
      <c r="BO6" s="34">
        <f>IS!BO19*-1</f>
        <v/>
      </c>
      <c r="BP6" s="34">
        <f>IS!BP19*-1</f>
        <v/>
      </c>
      <c r="BQ6" s="34">
        <f>IS!BQ19*-1</f>
        <v/>
      </c>
      <c r="BR6" s="34">
        <f>IS!BR19*-1</f>
        <v/>
      </c>
      <c r="BS6" s="34">
        <f>IS!BS19*-1</f>
        <v/>
      </c>
      <c r="BT6" s="34">
        <f>IS!BT19*-1</f>
        <v/>
      </c>
      <c r="BU6" s="34">
        <f>IS!BU19*-1</f>
        <v/>
      </c>
      <c r="BV6" s="34">
        <f>IS!BV19*-1</f>
        <v/>
      </c>
      <c r="BW6" s="34">
        <f>IS!BW19*-1</f>
        <v/>
      </c>
      <c r="BX6" s="34">
        <f>IS!BX19*-1</f>
        <v/>
      </c>
      <c r="BY6" s="34">
        <f>IS!BY19*-1</f>
        <v/>
      </c>
      <c r="BZ6" s="34">
        <f>IS!BZ19*-1</f>
        <v/>
      </c>
      <c r="CA6" s="34">
        <f>IS!CA19*-1</f>
        <v/>
      </c>
      <c r="CB6" s="34">
        <f>IS!CB19*-1</f>
        <v/>
      </c>
      <c r="CC6" s="34">
        <f>IS!CC19*-1</f>
        <v/>
      </c>
      <c r="CD6" s="34">
        <f>IS!CD19*-1</f>
        <v/>
      </c>
      <c r="CE6" s="34">
        <f>IS!CE19*-1</f>
        <v/>
      </c>
      <c r="CF6" s="34">
        <f>IS!CF19*-1</f>
        <v/>
      </c>
      <c r="CG6" s="34">
        <f>IS!CG19*-1</f>
        <v/>
      </c>
      <c r="CH6" s="34">
        <f>IS!CH19*-1</f>
        <v/>
      </c>
      <c r="CI6" s="34">
        <f>IS!CI19*-1</f>
        <v/>
      </c>
      <c r="CJ6" s="34">
        <f>IS!CJ19*-1</f>
        <v/>
      </c>
      <c r="CK6" s="34">
        <f>IS!CK19*-1</f>
        <v/>
      </c>
      <c r="CL6" s="34">
        <f>IS!CL19*-1</f>
        <v/>
      </c>
      <c r="CM6" s="34">
        <f>IS!CM19*-1</f>
        <v/>
      </c>
      <c r="CN6" s="34">
        <f>IS!CN19*-1</f>
        <v/>
      </c>
      <c r="CO6" s="34">
        <f>IS!CO19*-1</f>
        <v/>
      </c>
      <c r="CP6" s="34">
        <f>IS!CP19*-1</f>
        <v/>
      </c>
      <c r="CQ6" s="34">
        <f>IS!CQ19*-1</f>
        <v/>
      </c>
      <c r="CR6" s="34">
        <f>IS!CR19*-1</f>
        <v/>
      </c>
      <c r="CS6" s="34">
        <f>IS!CS19*-1</f>
        <v/>
      </c>
      <c r="CT6" s="34">
        <f>IS!CT19*-1</f>
        <v/>
      </c>
      <c r="CU6" s="34">
        <f>IS!CU19*-1</f>
        <v/>
      </c>
      <c r="CV6" s="34">
        <f>IS!CV19*-1</f>
        <v/>
      </c>
      <c r="CW6" s="34">
        <f>IS!CW19*-1</f>
        <v/>
      </c>
      <c r="CX6" s="34">
        <f>IS!CX19*-1</f>
        <v/>
      </c>
      <c r="CY6" s="34">
        <f>IS!CY19*-1</f>
        <v/>
      </c>
      <c r="CZ6" s="34">
        <f>IS!CZ19*-1</f>
        <v/>
      </c>
      <c r="DA6" s="34">
        <f>IS!DA19*-1</f>
        <v/>
      </c>
      <c r="DB6" s="34">
        <f>IS!DB19*-1</f>
        <v/>
      </c>
      <c r="DC6" s="34">
        <f>IS!DC19*-1</f>
        <v/>
      </c>
      <c r="DD6" s="34">
        <f>IS!DD19*-1</f>
        <v/>
      </c>
      <c r="DE6" s="34">
        <f>IS!DE19*-1</f>
        <v/>
      </c>
      <c r="DF6" s="34">
        <f>IS!DF19*-1</f>
        <v/>
      </c>
      <c r="DG6" s="34">
        <f>IS!DG19*-1</f>
        <v/>
      </c>
      <c r="DH6" s="34">
        <f>IS!DH19*-1</f>
        <v/>
      </c>
      <c r="DI6" s="34">
        <f>IS!DI19*-1</f>
        <v/>
      </c>
      <c r="DJ6" s="34">
        <f>IS!DJ19*-1</f>
        <v/>
      </c>
      <c r="DK6" s="34">
        <f>IS!DK19*-1</f>
        <v/>
      </c>
      <c r="DL6" s="34">
        <f>IS!DL19*-1</f>
        <v/>
      </c>
      <c r="DM6" s="34">
        <f>IS!DM19*-1</f>
        <v/>
      </c>
      <c r="DN6" s="34">
        <f>IS!DN19*-1</f>
        <v/>
      </c>
      <c r="DO6" s="34">
        <f>IS!DO19*-1</f>
        <v/>
      </c>
      <c r="DP6" s="34">
        <f>IS!DP19*-1</f>
        <v/>
      </c>
      <c r="DQ6" s="34">
        <f>IS!DQ19*-1</f>
        <v/>
      </c>
    </row>
    <row r="7">
      <c r="A7" t="inlineStr">
        <is>
          <t xml:space="preserve">  Change in Working Capital</t>
        </is>
      </c>
      <c r="B7" s="34" t="n">
        <v>0</v>
      </c>
      <c r="C7" s="34" t="n">
        <v>0</v>
      </c>
      <c r="D7" s="34" t="n">
        <v>0</v>
      </c>
      <c r="E7" s="34" t="n">
        <v>0</v>
      </c>
      <c r="F7" s="34" t="n">
        <v>0</v>
      </c>
      <c r="G7" s="34" t="n">
        <v>0</v>
      </c>
      <c r="H7" s="34" t="n">
        <v>0</v>
      </c>
      <c r="I7" s="34" t="n">
        <v>0</v>
      </c>
      <c r="J7" s="34" t="n">
        <v>0</v>
      </c>
      <c r="K7" s="34" t="n">
        <v>0</v>
      </c>
      <c r="L7" s="34" t="n">
        <v>0</v>
      </c>
      <c r="M7" s="34" t="n">
        <v>0</v>
      </c>
      <c r="N7" s="34" t="n">
        <v>0</v>
      </c>
      <c r="O7" s="34" t="n">
        <v>0</v>
      </c>
      <c r="P7" s="34" t="n">
        <v>0</v>
      </c>
      <c r="Q7" s="34" t="n">
        <v>0</v>
      </c>
      <c r="R7" s="34" t="n">
        <v>0</v>
      </c>
      <c r="S7" s="34" t="n">
        <v>0</v>
      </c>
      <c r="T7" s="34" t="n">
        <v>0</v>
      </c>
      <c r="U7" s="34" t="n">
        <v>0</v>
      </c>
      <c r="V7" s="34" t="n">
        <v>0</v>
      </c>
      <c r="W7" s="34" t="n">
        <v>0</v>
      </c>
      <c r="X7" s="34" t="n">
        <v>0</v>
      </c>
      <c r="Y7" s="34" t="n">
        <v>0</v>
      </c>
      <c r="Z7" s="34" t="n">
        <v>0</v>
      </c>
      <c r="AA7" s="34" t="n">
        <v>0</v>
      </c>
      <c r="AB7" s="34" t="n">
        <v>0</v>
      </c>
      <c r="AC7" s="34" t="n">
        <v>0</v>
      </c>
      <c r="AD7" s="34" t="n">
        <v>0</v>
      </c>
      <c r="AE7" s="34" t="n">
        <v>0</v>
      </c>
      <c r="AF7" s="34" t="n">
        <v>0</v>
      </c>
      <c r="AG7" s="34" t="n">
        <v>0</v>
      </c>
      <c r="AH7" s="34" t="n">
        <v>0</v>
      </c>
      <c r="AI7" s="34" t="n">
        <v>0</v>
      </c>
      <c r="AJ7" s="34" t="n">
        <v>0</v>
      </c>
      <c r="AK7" s="34" t="n">
        <v>0</v>
      </c>
      <c r="AL7" s="34" t="n">
        <v>0</v>
      </c>
      <c r="AM7" s="34" t="n">
        <v>0</v>
      </c>
      <c r="AN7" s="34" t="n">
        <v>0</v>
      </c>
      <c r="AO7" s="34" t="n">
        <v>0</v>
      </c>
      <c r="AP7" s="34" t="n">
        <v>0</v>
      </c>
      <c r="AQ7" s="34" t="n">
        <v>0</v>
      </c>
      <c r="AR7" s="34" t="n">
        <v>0</v>
      </c>
      <c r="AS7" s="34" t="n">
        <v>0</v>
      </c>
      <c r="AT7" s="34" t="n">
        <v>0</v>
      </c>
      <c r="AU7" s="34" t="n">
        <v>0</v>
      </c>
      <c r="AV7" s="34" t="n">
        <v>0</v>
      </c>
      <c r="AW7" s="34" t="n">
        <v>0</v>
      </c>
      <c r="AX7" s="34" t="n">
        <v>0</v>
      </c>
      <c r="AY7" s="34" t="n">
        <v>0</v>
      </c>
      <c r="AZ7" s="34" t="n">
        <v>0</v>
      </c>
      <c r="BA7" s="34" t="n">
        <v>0</v>
      </c>
      <c r="BB7" s="34" t="n">
        <v>0</v>
      </c>
      <c r="BC7" s="34" t="n">
        <v>0</v>
      </c>
      <c r="BD7" s="34" t="n">
        <v>0</v>
      </c>
      <c r="BE7" s="34" t="n">
        <v>0</v>
      </c>
      <c r="BF7" s="34" t="n">
        <v>0</v>
      </c>
      <c r="BG7" s="34" t="n">
        <v>0</v>
      </c>
      <c r="BH7" s="34" t="n">
        <v>0</v>
      </c>
      <c r="BI7" s="34" t="n">
        <v>0</v>
      </c>
      <c r="BJ7" s="34" t="n">
        <v>0</v>
      </c>
      <c r="BK7" s="34" t="n">
        <v>0</v>
      </c>
      <c r="BL7" s="34" t="n">
        <v>0</v>
      </c>
      <c r="BM7" s="34" t="n">
        <v>0</v>
      </c>
      <c r="BN7" s="34" t="n">
        <v>0</v>
      </c>
      <c r="BO7" s="34" t="n">
        <v>0</v>
      </c>
      <c r="BP7" s="34" t="n">
        <v>0</v>
      </c>
      <c r="BQ7" s="34" t="n">
        <v>0</v>
      </c>
      <c r="BR7" s="34" t="n">
        <v>0</v>
      </c>
      <c r="BS7" s="34" t="n">
        <v>0</v>
      </c>
      <c r="BT7" s="34" t="n">
        <v>0</v>
      </c>
      <c r="BU7" s="34" t="n">
        <v>0</v>
      </c>
      <c r="BV7" s="34" t="n">
        <v>0</v>
      </c>
      <c r="BW7" s="34" t="n">
        <v>0</v>
      </c>
      <c r="BX7" s="34" t="n">
        <v>0</v>
      </c>
      <c r="BY7" s="34" t="n">
        <v>0</v>
      </c>
      <c r="BZ7" s="34" t="n">
        <v>0</v>
      </c>
      <c r="CA7" s="34" t="n">
        <v>0</v>
      </c>
      <c r="CB7" s="34" t="n">
        <v>0</v>
      </c>
      <c r="CC7" s="34" t="n">
        <v>0</v>
      </c>
      <c r="CD7" s="34" t="n">
        <v>0</v>
      </c>
      <c r="CE7" s="34" t="n">
        <v>0</v>
      </c>
      <c r="CF7" s="34" t="n">
        <v>0</v>
      </c>
      <c r="CG7" s="34" t="n">
        <v>0</v>
      </c>
      <c r="CH7" s="34" t="n">
        <v>0</v>
      </c>
      <c r="CI7" s="34" t="n">
        <v>0</v>
      </c>
      <c r="CJ7" s="34" t="n">
        <v>0</v>
      </c>
      <c r="CK7" s="34" t="n">
        <v>0</v>
      </c>
      <c r="CL7" s="34" t="n">
        <v>0</v>
      </c>
      <c r="CM7" s="34" t="n">
        <v>0</v>
      </c>
      <c r="CN7" s="34" t="n">
        <v>0</v>
      </c>
      <c r="CO7" s="34" t="n">
        <v>0</v>
      </c>
      <c r="CP7" s="34" t="n">
        <v>0</v>
      </c>
      <c r="CQ7" s="34" t="n">
        <v>0</v>
      </c>
      <c r="CR7" s="34" t="n">
        <v>0</v>
      </c>
      <c r="CS7" s="34" t="n">
        <v>0</v>
      </c>
      <c r="CT7" s="34" t="n">
        <v>0</v>
      </c>
      <c r="CU7" s="34" t="n">
        <v>0</v>
      </c>
      <c r="CV7" s="34" t="n">
        <v>0</v>
      </c>
      <c r="CW7" s="34" t="n">
        <v>0</v>
      </c>
      <c r="CX7" s="34" t="n">
        <v>0</v>
      </c>
      <c r="CY7" s="34" t="n">
        <v>0</v>
      </c>
      <c r="CZ7" s="34" t="n">
        <v>0</v>
      </c>
      <c r="DA7" s="34" t="n">
        <v>0</v>
      </c>
      <c r="DB7" s="34" t="n">
        <v>0</v>
      </c>
      <c r="DC7" s="34" t="n">
        <v>0</v>
      </c>
      <c r="DD7" s="34" t="n">
        <v>0</v>
      </c>
      <c r="DE7" s="34" t="n">
        <v>0</v>
      </c>
      <c r="DF7" s="34" t="n">
        <v>0</v>
      </c>
      <c r="DG7" s="34" t="n">
        <v>0</v>
      </c>
      <c r="DH7" s="34" t="n">
        <v>0</v>
      </c>
      <c r="DI7" s="34" t="n">
        <v>0</v>
      </c>
      <c r="DJ7" s="34" t="n">
        <v>0</v>
      </c>
      <c r="DK7" s="34" t="n">
        <v>0</v>
      </c>
      <c r="DL7" s="34" t="n">
        <v>0</v>
      </c>
      <c r="DM7" s="34" t="n">
        <v>0</v>
      </c>
      <c r="DN7" s="34" t="n">
        <v>0</v>
      </c>
      <c r="DO7" s="34" t="n">
        <v>0</v>
      </c>
      <c r="DP7" s="34" t="n">
        <v>0</v>
      </c>
      <c r="DQ7" s="34" t="n">
        <v>0</v>
      </c>
    </row>
    <row r="8">
      <c r="A8" s="3" t="inlineStr">
        <is>
          <t>Operating Cash Flow</t>
        </is>
      </c>
      <c r="B8" s="35">
        <f>B5+B6+B7</f>
        <v/>
      </c>
      <c r="C8" s="35">
        <f>C5+C6+C7</f>
        <v/>
      </c>
      <c r="D8" s="35">
        <f>D5+D6+D7</f>
        <v/>
      </c>
      <c r="E8" s="35">
        <f>E5+E6+E7</f>
        <v/>
      </c>
      <c r="F8" s="35">
        <f>F5+F6+F7</f>
        <v/>
      </c>
      <c r="G8" s="35">
        <f>G5+G6+G7</f>
        <v/>
      </c>
      <c r="H8" s="35">
        <f>H5+H6+H7</f>
        <v/>
      </c>
      <c r="I8" s="35">
        <f>I5+I6+I7</f>
        <v/>
      </c>
      <c r="J8" s="35">
        <f>J5+J6+J7</f>
        <v/>
      </c>
      <c r="K8" s="35">
        <f>K5+K6+K7</f>
        <v/>
      </c>
      <c r="L8" s="35">
        <f>L5+L6+L7</f>
        <v/>
      </c>
      <c r="M8" s="35">
        <f>M5+M6+M7</f>
        <v/>
      </c>
      <c r="N8" s="35">
        <f>N5+N6+N7</f>
        <v/>
      </c>
      <c r="O8" s="35">
        <f>O5+O6+O7</f>
        <v/>
      </c>
      <c r="P8" s="35">
        <f>P5+P6+P7</f>
        <v/>
      </c>
      <c r="Q8" s="35">
        <f>Q5+Q6+Q7</f>
        <v/>
      </c>
      <c r="R8" s="35">
        <f>R5+R6+R7</f>
        <v/>
      </c>
      <c r="S8" s="35">
        <f>S5+S6+S7</f>
        <v/>
      </c>
      <c r="T8" s="35">
        <f>T5+T6+T7</f>
        <v/>
      </c>
      <c r="U8" s="35">
        <f>U5+U6+U7</f>
        <v/>
      </c>
      <c r="V8" s="35">
        <f>V5+V6+V7</f>
        <v/>
      </c>
      <c r="W8" s="35">
        <f>W5+W6+W7</f>
        <v/>
      </c>
      <c r="X8" s="35">
        <f>X5+X6+X7</f>
        <v/>
      </c>
      <c r="Y8" s="35">
        <f>Y5+Y6+Y7</f>
        <v/>
      </c>
      <c r="Z8" s="35">
        <f>Z5+Z6+Z7</f>
        <v/>
      </c>
      <c r="AA8" s="35">
        <f>AA5+AA6+AA7</f>
        <v/>
      </c>
      <c r="AB8" s="35">
        <f>AB5+AB6+AB7</f>
        <v/>
      </c>
      <c r="AC8" s="35">
        <f>AC5+AC6+AC7</f>
        <v/>
      </c>
      <c r="AD8" s="35">
        <f>AD5+AD6+AD7</f>
        <v/>
      </c>
      <c r="AE8" s="35">
        <f>AE5+AE6+AE7</f>
        <v/>
      </c>
      <c r="AF8" s="35">
        <f>AF5+AF6+AF7</f>
        <v/>
      </c>
      <c r="AG8" s="35">
        <f>AG5+AG6+AG7</f>
        <v/>
      </c>
      <c r="AH8" s="35">
        <f>AH5+AH6+AH7</f>
        <v/>
      </c>
      <c r="AI8" s="35">
        <f>AI5+AI6+AI7</f>
        <v/>
      </c>
      <c r="AJ8" s="35">
        <f>AJ5+AJ6+AJ7</f>
        <v/>
      </c>
      <c r="AK8" s="35">
        <f>AK5+AK6+AK7</f>
        <v/>
      </c>
      <c r="AL8" s="35">
        <f>AL5+AL6+AL7</f>
        <v/>
      </c>
      <c r="AM8" s="35">
        <f>AM5+AM6+AM7</f>
        <v/>
      </c>
      <c r="AN8" s="35">
        <f>AN5+AN6+AN7</f>
        <v/>
      </c>
      <c r="AO8" s="35">
        <f>AO5+AO6+AO7</f>
        <v/>
      </c>
      <c r="AP8" s="35">
        <f>AP5+AP6+AP7</f>
        <v/>
      </c>
      <c r="AQ8" s="35">
        <f>AQ5+AQ6+AQ7</f>
        <v/>
      </c>
      <c r="AR8" s="35">
        <f>AR5+AR6+AR7</f>
        <v/>
      </c>
      <c r="AS8" s="35">
        <f>AS5+AS6+AS7</f>
        <v/>
      </c>
      <c r="AT8" s="35">
        <f>AT5+AT6+AT7</f>
        <v/>
      </c>
      <c r="AU8" s="35">
        <f>AU5+AU6+AU7</f>
        <v/>
      </c>
      <c r="AV8" s="35">
        <f>AV5+AV6+AV7</f>
        <v/>
      </c>
      <c r="AW8" s="35">
        <f>AW5+AW6+AW7</f>
        <v/>
      </c>
      <c r="AX8" s="35">
        <f>AX5+AX6+AX7</f>
        <v/>
      </c>
      <c r="AY8" s="35">
        <f>AY5+AY6+AY7</f>
        <v/>
      </c>
      <c r="AZ8" s="35">
        <f>AZ5+AZ6+AZ7</f>
        <v/>
      </c>
      <c r="BA8" s="35">
        <f>BA5+BA6+BA7</f>
        <v/>
      </c>
      <c r="BB8" s="35">
        <f>BB5+BB6+BB7</f>
        <v/>
      </c>
      <c r="BC8" s="35">
        <f>BC5+BC6+BC7</f>
        <v/>
      </c>
      <c r="BD8" s="35">
        <f>BD5+BD6+BD7</f>
        <v/>
      </c>
      <c r="BE8" s="35">
        <f>BE5+BE6+BE7</f>
        <v/>
      </c>
      <c r="BF8" s="35">
        <f>BF5+BF6+BF7</f>
        <v/>
      </c>
      <c r="BG8" s="35">
        <f>BG5+BG6+BG7</f>
        <v/>
      </c>
      <c r="BH8" s="35">
        <f>BH5+BH6+BH7</f>
        <v/>
      </c>
      <c r="BI8" s="35">
        <f>BI5+BI6+BI7</f>
        <v/>
      </c>
      <c r="BJ8" s="35">
        <f>BJ5+BJ6+BJ7</f>
        <v/>
      </c>
      <c r="BK8" s="35">
        <f>BK5+BK6+BK7</f>
        <v/>
      </c>
      <c r="BL8" s="35">
        <f>BL5+BL6+BL7</f>
        <v/>
      </c>
      <c r="BM8" s="35">
        <f>BM5+BM6+BM7</f>
        <v/>
      </c>
      <c r="BN8" s="35">
        <f>BN5+BN6+BN7</f>
        <v/>
      </c>
      <c r="BO8" s="35">
        <f>BO5+BO6+BO7</f>
        <v/>
      </c>
      <c r="BP8" s="35">
        <f>BP5+BP6+BP7</f>
        <v/>
      </c>
      <c r="BQ8" s="35">
        <f>BQ5+BQ6+BQ7</f>
        <v/>
      </c>
      <c r="BR8" s="35">
        <f>BR5+BR6+BR7</f>
        <v/>
      </c>
      <c r="BS8" s="35">
        <f>BS5+BS6+BS7</f>
        <v/>
      </c>
      <c r="BT8" s="35">
        <f>BT5+BT6+BT7</f>
        <v/>
      </c>
      <c r="BU8" s="35">
        <f>BU5+BU6+BU7</f>
        <v/>
      </c>
      <c r="BV8" s="35">
        <f>BV5+BV6+BV7</f>
        <v/>
      </c>
      <c r="BW8" s="35">
        <f>BW5+BW6+BW7</f>
        <v/>
      </c>
      <c r="BX8" s="35">
        <f>BX5+BX6+BX7</f>
        <v/>
      </c>
      <c r="BY8" s="35">
        <f>BY5+BY6+BY7</f>
        <v/>
      </c>
      <c r="BZ8" s="35">
        <f>BZ5+BZ6+BZ7</f>
        <v/>
      </c>
      <c r="CA8" s="35">
        <f>CA5+CA6+CA7</f>
        <v/>
      </c>
      <c r="CB8" s="35">
        <f>CB5+CB6+CB7</f>
        <v/>
      </c>
      <c r="CC8" s="35">
        <f>CC5+CC6+CC7</f>
        <v/>
      </c>
      <c r="CD8" s="35">
        <f>CD5+CD6+CD7</f>
        <v/>
      </c>
      <c r="CE8" s="35">
        <f>CE5+CE6+CE7</f>
        <v/>
      </c>
      <c r="CF8" s="35">
        <f>CF5+CF6+CF7</f>
        <v/>
      </c>
      <c r="CG8" s="35">
        <f>CG5+CG6+CG7</f>
        <v/>
      </c>
      <c r="CH8" s="35">
        <f>CH5+CH6+CH7</f>
        <v/>
      </c>
      <c r="CI8" s="35">
        <f>CI5+CI6+CI7</f>
        <v/>
      </c>
      <c r="CJ8" s="35">
        <f>CJ5+CJ6+CJ7</f>
        <v/>
      </c>
      <c r="CK8" s="35">
        <f>CK5+CK6+CK7</f>
        <v/>
      </c>
      <c r="CL8" s="35">
        <f>CL5+CL6+CL7</f>
        <v/>
      </c>
      <c r="CM8" s="35">
        <f>CM5+CM6+CM7</f>
        <v/>
      </c>
      <c r="CN8" s="35">
        <f>CN5+CN6+CN7</f>
        <v/>
      </c>
      <c r="CO8" s="35">
        <f>CO5+CO6+CO7</f>
        <v/>
      </c>
      <c r="CP8" s="35">
        <f>CP5+CP6+CP7</f>
        <v/>
      </c>
      <c r="CQ8" s="35">
        <f>CQ5+CQ6+CQ7</f>
        <v/>
      </c>
      <c r="CR8" s="35">
        <f>CR5+CR6+CR7</f>
        <v/>
      </c>
      <c r="CS8" s="35">
        <f>CS5+CS6+CS7</f>
        <v/>
      </c>
      <c r="CT8" s="35">
        <f>CT5+CT6+CT7</f>
        <v/>
      </c>
      <c r="CU8" s="35">
        <f>CU5+CU6+CU7</f>
        <v/>
      </c>
      <c r="CV8" s="35">
        <f>CV5+CV6+CV7</f>
        <v/>
      </c>
      <c r="CW8" s="35">
        <f>CW5+CW6+CW7</f>
        <v/>
      </c>
      <c r="CX8" s="35">
        <f>CX5+CX6+CX7</f>
        <v/>
      </c>
      <c r="CY8" s="35">
        <f>CY5+CY6+CY7</f>
        <v/>
      </c>
      <c r="CZ8" s="35">
        <f>CZ5+CZ6+CZ7</f>
        <v/>
      </c>
      <c r="DA8" s="35">
        <f>DA5+DA6+DA7</f>
        <v/>
      </c>
      <c r="DB8" s="35">
        <f>DB5+DB6+DB7</f>
        <v/>
      </c>
      <c r="DC8" s="35">
        <f>DC5+DC6+DC7</f>
        <v/>
      </c>
      <c r="DD8" s="35">
        <f>DD5+DD6+DD7</f>
        <v/>
      </c>
      <c r="DE8" s="35">
        <f>DE5+DE6+DE7</f>
        <v/>
      </c>
      <c r="DF8" s="35">
        <f>DF5+DF6+DF7</f>
        <v/>
      </c>
      <c r="DG8" s="35">
        <f>DG5+DG6+DG7</f>
        <v/>
      </c>
      <c r="DH8" s="35">
        <f>DH5+DH6+DH7</f>
        <v/>
      </c>
      <c r="DI8" s="35">
        <f>DI5+DI6+DI7</f>
        <v/>
      </c>
      <c r="DJ8" s="35">
        <f>DJ5+DJ6+DJ7</f>
        <v/>
      </c>
      <c r="DK8" s="35">
        <f>DK5+DK6+DK7</f>
        <v/>
      </c>
      <c r="DL8" s="35">
        <f>DL5+DL6+DL7</f>
        <v/>
      </c>
      <c r="DM8" s="35">
        <f>DM5+DM6+DM7</f>
        <v/>
      </c>
      <c r="DN8" s="35">
        <f>DN5+DN6+DN7</f>
        <v/>
      </c>
      <c r="DO8" s="35">
        <f>DO5+DO6+DO7</f>
        <v/>
      </c>
      <c r="DP8" s="35">
        <f>DP5+DP6+DP7</f>
        <v/>
      </c>
      <c r="DQ8" s="35">
        <f>DQ5+DQ6+DQ7</f>
        <v/>
      </c>
    </row>
    <row r="9">
      <c r="A9" t="inlineStr"/>
    </row>
    <row r="10">
      <c r="A10" t="inlineStr">
        <is>
          <t>Investing Activities</t>
        </is>
      </c>
    </row>
    <row r="11">
      <c r="A11" t="inlineStr">
        <is>
          <t xml:space="preserve">  Capex</t>
        </is>
      </c>
      <c r="B11" s="34" t="n">
        <v>0</v>
      </c>
      <c r="C11" s="34" t="n">
        <v>0</v>
      </c>
      <c r="D11" s="34" t="n">
        <v>0</v>
      </c>
      <c r="E11" s="34" t="n">
        <v>0</v>
      </c>
      <c r="F11" s="34" t="n">
        <v>0</v>
      </c>
      <c r="G11" s="34" t="n">
        <v>0</v>
      </c>
      <c r="H11" s="34" t="n">
        <v>0</v>
      </c>
      <c r="I11" s="34" t="n">
        <v>0</v>
      </c>
      <c r="J11" s="34" t="n">
        <v>0</v>
      </c>
      <c r="K11" s="34" t="n">
        <v>0</v>
      </c>
      <c r="L11" s="34" t="n">
        <v>0</v>
      </c>
      <c r="M11" s="34" t="n">
        <v>0</v>
      </c>
      <c r="N11" s="34" t="n">
        <v>0</v>
      </c>
      <c r="O11" s="34" t="n">
        <v>0</v>
      </c>
      <c r="P11" s="34" t="n">
        <v>0</v>
      </c>
      <c r="Q11" s="34" t="n">
        <v>0</v>
      </c>
      <c r="R11" s="34" t="n">
        <v>0</v>
      </c>
      <c r="S11" s="34" t="n">
        <v>0</v>
      </c>
      <c r="T11" s="34" t="n">
        <v>0</v>
      </c>
      <c r="U11" s="34" t="n">
        <v>0</v>
      </c>
      <c r="V11" s="34" t="n">
        <v>0</v>
      </c>
      <c r="W11" s="34" t="n">
        <v>0</v>
      </c>
      <c r="X11" s="34" t="n">
        <v>0</v>
      </c>
      <c r="Y11" s="34" t="n">
        <v>0</v>
      </c>
      <c r="Z11" s="34" t="n">
        <v>0</v>
      </c>
      <c r="AA11" s="34" t="n">
        <v>0</v>
      </c>
      <c r="AB11" s="34" t="n">
        <v>0</v>
      </c>
      <c r="AC11" s="34" t="n">
        <v>0</v>
      </c>
      <c r="AD11" s="34" t="n">
        <v>0</v>
      </c>
      <c r="AE11" s="34" t="n">
        <v>0</v>
      </c>
      <c r="AF11" s="34" t="n">
        <v>0</v>
      </c>
      <c r="AG11" s="34" t="n">
        <v>0</v>
      </c>
      <c r="AH11" s="34" t="n">
        <v>0</v>
      </c>
      <c r="AI11" s="34" t="n">
        <v>0</v>
      </c>
      <c r="AJ11" s="34" t="n">
        <v>0</v>
      </c>
      <c r="AK11" s="34" t="n">
        <v>0</v>
      </c>
      <c r="AL11" s="34" t="n">
        <v>0</v>
      </c>
      <c r="AM11" s="34" t="n">
        <v>0</v>
      </c>
      <c r="AN11" s="34" t="n">
        <v>0</v>
      </c>
      <c r="AO11" s="34" t="n">
        <v>0</v>
      </c>
      <c r="AP11" s="34" t="n">
        <v>0</v>
      </c>
      <c r="AQ11" s="34" t="n">
        <v>0</v>
      </c>
      <c r="AR11" s="34" t="n">
        <v>0</v>
      </c>
      <c r="AS11" s="34" t="n">
        <v>0</v>
      </c>
      <c r="AT11" s="34" t="n">
        <v>0</v>
      </c>
      <c r="AU11" s="34" t="n">
        <v>0</v>
      </c>
      <c r="AV11" s="34" t="n">
        <v>0</v>
      </c>
      <c r="AW11" s="34" t="n">
        <v>0</v>
      </c>
      <c r="AX11" s="34" t="n">
        <v>0</v>
      </c>
      <c r="AY11" s="34" t="n">
        <v>0</v>
      </c>
      <c r="AZ11" s="34" t="n">
        <v>0</v>
      </c>
      <c r="BA11" s="34" t="n">
        <v>0</v>
      </c>
      <c r="BB11" s="34" t="n">
        <v>0</v>
      </c>
      <c r="BC11" s="34" t="n">
        <v>0</v>
      </c>
      <c r="BD11" s="34" t="n">
        <v>0</v>
      </c>
      <c r="BE11" s="34" t="n">
        <v>0</v>
      </c>
      <c r="BF11" s="34" t="n">
        <v>0</v>
      </c>
      <c r="BG11" s="34" t="n">
        <v>0</v>
      </c>
      <c r="BH11" s="34" t="n">
        <v>0</v>
      </c>
      <c r="BI11" s="34" t="n">
        <v>0</v>
      </c>
      <c r="BJ11" s="34" t="n">
        <v>0</v>
      </c>
      <c r="BK11" s="34" t="n">
        <v>0</v>
      </c>
      <c r="BL11" s="34" t="n">
        <v>0</v>
      </c>
      <c r="BM11" s="34" t="n">
        <v>0</v>
      </c>
      <c r="BN11" s="34" t="n">
        <v>0</v>
      </c>
      <c r="BO11" s="34" t="n">
        <v>0</v>
      </c>
      <c r="BP11" s="34" t="n">
        <v>0</v>
      </c>
      <c r="BQ11" s="34" t="n">
        <v>0</v>
      </c>
      <c r="BR11" s="34" t="n">
        <v>0</v>
      </c>
      <c r="BS11" s="34" t="n">
        <v>0</v>
      </c>
      <c r="BT11" s="34" t="n">
        <v>0</v>
      </c>
      <c r="BU11" s="34" t="n">
        <v>0</v>
      </c>
      <c r="BV11" s="34" t="n">
        <v>0</v>
      </c>
      <c r="BW11" s="34" t="n">
        <v>0</v>
      </c>
      <c r="BX11" s="34" t="n">
        <v>0</v>
      </c>
      <c r="BY11" s="34" t="n">
        <v>0</v>
      </c>
      <c r="BZ11" s="34" t="n">
        <v>0</v>
      </c>
      <c r="CA11" s="34" t="n">
        <v>0</v>
      </c>
      <c r="CB11" s="34" t="n">
        <v>0</v>
      </c>
      <c r="CC11" s="34" t="n">
        <v>0</v>
      </c>
      <c r="CD11" s="34" t="n">
        <v>0</v>
      </c>
      <c r="CE11" s="34" t="n">
        <v>0</v>
      </c>
      <c r="CF11" s="34" t="n">
        <v>0</v>
      </c>
      <c r="CG11" s="34" t="n">
        <v>0</v>
      </c>
      <c r="CH11" s="34" t="n">
        <v>0</v>
      </c>
      <c r="CI11" s="34" t="n">
        <v>0</v>
      </c>
      <c r="CJ11" s="34" t="n">
        <v>0</v>
      </c>
      <c r="CK11" s="34" t="n">
        <v>0</v>
      </c>
      <c r="CL11" s="34" t="n">
        <v>0</v>
      </c>
      <c r="CM11" s="34" t="n">
        <v>0</v>
      </c>
      <c r="CN11" s="34" t="n">
        <v>0</v>
      </c>
      <c r="CO11" s="34" t="n">
        <v>0</v>
      </c>
      <c r="CP11" s="34" t="n">
        <v>0</v>
      </c>
      <c r="CQ11" s="34" t="n">
        <v>0</v>
      </c>
      <c r="CR11" s="34" t="n">
        <v>0</v>
      </c>
      <c r="CS11" s="34" t="n">
        <v>0</v>
      </c>
      <c r="CT11" s="34" t="n">
        <v>0</v>
      </c>
      <c r="CU11" s="34" t="n">
        <v>0</v>
      </c>
      <c r="CV11" s="34" t="n">
        <v>0</v>
      </c>
      <c r="CW11" s="34" t="n">
        <v>0</v>
      </c>
      <c r="CX11" s="34" t="n">
        <v>0</v>
      </c>
      <c r="CY11" s="34" t="n">
        <v>0</v>
      </c>
      <c r="CZ11" s="34" t="n">
        <v>0</v>
      </c>
      <c r="DA11" s="34" t="n">
        <v>0</v>
      </c>
      <c r="DB11" s="34" t="n">
        <v>0</v>
      </c>
      <c r="DC11" s="34" t="n">
        <v>0</v>
      </c>
      <c r="DD11" s="34" t="n">
        <v>0</v>
      </c>
      <c r="DE11" s="34" t="n">
        <v>0</v>
      </c>
      <c r="DF11" s="34" t="n">
        <v>0</v>
      </c>
      <c r="DG11" s="34" t="n">
        <v>0</v>
      </c>
      <c r="DH11" s="34" t="n">
        <v>0</v>
      </c>
      <c r="DI11" s="34" t="n">
        <v>0</v>
      </c>
      <c r="DJ11" s="34" t="n">
        <v>0</v>
      </c>
      <c r="DK11" s="34" t="n">
        <v>0</v>
      </c>
      <c r="DL11" s="34" t="n">
        <v>0</v>
      </c>
      <c r="DM11" s="34" t="n">
        <v>0</v>
      </c>
      <c r="DN11" s="34" t="n">
        <v>0</v>
      </c>
      <c r="DO11" s="34" t="n">
        <v>0</v>
      </c>
      <c r="DP11" s="34" t="n">
        <v>0</v>
      </c>
      <c r="DQ11" s="34" t="n">
        <v>0</v>
      </c>
    </row>
    <row r="12">
      <c r="A12" s="3" t="inlineStr">
        <is>
          <t>Investing Cash Flow</t>
        </is>
      </c>
      <c r="B12" s="34">
        <f>B11</f>
        <v/>
      </c>
      <c r="C12" s="34">
        <f>C11</f>
        <v/>
      </c>
      <c r="D12" s="34">
        <f>D11</f>
        <v/>
      </c>
      <c r="E12" s="34">
        <f>E11</f>
        <v/>
      </c>
      <c r="F12" s="34">
        <f>F11</f>
        <v/>
      </c>
      <c r="G12" s="34">
        <f>G11</f>
        <v/>
      </c>
      <c r="H12" s="34">
        <f>H11</f>
        <v/>
      </c>
      <c r="I12" s="34">
        <f>I11</f>
        <v/>
      </c>
      <c r="J12" s="34">
        <f>J11</f>
        <v/>
      </c>
      <c r="K12" s="34">
        <f>K11</f>
        <v/>
      </c>
      <c r="L12" s="34">
        <f>L11</f>
        <v/>
      </c>
      <c r="M12" s="34">
        <f>M11</f>
        <v/>
      </c>
      <c r="N12" s="34">
        <f>N11</f>
        <v/>
      </c>
      <c r="O12" s="34">
        <f>O11</f>
        <v/>
      </c>
      <c r="P12" s="34">
        <f>P11</f>
        <v/>
      </c>
      <c r="Q12" s="34">
        <f>Q11</f>
        <v/>
      </c>
      <c r="R12" s="34">
        <f>R11</f>
        <v/>
      </c>
      <c r="S12" s="34">
        <f>S11</f>
        <v/>
      </c>
      <c r="T12" s="34">
        <f>T11</f>
        <v/>
      </c>
      <c r="U12" s="34">
        <f>U11</f>
        <v/>
      </c>
      <c r="V12" s="34">
        <f>V11</f>
        <v/>
      </c>
      <c r="W12" s="34">
        <f>W11</f>
        <v/>
      </c>
      <c r="X12" s="34">
        <f>X11</f>
        <v/>
      </c>
      <c r="Y12" s="34">
        <f>Y11</f>
        <v/>
      </c>
      <c r="Z12" s="34">
        <f>Z11</f>
        <v/>
      </c>
      <c r="AA12" s="34">
        <f>AA11</f>
        <v/>
      </c>
      <c r="AB12" s="34">
        <f>AB11</f>
        <v/>
      </c>
      <c r="AC12" s="34">
        <f>AC11</f>
        <v/>
      </c>
      <c r="AD12" s="34">
        <f>AD11</f>
        <v/>
      </c>
      <c r="AE12" s="34">
        <f>AE11</f>
        <v/>
      </c>
      <c r="AF12" s="34">
        <f>AF11</f>
        <v/>
      </c>
      <c r="AG12" s="34">
        <f>AG11</f>
        <v/>
      </c>
      <c r="AH12" s="34">
        <f>AH11</f>
        <v/>
      </c>
      <c r="AI12" s="34">
        <f>AI11</f>
        <v/>
      </c>
      <c r="AJ12" s="34">
        <f>AJ11</f>
        <v/>
      </c>
      <c r="AK12" s="34">
        <f>AK11</f>
        <v/>
      </c>
      <c r="AL12" s="34">
        <f>AL11</f>
        <v/>
      </c>
      <c r="AM12" s="34">
        <f>AM11</f>
        <v/>
      </c>
      <c r="AN12" s="34">
        <f>AN11</f>
        <v/>
      </c>
      <c r="AO12" s="34">
        <f>AO11</f>
        <v/>
      </c>
      <c r="AP12" s="34">
        <f>AP11</f>
        <v/>
      </c>
      <c r="AQ12" s="34">
        <f>AQ11</f>
        <v/>
      </c>
      <c r="AR12" s="34">
        <f>AR11</f>
        <v/>
      </c>
      <c r="AS12" s="34">
        <f>AS11</f>
        <v/>
      </c>
      <c r="AT12" s="34">
        <f>AT11</f>
        <v/>
      </c>
      <c r="AU12" s="34">
        <f>AU11</f>
        <v/>
      </c>
      <c r="AV12" s="34">
        <f>AV11</f>
        <v/>
      </c>
      <c r="AW12" s="34">
        <f>AW11</f>
        <v/>
      </c>
      <c r="AX12" s="34">
        <f>AX11</f>
        <v/>
      </c>
      <c r="AY12" s="34">
        <f>AY11</f>
        <v/>
      </c>
      <c r="AZ12" s="34">
        <f>AZ11</f>
        <v/>
      </c>
      <c r="BA12" s="34">
        <f>BA11</f>
        <v/>
      </c>
      <c r="BB12" s="34">
        <f>BB11</f>
        <v/>
      </c>
      <c r="BC12" s="34">
        <f>BC11</f>
        <v/>
      </c>
      <c r="BD12" s="34">
        <f>BD11</f>
        <v/>
      </c>
      <c r="BE12" s="34">
        <f>BE11</f>
        <v/>
      </c>
      <c r="BF12" s="34">
        <f>BF11</f>
        <v/>
      </c>
      <c r="BG12" s="34">
        <f>BG11</f>
        <v/>
      </c>
      <c r="BH12" s="34">
        <f>BH11</f>
        <v/>
      </c>
      <c r="BI12" s="34">
        <f>BI11</f>
        <v/>
      </c>
      <c r="BJ12" s="34">
        <f>BJ11</f>
        <v/>
      </c>
      <c r="BK12" s="34">
        <f>BK11</f>
        <v/>
      </c>
      <c r="BL12" s="34">
        <f>BL11</f>
        <v/>
      </c>
      <c r="BM12" s="34">
        <f>BM11</f>
        <v/>
      </c>
      <c r="BN12" s="34">
        <f>BN11</f>
        <v/>
      </c>
      <c r="BO12" s="34">
        <f>BO11</f>
        <v/>
      </c>
      <c r="BP12" s="34">
        <f>BP11</f>
        <v/>
      </c>
      <c r="BQ12" s="34">
        <f>BQ11</f>
        <v/>
      </c>
      <c r="BR12" s="34">
        <f>BR11</f>
        <v/>
      </c>
      <c r="BS12" s="34">
        <f>BS11</f>
        <v/>
      </c>
      <c r="BT12" s="34">
        <f>BT11</f>
        <v/>
      </c>
      <c r="BU12" s="34">
        <f>BU11</f>
        <v/>
      </c>
      <c r="BV12" s="34">
        <f>BV11</f>
        <v/>
      </c>
      <c r="BW12" s="34">
        <f>BW11</f>
        <v/>
      </c>
      <c r="BX12" s="34">
        <f>BX11</f>
        <v/>
      </c>
      <c r="BY12" s="34">
        <f>BY11</f>
        <v/>
      </c>
      <c r="BZ12" s="34">
        <f>BZ11</f>
        <v/>
      </c>
      <c r="CA12" s="34">
        <f>CA11</f>
        <v/>
      </c>
      <c r="CB12" s="34">
        <f>CB11</f>
        <v/>
      </c>
      <c r="CC12" s="34">
        <f>CC11</f>
        <v/>
      </c>
      <c r="CD12" s="34">
        <f>CD11</f>
        <v/>
      </c>
      <c r="CE12" s="34">
        <f>CE11</f>
        <v/>
      </c>
      <c r="CF12" s="34">
        <f>CF11</f>
        <v/>
      </c>
      <c r="CG12" s="34">
        <f>CG11</f>
        <v/>
      </c>
      <c r="CH12" s="34">
        <f>CH11</f>
        <v/>
      </c>
      <c r="CI12" s="34">
        <f>CI11</f>
        <v/>
      </c>
      <c r="CJ12" s="34">
        <f>CJ11</f>
        <v/>
      </c>
      <c r="CK12" s="34">
        <f>CK11</f>
        <v/>
      </c>
      <c r="CL12" s="34">
        <f>CL11</f>
        <v/>
      </c>
      <c r="CM12" s="34">
        <f>CM11</f>
        <v/>
      </c>
      <c r="CN12" s="34">
        <f>CN11</f>
        <v/>
      </c>
      <c r="CO12" s="34">
        <f>CO11</f>
        <v/>
      </c>
      <c r="CP12" s="34">
        <f>CP11</f>
        <v/>
      </c>
      <c r="CQ12" s="34">
        <f>CQ11</f>
        <v/>
      </c>
      <c r="CR12" s="34">
        <f>CR11</f>
        <v/>
      </c>
      <c r="CS12" s="34">
        <f>CS11</f>
        <v/>
      </c>
      <c r="CT12" s="34">
        <f>CT11</f>
        <v/>
      </c>
      <c r="CU12" s="34">
        <f>CU11</f>
        <v/>
      </c>
      <c r="CV12" s="34">
        <f>CV11</f>
        <v/>
      </c>
      <c r="CW12" s="34">
        <f>CW11</f>
        <v/>
      </c>
      <c r="CX12" s="34">
        <f>CX11</f>
        <v/>
      </c>
      <c r="CY12" s="34">
        <f>CY11</f>
        <v/>
      </c>
      <c r="CZ12" s="34">
        <f>CZ11</f>
        <v/>
      </c>
      <c r="DA12" s="34">
        <f>DA11</f>
        <v/>
      </c>
      <c r="DB12" s="34">
        <f>DB11</f>
        <v/>
      </c>
      <c r="DC12" s="34">
        <f>DC11</f>
        <v/>
      </c>
      <c r="DD12" s="34">
        <f>DD11</f>
        <v/>
      </c>
      <c r="DE12" s="34">
        <f>DE11</f>
        <v/>
      </c>
      <c r="DF12" s="34">
        <f>DF11</f>
        <v/>
      </c>
      <c r="DG12" s="34">
        <f>DG11</f>
        <v/>
      </c>
      <c r="DH12" s="34">
        <f>DH11</f>
        <v/>
      </c>
      <c r="DI12" s="34">
        <f>DI11</f>
        <v/>
      </c>
      <c r="DJ12" s="34">
        <f>DJ11</f>
        <v/>
      </c>
      <c r="DK12" s="34">
        <f>DK11</f>
        <v/>
      </c>
      <c r="DL12" s="34">
        <f>DL11</f>
        <v/>
      </c>
      <c r="DM12" s="34">
        <f>DM11</f>
        <v/>
      </c>
      <c r="DN12" s="34">
        <f>DN11</f>
        <v/>
      </c>
      <c r="DO12" s="34">
        <f>DO11</f>
        <v/>
      </c>
      <c r="DP12" s="34">
        <f>DP11</f>
        <v/>
      </c>
      <c r="DQ12" s="34">
        <f>DQ11</f>
        <v/>
      </c>
    </row>
    <row r="13">
      <c r="A13" t="inlineStr"/>
    </row>
    <row r="14">
      <c r="A14" t="inlineStr">
        <is>
          <t>Financing Activities</t>
        </is>
      </c>
    </row>
    <row r="15">
      <c r="A15" t="inlineStr">
        <is>
          <t xml:space="preserve">  Debt Drawdowns</t>
        </is>
      </c>
      <c r="B15" s="34" t="n">
        <v>0</v>
      </c>
      <c r="C15" s="34" t="n">
        <v>0</v>
      </c>
      <c r="D15" s="34" t="n">
        <v>0</v>
      </c>
      <c r="E15" s="34" t="n">
        <v>0</v>
      </c>
      <c r="F15" s="34" t="n">
        <v>0</v>
      </c>
      <c r="G15" s="34" t="n">
        <v>0</v>
      </c>
      <c r="H15" s="34" t="n">
        <v>0</v>
      </c>
      <c r="I15" s="34" t="n">
        <v>0</v>
      </c>
      <c r="J15" s="34" t="n">
        <v>0</v>
      </c>
      <c r="K15" s="34" t="n">
        <v>0</v>
      </c>
      <c r="L15" s="34" t="n">
        <v>0</v>
      </c>
      <c r="M15" s="34" t="n">
        <v>0</v>
      </c>
      <c r="N15" s="34" t="n">
        <v>0</v>
      </c>
      <c r="O15" s="34" t="n">
        <v>0</v>
      </c>
      <c r="P15" s="34" t="n">
        <v>0</v>
      </c>
      <c r="Q15" s="34" t="n">
        <v>0</v>
      </c>
      <c r="R15" s="34" t="n">
        <v>0</v>
      </c>
      <c r="S15" s="34" t="n">
        <v>0</v>
      </c>
      <c r="T15" s="34" t="n">
        <v>0</v>
      </c>
      <c r="U15" s="34" t="n">
        <v>0</v>
      </c>
      <c r="V15" s="34" t="n">
        <v>0</v>
      </c>
      <c r="W15" s="34" t="n">
        <v>0</v>
      </c>
      <c r="X15" s="34" t="n">
        <v>0</v>
      </c>
      <c r="Y15" s="34" t="n">
        <v>0</v>
      </c>
      <c r="Z15" s="34" t="n">
        <v>0</v>
      </c>
      <c r="AA15" s="34" t="n">
        <v>0</v>
      </c>
      <c r="AB15" s="34" t="n">
        <v>0</v>
      </c>
      <c r="AC15" s="34" t="n">
        <v>0</v>
      </c>
      <c r="AD15" s="34" t="n">
        <v>0</v>
      </c>
      <c r="AE15" s="34" t="n">
        <v>0</v>
      </c>
      <c r="AF15" s="34" t="n">
        <v>0</v>
      </c>
      <c r="AG15" s="34" t="n">
        <v>0</v>
      </c>
      <c r="AH15" s="34" t="n">
        <v>0</v>
      </c>
      <c r="AI15" s="34" t="n">
        <v>0</v>
      </c>
      <c r="AJ15" s="34" t="n">
        <v>0</v>
      </c>
      <c r="AK15" s="34" t="n">
        <v>0</v>
      </c>
      <c r="AL15" s="34" t="n">
        <v>0</v>
      </c>
      <c r="AM15" s="34" t="n">
        <v>0</v>
      </c>
      <c r="AN15" s="34" t="n">
        <v>0</v>
      </c>
      <c r="AO15" s="34" t="n">
        <v>0</v>
      </c>
      <c r="AP15" s="34" t="n">
        <v>0</v>
      </c>
      <c r="AQ15" s="34" t="n">
        <v>0</v>
      </c>
      <c r="AR15" s="34" t="n">
        <v>0</v>
      </c>
      <c r="AS15" s="34" t="n">
        <v>0</v>
      </c>
      <c r="AT15" s="34" t="n">
        <v>0</v>
      </c>
      <c r="AU15" s="34" t="n">
        <v>0</v>
      </c>
      <c r="AV15" s="34" t="n">
        <v>0</v>
      </c>
      <c r="AW15" s="34" t="n">
        <v>0</v>
      </c>
      <c r="AX15" s="34" t="n">
        <v>0</v>
      </c>
      <c r="AY15" s="34" t="n">
        <v>0</v>
      </c>
      <c r="AZ15" s="34" t="n">
        <v>0</v>
      </c>
      <c r="BA15" s="34" t="n">
        <v>0</v>
      </c>
      <c r="BB15" s="34" t="n">
        <v>0</v>
      </c>
      <c r="BC15" s="34" t="n">
        <v>0</v>
      </c>
      <c r="BD15" s="34" t="n">
        <v>0</v>
      </c>
      <c r="BE15" s="34" t="n">
        <v>0</v>
      </c>
      <c r="BF15" s="34" t="n">
        <v>0</v>
      </c>
      <c r="BG15" s="34" t="n">
        <v>0</v>
      </c>
      <c r="BH15" s="34" t="n">
        <v>0</v>
      </c>
      <c r="BI15" s="34" t="n">
        <v>0</v>
      </c>
      <c r="BJ15" s="34" t="n">
        <v>0</v>
      </c>
      <c r="BK15" s="34" t="n">
        <v>0</v>
      </c>
      <c r="BL15" s="34" t="n">
        <v>0</v>
      </c>
      <c r="BM15" s="34" t="n">
        <v>0</v>
      </c>
      <c r="BN15" s="34" t="n">
        <v>0</v>
      </c>
      <c r="BO15" s="34" t="n">
        <v>0</v>
      </c>
      <c r="BP15" s="34" t="n">
        <v>0</v>
      </c>
      <c r="BQ15" s="34" t="n">
        <v>0</v>
      </c>
      <c r="BR15" s="34" t="n">
        <v>0</v>
      </c>
      <c r="BS15" s="34" t="n">
        <v>0</v>
      </c>
      <c r="BT15" s="34" t="n">
        <v>0</v>
      </c>
      <c r="BU15" s="34" t="n">
        <v>0</v>
      </c>
      <c r="BV15" s="34" t="n">
        <v>0</v>
      </c>
      <c r="BW15" s="34" t="n">
        <v>0</v>
      </c>
      <c r="BX15" s="34" t="n">
        <v>0</v>
      </c>
      <c r="BY15" s="34" t="n">
        <v>0</v>
      </c>
      <c r="BZ15" s="34" t="n">
        <v>0</v>
      </c>
      <c r="CA15" s="34" t="n">
        <v>0</v>
      </c>
      <c r="CB15" s="34" t="n">
        <v>0</v>
      </c>
      <c r="CC15" s="34" t="n">
        <v>0</v>
      </c>
      <c r="CD15" s="34" t="n">
        <v>0</v>
      </c>
      <c r="CE15" s="34" t="n">
        <v>0</v>
      </c>
      <c r="CF15" s="34" t="n">
        <v>0</v>
      </c>
      <c r="CG15" s="34" t="n">
        <v>0</v>
      </c>
      <c r="CH15" s="34" t="n">
        <v>0</v>
      </c>
      <c r="CI15" s="34" t="n">
        <v>0</v>
      </c>
      <c r="CJ15" s="34" t="n">
        <v>0</v>
      </c>
      <c r="CK15" s="34" t="n">
        <v>0</v>
      </c>
      <c r="CL15" s="34" t="n">
        <v>0</v>
      </c>
      <c r="CM15" s="34" t="n">
        <v>0</v>
      </c>
      <c r="CN15" s="34" t="n">
        <v>0</v>
      </c>
      <c r="CO15" s="34" t="n">
        <v>0</v>
      </c>
      <c r="CP15" s="34" t="n">
        <v>0</v>
      </c>
      <c r="CQ15" s="34" t="n">
        <v>0</v>
      </c>
      <c r="CR15" s="34" t="n">
        <v>0</v>
      </c>
      <c r="CS15" s="34" t="n">
        <v>0</v>
      </c>
      <c r="CT15" s="34" t="n">
        <v>0</v>
      </c>
      <c r="CU15" s="34" t="n">
        <v>0</v>
      </c>
      <c r="CV15" s="34" t="n">
        <v>0</v>
      </c>
      <c r="CW15" s="34" t="n">
        <v>0</v>
      </c>
      <c r="CX15" s="34" t="n">
        <v>0</v>
      </c>
      <c r="CY15" s="34" t="n">
        <v>0</v>
      </c>
      <c r="CZ15" s="34" t="n">
        <v>0</v>
      </c>
      <c r="DA15" s="34" t="n">
        <v>0</v>
      </c>
      <c r="DB15" s="34" t="n">
        <v>0</v>
      </c>
      <c r="DC15" s="34" t="n">
        <v>0</v>
      </c>
      <c r="DD15" s="34" t="n">
        <v>0</v>
      </c>
      <c r="DE15" s="34" t="n">
        <v>0</v>
      </c>
      <c r="DF15" s="34" t="n">
        <v>0</v>
      </c>
      <c r="DG15" s="34" t="n">
        <v>0</v>
      </c>
      <c r="DH15" s="34" t="n">
        <v>0</v>
      </c>
      <c r="DI15" s="34" t="n">
        <v>0</v>
      </c>
      <c r="DJ15" s="34" t="n">
        <v>0</v>
      </c>
      <c r="DK15" s="34" t="n">
        <v>0</v>
      </c>
      <c r="DL15" s="34" t="n">
        <v>0</v>
      </c>
      <c r="DM15" s="34" t="n">
        <v>0</v>
      </c>
      <c r="DN15" s="34" t="n">
        <v>0</v>
      </c>
      <c r="DO15" s="34" t="n">
        <v>0</v>
      </c>
      <c r="DP15" s="34" t="n">
        <v>0</v>
      </c>
      <c r="DQ15" s="34" t="n">
        <v>0</v>
      </c>
    </row>
    <row r="16">
      <c r="A16" t="inlineStr">
        <is>
          <t xml:space="preserve">  Debt Repayments</t>
        </is>
      </c>
      <c r="B16" s="34" t="n">
        <v>-178.57</v>
      </c>
      <c r="C16" s="34" t="n">
        <v>-178.57</v>
      </c>
      <c r="D16" s="34" t="n">
        <v>-178.57</v>
      </c>
      <c r="E16" s="34" t="n">
        <v>-178.57</v>
      </c>
      <c r="F16" s="34" t="n">
        <v>-178.57</v>
      </c>
      <c r="G16" s="34" t="n">
        <v>-178.57</v>
      </c>
      <c r="H16" s="34" t="n">
        <v>-178.57</v>
      </c>
      <c r="I16" s="34" t="n">
        <v>-178.57</v>
      </c>
      <c r="J16" s="34" t="n">
        <v>-178.57</v>
      </c>
      <c r="K16" s="34" t="n">
        <v>-178.57</v>
      </c>
      <c r="L16" s="34" t="n">
        <v>-178.57</v>
      </c>
      <c r="M16" s="34" t="n">
        <v>-178.57</v>
      </c>
      <c r="N16" s="34" t="n">
        <v>-178.57</v>
      </c>
      <c r="O16" s="34" t="n">
        <v>-178.57</v>
      </c>
      <c r="P16" s="34" t="n">
        <v>-178.57</v>
      </c>
      <c r="Q16" s="34" t="n">
        <v>-178.57</v>
      </c>
      <c r="R16" s="34" t="n">
        <v>-178.57</v>
      </c>
      <c r="S16" s="34" t="n">
        <v>-178.57</v>
      </c>
      <c r="T16" s="34" t="n">
        <v>-178.57</v>
      </c>
      <c r="U16" s="34" t="n">
        <v>-178.57</v>
      </c>
      <c r="V16" s="34" t="n">
        <v>-178.57</v>
      </c>
      <c r="W16" s="34" t="n">
        <v>-178.57</v>
      </c>
      <c r="X16" s="34" t="n">
        <v>-178.57</v>
      </c>
      <c r="Y16" s="34" t="n">
        <v>-178.57</v>
      </c>
      <c r="Z16" s="34" t="n">
        <v>-178.57</v>
      </c>
      <c r="AA16" s="34" t="n">
        <v>-178.57</v>
      </c>
      <c r="AB16" s="34" t="n">
        <v>-178.57</v>
      </c>
      <c r="AC16" s="34" t="n">
        <v>-178.57</v>
      </c>
      <c r="AD16" s="34" t="n">
        <v>-178.57</v>
      </c>
      <c r="AE16" s="34" t="n">
        <v>-178.57</v>
      </c>
      <c r="AF16" s="34" t="n">
        <v>-178.57</v>
      </c>
      <c r="AG16" s="34" t="n">
        <v>-178.57</v>
      </c>
      <c r="AH16" s="34" t="n">
        <v>-178.57</v>
      </c>
      <c r="AI16" s="34" t="n">
        <v>-178.57</v>
      </c>
      <c r="AJ16" s="34" t="n">
        <v>-178.57</v>
      </c>
      <c r="AK16" s="34" t="n">
        <v>-178.57</v>
      </c>
      <c r="AL16" s="34" t="n">
        <v>-178.57</v>
      </c>
      <c r="AM16" s="34" t="n">
        <v>-178.57</v>
      </c>
      <c r="AN16" s="34" t="n">
        <v>-178.57</v>
      </c>
      <c r="AO16" s="34" t="n">
        <v>-178.57</v>
      </c>
      <c r="AP16" s="34" t="n">
        <v>-178.57</v>
      </c>
      <c r="AQ16" s="34" t="n">
        <v>-178.57</v>
      </c>
      <c r="AR16" s="34" t="n">
        <v>-178.57</v>
      </c>
      <c r="AS16" s="34" t="n">
        <v>-178.57</v>
      </c>
      <c r="AT16" s="34" t="n">
        <v>-178.57</v>
      </c>
      <c r="AU16" s="34" t="n">
        <v>-178.57</v>
      </c>
      <c r="AV16" s="34" t="n">
        <v>-178.57</v>
      </c>
      <c r="AW16" s="34" t="n">
        <v>-178.57</v>
      </c>
      <c r="AX16" s="34" t="n">
        <v>-178.57</v>
      </c>
      <c r="AY16" s="34" t="n">
        <v>-178.57</v>
      </c>
      <c r="AZ16" s="34" t="n">
        <v>-178.57</v>
      </c>
      <c r="BA16" s="34" t="n">
        <v>-178.57</v>
      </c>
      <c r="BB16" s="34" t="n">
        <v>-178.57</v>
      </c>
      <c r="BC16" s="34" t="n">
        <v>-178.57</v>
      </c>
      <c r="BD16" s="34" t="n">
        <v>-178.57</v>
      </c>
      <c r="BE16" s="34" t="n">
        <v>-178.57</v>
      </c>
      <c r="BF16" s="34" t="n">
        <v>-178.57</v>
      </c>
      <c r="BG16" s="34" t="n">
        <v>-178.57</v>
      </c>
      <c r="BH16" s="34" t="n">
        <v>-178.57</v>
      </c>
      <c r="BI16" s="34" t="n">
        <v>-178.57</v>
      </c>
      <c r="BJ16" s="34" t="n">
        <v>-178.57</v>
      </c>
      <c r="BK16" s="34" t="n">
        <v>-178.57</v>
      </c>
      <c r="BL16" s="34" t="n">
        <v>-178.57</v>
      </c>
      <c r="BM16" s="34" t="n">
        <v>-178.57</v>
      </c>
      <c r="BN16" s="34" t="n">
        <v>-178.57</v>
      </c>
      <c r="BO16" s="34" t="n">
        <v>-178.57</v>
      </c>
      <c r="BP16" s="34" t="n">
        <v>-178.57</v>
      </c>
      <c r="BQ16" s="34" t="n">
        <v>-178.57</v>
      </c>
      <c r="BR16" s="34" t="n">
        <v>-178.57</v>
      </c>
      <c r="BS16" s="34" t="n">
        <v>-178.57</v>
      </c>
      <c r="BT16" s="34" t="n">
        <v>-178.57</v>
      </c>
      <c r="BU16" s="34" t="n">
        <v>-178.57</v>
      </c>
      <c r="BV16" s="34" t="n">
        <v>-178.57</v>
      </c>
      <c r="BW16" s="34" t="n">
        <v>-178.57</v>
      </c>
      <c r="BX16" s="34" t="n">
        <v>-178.57</v>
      </c>
      <c r="BY16" s="34" t="n">
        <v>-178.57</v>
      </c>
      <c r="BZ16" s="34" t="n">
        <v>-178.57</v>
      </c>
      <c r="CA16" s="34" t="n">
        <v>-178.57</v>
      </c>
      <c r="CB16" s="34" t="n">
        <v>-178.57</v>
      </c>
      <c r="CC16" s="34" t="n">
        <v>-178.57</v>
      </c>
      <c r="CD16" s="34" t="n">
        <v>-178.57</v>
      </c>
      <c r="CE16" s="34" t="n">
        <v>-178.57</v>
      </c>
      <c r="CF16" s="34" t="n">
        <v>-178.57</v>
      </c>
      <c r="CG16" s="34" t="n">
        <v>-178.57</v>
      </c>
      <c r="CH16" s="34" t="n">
        <v>-178.57</v>
      </c>
      <c r="CI16" s="34" t="n">
        <v>-178.57</v>
      </c>
      <c r="CJ16" s="34" t="n">
        <v>-178.57</v>
      </c>
      <c r="CK16" s="34" t="n">
        <v>-178.57</v>
      </c>
      <c r="CL16" s="34" t="n">
        <v>-178.57</v>
      </c>
      <c r="CM16" s="34" t="n">
        <v>-178.57</v>
      </c>
      <c r="CN16" s="34" t="n">
        <v>-178.57</v>
      </c>
      <c r="CO16" s="34" t="n">
        <v>-178.57</v>
      </c>
      <c r="CP16" s="34" t="n">
        <v>-178.57</v>
      </c>
      <c r="CQ16" s="34" t="n">
        <v>-178.57</v>
      </c>
      <c r="CR16" s="34" t="n">
        <v>-178.57</v>
      </c>
      <c r="CS16" s="34" t="n">
        <v>-178.57</v>
      </c>
      <c r="CT16" s="34" t="n">
        <v>-178.57</v>
      </c>
      <c r="CU16" s="34" t="n">
        <v>-178.57</v>
      </c>
      <c r="CV16" s="34" t="n">
        <v>-178.57</v>
      </c>
      <c r="CW16" s="34" t="n">
        <v>-178.57</v>
      </c>
      <c r="CX16" s="34" t="n">
        <v>-178.57</v>
      </c>
      <c r="CY16" s="34" t="n">
        <v>-178.57</v>
      </c>
      <c r="CZ16" s="34" t="n">
        <v>-178.57</v>
      </c>
      <c r="DA16" s="34" t="n">
        <v>-178.57</v>
      </c>
      <c r="DB16" s="34" t="n">
        <v>-178.57</v>
      </c>
      <c r="DC16" s="34" t="n">
        <v>-178.57</v>
      </c>
      <c r="DD16" s="34" t="n">
        <v>-178.57</v>
      </c>
      <c r="DE16" s="34" t="n">
        <v>-178.57</v>
      </c>
      <c r="DF16" s="34" t="n">
        <v>-178.57</v>
      </c>
      <c r="DG16" s="34" t="n">
        <v>-178.57</v>
      </c>
      <c r="DH16" s="34" t="n">
        <v>-178.57</v>
      </c>
      <c r="DI16" s="34" t="n">
        <v>-178.57</v>
      </c>
      <c r="DJ16" s="34" t="n">
        <v>-178.57</v>
      </c>
      <c r="DK16" s="34" t="n">
        <v>-178.57</v>
      </c>
      <c r="DL16" s="34" t="n">
        <v>-178.57</v>
      </c>
      <c r="DM16" s="34" t="n">
        <v>-178.57</v>
      </c>
      <c r="DN16" s="34" t="n">
        <v>-178.57</v>
      </c>
      <c r="DO16" s="34" t="n">
        <v>-178.57</v>
      </c>
      <c r="DP16" s="34" t="n">
        <v>-178.57</v>
      </c>
      <c r="DQ16" s="34" t="n">
        <v>-178.57</v>
      </c>
    </row>
    <row r="17">
      <c r="A17" t="inlineStr">
        <is>
          <t xml:space="preserve">  Interest Paid</t>
        </is>
      </c>
      <c r="B17" s="34">
        <f>IS!B22</f>
        <v/>
      </c>
      <c r="C17" s="34">
        <f>IS!C22</f>
        <v/>
      </c>
      <c r="D17" s="34">
        <f>IS!D22</f>
        <v/>
      </c>
      <c r="E17" s="34">
        <f>IS!E22</f>
        <v/>
      </c>
      <c r="F17" s="34">
        <f>IS!F22</f>
        <v/>
      </c>
      <c r="G17" s="34">
        <f>IS!G22</f>
        <v/>
      </c>
      <c r="H17" s="34">
        <f>IS!H22</f>
        <v/>
      </c>
      <c r="I17" s="34">
        <f>IS!I22</f>
        <v/>
      </c>
      <c r="J17" s="34">
        <f>IS!J22</f>
        <v/>
      </c>
      <c r="K17" s="34">
        <f>IS!K22</f>
        <v/>
      </c>
      <c r="L17" s="34">
        <f>IS!L22</f>
        <v/>
      </c>
      <c r="M17" s="34">
        <f>IS!M22</f>
        <v/>
      </c>
      <c r="N17" s="34">
        <f>IS!N22</f>
        <v/>
      </c>
      <c r="O17" s="34">
        <f>IS!O22</f>
        <v/>
      </c>
      <c r="P17" s="34">
        <f>IS!P22</f>
        <v/>
      </c>
      <c r="Q17" s="34">
        <f>IS!Q22</f>
        <v/>
      </c>
      <c r="R17" s="34">
        <f>IS!R22</f>
        <v/>
      </c>
      <c r="S17" s="34">
        <f>IS!S22</f>
        <v/>
      </c>
      <c r="T17" s="34">
        <f>IS!T22</f>
        <v/>
      </c>
      <c r="U17" s="34">
        <f>IS!U22</f>
        <v/>
      </c>
      <c r="V17" s="34">
        <f>IS!V22</f>
        <v/>
      </c>
      <c r="W17" s="34">
        <f>IS!W22</f>
        <v/>
      </c>
      <c r="X17" s="34">
        <f>IS!X22</f>
        <v/>
      </c>
      <c r="Y17" s="34">
        <f>IS!Y22</f>
        <v/>
      </c>
      <c r="Z17" s="34">
        <f>IS!Z22</f>
        <v/>
      </c>
      <c r="AA17" s="34">
        <f>IS!AA22</f>
        <v/>
      </c>
      <c r="AB17" s="34">
        <f>IS!AB22</f>
        <v/>
      </c>
      <c r="AC17" s="34">
        <f>IS!AC22</f>
        <v/>
      </c>
      <c r="AD17" s="34">
        <f>IS!AD22</f>
        <v/>
      </c>
      <c r="AE17" s="34">
        <f>IS!AE22</f>
        <v/>
      </c>
      <c r="AF17" s="34">
        <f>IS!AF22</f>
        <v/>
      </c>
      <c r="AG17" s="34">
        <f>IS!AG22</f>
        <v/>
      </c>
      <c r="AH17" s="34">
        <f>IS!AH22</f>
        <v/>
      </c>
      <c r="AI17" s="34">
        <f>IS!AI22</f>
        <v/>
      </c>
      <c r="AJ17" s="34">
        <f>IS!AJ22</f>
        <v/>
      </c>
      <c r="AK17" s="34">
        <f>IS!AK22</f>
        <v/>
      </c>
      <c r="AL17" s="34">
        <f>IS!AL22</f>
        <v/>
      </c>
      <c r="AM17" s="34">
        <f>IS!AM22</f>
        <v/>
      </c>
      <c r="AN17" s="34">
        <f>IS!AN22</f>
        <v/>
      </c>
      <c r="AO17" s="34">
        <f>IS!AO22</f>
        <v/>
      </c>
      <c r="AP17" s="34">
        <f>IS!AP22</f>
        <v/>
      </c>
      <c r="AQ17" s="34">
        <f>IS!AQ22</f>
        <v/>
      </c>
      <c r="AR17" s="34">
        <f>IS!AR22</f>
        <v/>
      </c>
      <c r="AS17" s="34">
        <f>IS!AS22</f>
        <v/>
      </c>
      <c r="AT17" s="34">
        <f>IS!AT22</f>
        <v/>
      </c>
      <c r="AU17" s="34">
        <f>IS!AU22</f>
        <v/>
      </c>
      <c r="AV17" s="34">
        <f>IS!AV22</f>
        <v/>
      </c>
      <c r="AW17" s="34">
        <f>IS!AW22</f>
        <v/>
      </c>
      <c r="AX17" s="34">
        <f>IS!AX22</f>
        <v/>
      </c>
      <c r="AY17" s="34">
        <f>IS!AY22</f>
        <v/>
      </c>
      <c r="AZ17" s="34">
        <f>IS!AZ22</f>
        <v/>
      </c>
      <c r="BA17" s="34">
        <f>IS!BA22</f>
        <v/>
      </c>
      <c r="BB17" s="34">
        <f>IS!BB22</f>
        <v/>
      </c>
      <c r="BC17" s="34">
        <f>IS!BC22</f>
        <v/>
      </c>
      <c r="BD17" s="34">
        <f>IS!BD22</f>
        <v/>
      </c>
      <c r="BE17" s="34">
        <f>IS!BE22</f>
        <v/>
      </c>
      <c r="BF17" s="34">
        <f>IS!BF22</f>
        <v/>
      </c>
      <c r="BG17" s="34">
        <f>IS!BG22</f>
        <v/>
      </c>
      <c r="BH17" s="34">
        <f>IS!BH22</f>
        <v/>
      </c>
      <c r="BI17" s="34">
        <f>IS!BI22</f>
        <v/>
      </c>
      <c r="BJ17" s="34">
        <f>IS!BJ22</f>
        <v/>
      </c>
      <c r="BK17" s="34">
        <f>IS!BK22</f>
        <v/>
      </c>
      <c r="BL17" s="34">
        <f>IS!BL22</f>
        <v/>
      </c>
      <c r="BM17" s="34">
        <f>IS!BM22</f>
        <v/>
      </c>
      <c r="BN17" s="34">
        <f>IS!BN22</f>
        <v/>
      </c>
      <c r="BO17" s="34">
        <f>IS!BO22</f>
        <v/>
      </c>
      <c r="BP17" s="34">
        <f>IS!BP22</f>
        <v/>
      </c>
      <c r="BQ17" s="34">
        <f>IS!BQ22</f>
        <v/>
      </c>
      <c r="BR17" s="34">
        <f>IS!BR22</f>
        <v/>
      </c>
      <c r="BS17" s="34">
        <f>IS!BS22</f>
        <v/>
      </c>
      <c r="BT17" s="34">
        <f>IS!BT22</f>
        <v/>
      </c>
      <c r="BU17" s="34">
        <f>IS!BU22</f>
        <v/>
      </c>
      <c r="BV17" s="34">
        <f>IS!BV22</f>
        <v/>
      </c>
      <c r="BW17" s="34">
        <f>IS!BW22</f>
        <v/>
      </c>
      <c r="BX17" s="34">
        <f>IS!BX22</f>
        <v/>
      </c>
      <c r="BY17" s="34">
        <f>IS!BY22</f>
        <v/>
      </c>
      <c r="BZ17" s="34">
        <f>IS!BZ22</f>
        <v/>
      </c>
      <c r="CA17" s="34">
        <f>IS!CA22</f>
        <v/>
      </c>
      <c r="CB17" s="34">
        <f>IS!CB22</f>
        <v/>
      </c>
      <c r="CC17" s="34">
        <f>IS!CC22</f>
        <v/>
      </c>
      <c r="CD17" s="34">
        <f>IS!CD22</f>
        <v/>
      </c>
      <c r="CE17" s="34">
        <f>IS!CE22</f>
        <v/>
      </c>
      <c r="CF17" s="34">
        <f>IS!CF22</f>
        <v/>
      </c>
      <c r="CG17" s="34">
        <f>IS!CG22</f>
        <v/>
      </c>
      <c r="CH17" s="34">
        <f>IS!CH22</f>
        <v/>
      </c>
      <c r="CI17" s="34">
        <f>IS!CI22</f>
        <v/>
      </c>
      <c r="CJ17" s="34">
        <f>IS!CJ22</f>
        <v/>
      </c>
      <c r="CK17" s="34">
        <f>IS!CK22</f>
        <v/>
      </c>
      <c r="CL17" s="34">
        <f>IS!CL22</f>
        <v/>
      </c>
      <c r="CM17" s="34">
        <f>IS!CM22</f>
        <v/>
      </c>
      <c r="CN17" s="34">
        <f>IS!CN22</f>
        <v/>
      </c>
      <c r="CO17" s="34">
        <f>IS!CO22</f>
        <v/>
      </c>
      <c r="CP17" s="34">
        <f>IS!CP22</f>
        <v/>
      </c>
      <c r="CQ17" s="34">
        <f>IS!CQ22</f>
        <v/>
      </c>
      <c r="CR17" s="34">
        <f>IS!CR22</f>
        <v/>
      </c>
      <c r="CS17" s="34">
        <f>IS!CS22</f>
        <v/>
      </c>
      <c r="CT17" s="34">
        <f>IS!CT22</f>
        <v/>
      </c>
      <c r="CU17" s="34">
        <f>IS!CU22</f>
        <v/>
      </c>
      <c r="CV17" s="34">
        <f>IS!CV22</f>
        <v/>
      </c>
      <c r="CW17" s="34">
        <f>IS!CW22</f>
        <v/>
      </c>
      <c r="CX17" s="34">
        <f>IS!CX22</f>
        <v/>
      </c>
      <c r="CY17" s="34">
        <f>IS!CY22</f>
        <v/>
      </c>
      <c r="CZ17" s="34">
        <f>IS!CZ22</f>
        <v/>
      </c>
      <c r="DA17" s="34">
        <f>IS!DA22</f>
        <v/>
      </c>
      <c r="DB17" s="34">
        <f>IS!DB22</f>
        <v/>
      </c>
      <c r="DC17" s="34">
        <f>IS!DC22</f>
        <v/>
      </c>
      <c r="DD17" s="34">
        <f>IS!DD22</f>
        <v/>
      </c>
      <c r="DE17" s="34">
        <f>IS!DE22</f>
        <v/>
      </c>
      <c r="DF17" s="34">
        <f>IS!DF22</f>
        <v/>
      </c>
      <c r="DG17" s="34">
        <f>IS!DG22</f>
        <v/>
      </c>
      <c r="DH17" s="34">
        <f>IS!DH22</f>
        <v/>
      </c>
      <c r="DI17" s="34">
        <f>IS!DI22</f>
        <v/>
      </c>
      <c r="DJ17" s="34">
        <f>IS!DJ22</f>
        <v/>
      </c>
      <c r="DK17" s="34">
        <f>IS!DK22</f>
        <v/>
      </c>
      <c r="DL17" s="34">
        <f>IS!DL22</f>
        <v/>
      </c>
      <c r="DM17" s="34">
        <f>IS!DM22</f>
        <v/>
      </c>
      <c r="DN17" s="34">
        <f>IS!DN22</f>
        <v/>
      </c>
      <c r="DO17" s="34">
        <f>IS!DO22</f>
        <v/>
      </c>
      <c r="DP17" s="34">
        <f>IS!DP22</f>
        <v/>
      </c>
      <c r="DQ17" s="34">
        <f>IS!DQ22</f>
        <v/>
      </c>
    </row>
    <row r="18">
      <c r="A18" t="inlineStr">
        <is>
          <t xml:space="preserve">  Dividends</t>
        </is>
      </c>
      <c r="B18" s="34" t="n">
        <v>0</v>
      </c>
      <c r="C18" s="34" t="n">
        <v>0</v>
      </c>
      <c r="D18" s="34" t="n">
        <v>0</v>
      </c>
      <c r="E18" s="34" t="n">
        <v>0</v>
      </c>
      <c r="F18" s="34" t="n">
        <v>0</v>
      </c>
      <c r="G18" s="34" t="n">
        <v>0</v>
      </c>
      <c r="H18" s="34" t="n">
        <v>0</v>
      </c>
      <c r="I18" s="34" t="n">
        <v>0</v>
      </c>
      <c r="J18" s="34" t="n">
        <v>0</v>
      </c>
      <c r="K18" s="34" t="n">
        <v>0</v>
      </c>
      <c r="L18" s="34" t="n">
        <v>0</v>
      </c>
      <c r="M18" s="34" t="n">
        <v>0</v>
      </c>
      <c r="N18" s="34" t="n">
        <v>0</v>
      </c>
      <c r="O18" s="34" t="n">
        <v>0</v>
      </c>
      <c r="P18" s="34" t="n">
        <v>0</v>
      </c>
      <c r="Q18" s="34" t="n">
        <v>0</v>
      </c>
      <c r="R18" s="34" t="n">
        <v>0</v>
      </c>
      <c r="S18" s="34" t="n">
        <v>0</v>
      </c>
      <c r="T18" s="34" t="n">
        <v>0</v>
      </c>
      <c r="U18" s="34" t="n">
        <v>0</v>
      </c>
      <c r="V18" s="34" t="n">
        <v>0</v>
      </c>
      <c r="W18" s="34" t="n">
        <v>0</v>
      </c>
      <c r="X18" s="34" t="n">
        <v>0</v>
      </c>
      <c r="Y18" s="34" t="n">
        <v>0</v>
      </c>
      <c r="Z18" s="34" t="n">
        <v>0</v>
      </c>
      <c r="AA18" s="34" t="n">
        <v>0</v>
      </c>
      <c r="AB18" s="34" t="n">
        <v>0</v>
      </c>
      <c r="AC18" s="34" t="n">
        <v>0</v>
      </c>
      <c r="AD18" s="34" t="n">
        <v>0</v>
      </c>
      <c r="AE18" s="34" t="n">
        <v>0</v>
      </c>
      <c r="AF18" s="34" t="n">
        <v>0</v>
      </c>
      <c r="AG18" s="34" t="n">
        <v>0</v>
      </c>
      <c r="AH18" s="34" t="n">
        <v>0</v>
      </c>
      <c r="AI18" s="34" t="n">
        <v>0</v>
      </c>
      <c r="AJ18" s="34" t="n">
        <v>0</v>
      </c>
      <c r="AK18" s="34" t="n">
        <v>0</v>
      </c>
      <c r="AL18" s="34" t="n">
        <v>0</v>
      </c>
      <c r="AM18" s="34" t="n">
        <v>0</v>
      </c>
      <c r="AN18" s="34" t="n">
        <v>0</v>
      </c>
      <c r="AO18" s="34" t="n">
        <v>0</v>
      </c>
      <c r="AP18" s="34" t="n">
        <v>0</v>
      </c>
      <c r="AQ18" s="34" t="n">
        <v>0</v>
      </c>
      <c r="AR18" s="34" t="n">
        <v>0</v>
      </c>
      <c r="AS18" s="34" t="n">
        <v>0</v>
      </c>
      <c r="AT18" s="34" t="n">
        <v>0</v>
      </c>
      <c r="AU18" s="34" t="n">
        <v>0</v>
      </c>
      <c r="AV18" s="34" t="n">
        <v>0</v>
      </c>
      <c r="AW18" s="34" t="n">
        <v>0</v>
      </c>
      <c r="AX18" s="34" t="n">
        <v>0</v>
      </c>
      <c r="AY18" s="34" t="n">
        <v>0</v>
      </c>
      <c r="AZ18" s="34" t="n">
        <v>0</v>
      </c>
      <c r="BA18" s="34" t="n">
        <v>0</v>
      </c>
      <c r="BB18" s="34" t="n">
        <v>0</v>
      </c>
      <c r="BC18" s="34" t="n">
        <v>0</v>
      </c>
      <c r="BD18" s="34" t="n">
        <v>0</v>
      </c>
      <c r="BE18" s="34" t="n">
        <v>0</v>
      </c>
      <c r="BF18" s="34" t="n">
        <v>0</v>
      </c>
      <c r="BG18" s="34" t="n">
        <v>0</v>
      </c>
      <c r="BH18" s="34" t="n">
        <v>0</v>
      </c>
      <c r="BI18" s="34" t="n">
        <v>0</v>
      </c>
      <c r="BJ18" s="34" t="n">
        <v>0</v>
      </c>
      <c r="BK18" s="34" t="n">
        <v>0</v>
      </c>
      <c r="BL18" s="34" t="n">
        <v>0</v>
      </c>
      <c r="BM18" s="34" t="n">
        <v>0</v>
      </c>
      <c r="BN18" s="34" t="n">
        <v>0</v>
      </c>
      <c r="BO18" s="34" t="n">
        <v>0</v>
      </c>
      <c r="BP18" s="34" t="n">
        <v>0</v>
      </c>
      <c r="BQ18" s="34" t="n">
        <v>0</v>
      </c>
      <c r="BR18" s="34" t="n">
        <v>0</v>
      </c>
      <c r="BS18" s="34" t="n">
        <v>0</v>
      </c>
      <c r="BT18" s="34" t="n">
        <v>0</v>
      </c>
      <c r="BU18" s="34" t="n">
        <v>0</v>
      </c>
      <c r="BV18" s="34" t="n">
        <v>0</v>
      </c>
      <c r="BW18" s="34" t="n">
        <v>0</v>
      </c>
      <c r="BX18" s="34" t="n">
        <v>0</v>
      </c>
      <c r="BY18" s="34" t="n">
        <v>0</v>
      </c>
      <c r="BZ18" s="34" t="n">
        <v>0</v>
      </c>
      <c r="CA18" s="34" t="n">
        <v>0</v>
      </c>
      <c r="CB18" s="34" t="n">
        <v>0</v>
      </c>
      <c r="CC18" s="34" t="n">
        <v>0</v>
      </c>
      <c r="CD18" s="34" t="n">
        <v>0</v>
      </c>
      <c r="CE18" s="34" t="n">
        <v>0</v>
      </c>
      <c r="CF18" s="34" t="n">
        <v>0</v>
      </c>
      <c r="CG18" s="34" t="n">
        <v>0</v>
      </c>
      <c r="CH18" s="34" t="n">
        <v>0</v>
      </c>
      <c r="CI18" s="34" t="n">
        <v>0</v>
      </c>
      <c r="CJ18" s="34" t="n">
        <v>0</v>
      </c>
      <c r="CK18" s="34" t="n">
        <v>0</v>
      </c>
      <c r="CL18" s="34" t="n">
        <v>0</v>
      </c>
      <c r="CM18" s="34" t="n">
        <v>0</v>
      </c>
      <c r="CN18" s="34" t="n">
        <v>0</v>
      </c>
      <c r="CO18" s="34" t="n">
        <v>0</v>
      </c>
      <c r="CP18" s="34" t="n">
        <v>0</v>
      </c>
      <c r="CQ18" s="34" t="n">
        <v>0</v>
      </c>
      <c r="CR18" s="34" t="n">
        <v>0</v>
      </c>
      <c r="CS18" s="34" t="n">
        <v>0</v>
      </c>
      <c r="CT18" s="34" t="n">
        <v>0</v>
      </c>
      <c r="CU18" s="34" t="n">
        <v>0</v>
      </c>
      <c r="CV18" s="34" t="n">
        <v>0</v>
      </c>
      <c r="CW18" s="34" t="n">
        <v>0</v>
      </c>
      <c r="CX18" s="34" t="n">
        <v>0</v>
      </c>
      <c r="CY18" s="34" t="n">
        <v>0</v>
      </c>
      <c r="CZ18" s="34" t="n">
        <v>0</v>
      </c>
      <c r="DA18" s="34" t="n">
        <v>0</v>
      </c>
      <c r="DB18" s="34" t="n">
        <v>0</v>
      </c>
      <c r="DC18" s="34" t="n">
        <v>0</v>
      </c>
      <c r="DD18" s="34" t="n">
        <v>0</v>
      </c>
      <c r="DE18" s="34" t="n">
        <v>0</v>
      </c>
      <c r="DF18" s="34" t="n">
        <v>0</v>
      </c>
      <c r="DG18" s="34" t="n">
        <v>0</v>
      </c>
      <c r="DH18" s="34" t="n">
        <v>0</v>
      </c>
      <c r="DI18" s="34" t="n">
        <v>0</v>
      </c>
      <c r="DJ18" s="34" t="n">
        <v>0</v>
      </c>
      <c r="DK18" s="34" t="n">
        <v>0</v>
      </c>
      <c r="DL18" s="34" t="n">
        <v>0</v>
      </c>
      <c r="DM18" s="34" t="n">
        <v>0</v>
      </c>
      <c r="DN18" s="34" t="n">
        <v>0</v>
      </c>
      <c r="DO18" s="34" t="n">
        <v>0</v>
      </c>
      <c r="DP18" s="34" t="n">
        <v>0</v>
      </c>
      <c r="DQ18" s="34" t="n">
        <v>0</v>
      </c>
    </row>
    <row r="19">
      <c r="A19" s="3" t="inlineStr">
        <is>
          <t>Financing Cash Flow</t>
        </is>
      </c>
      <c r="B19" s="34">
        <f>B15+B16+B17+B18</f>
        <v/>
      </c>
      <c r="C19" s="34">
        <f>C15+C16+C17+C18</f>
        <v/>
      </c>
      <c r="D19" s="34">
        <f>D15+D16+D17+D18</f>
        <v/>
      </c>
      <c r="E19" s="34">
        <f>E15+E16+E17+E18</f>
        <v/>
      </c>
      <c r="F19" s="34">
        <f>F15+F16+F17+F18</f>
        <v/>
      </c>
      <c r="G19" s="34">
        <f>G15+G16+G17+G18</f>
        <v/>
      </c>
      <c r="H19" s="34">
        <f>H15+H16+H17+H18</f>
        <v/>
      </c>
      <c r="I19" s="34">
        <f>I15+I16+I17+I18</f>
        <v/>
      </c>
      <c r="J19" s="34">
        <f>J15+J16+J17+J18</f>
        <v/>
      </c>
      <c r="K19" s="34">
        <f>K15+K16+K17+K18</f>
        <v/>
      </c>
      <c r="L19" s="34">
        <f>L15+L16+L17+L18</f>
        <v/>
      </c>
      <c r="M19" s="34">
        <f>M15+M16+M17+M18</f>
        <v/>
      </c>
      <c r="N19" s="34">
        <f>N15+N16+N17+N18</f>
        <v/>
      </c>
      <c r="O19" s="34">
        <f>O15+O16+O17+O18</f>
        <v/>
      </c>
      <c r="P19" s="34">
        <f>P15+P16+P17+P18</f>
        <v/>
      </c>
      <c r="Q19" s="34">
        <f>Q15+Q16+Q17+Q18</f>
        <v/>
      </c>
      <c r="R19" s="34">
        <f>R15+R16+R17+R18</f>
        <v/>
      </c>
      <c r="S19" s="34">
        <f>S15+S16+S17+S18</f>
        <v/>
      </c>
      <c r="T19" s="34">
        <f>T15+T16+T17+T18</f>
        <v/>
      </c>
      <c r="U19" s="34">
        <f>U15+U16+U17+U18</f>
        <v/>
      </c>
      <c r="V19" s="34">
        <f>V15+V16+V17+V18</f>
        <v/>
      </c>
      <c r="W19" s="34">
        <f>W15+W16+W17+W18</f>
        <v/>
      </c>
      <c r="X19" s="34">
        <f>X15+X16+X17+X18</f>
        <v/>
      </c>
      <c r="Y19" s="34">
        <f>Y15+Y16+Y17+Y18</f>
        <v/>
      </c>
      <c r="Z19" s="34">
        <f>Z15+Z16+Z17+Z18</f>
        <v/>
      </c>
      <c r="AA19" s="34">
        <f>AA15+AA16+AA17+AA18</f>
        <v/>
      </c>
      <c r="AB19" s="34">
        <f>AB15+AB16+AB17+AB18</f>
        <v/>
      </c>
      <c r="AC19" s="34">
        <f>AC15+AC16+AC17+AC18</f>
        <v/>
      </c>
      <c r="AD19" s="34">
        <f>AD15+AD16+AD17+AD18</f>
        <v/>
      </c>
      <c r="AE19" s="34">
        <f>AE15+AE16+AE17+AE18</f>
        <v/>
      </c>
      <c r="AF19" s="34">
        <f>AF15+AF16+AF17+AF18</f>
        <v/>
      </c>
      <c r="AG19" s="34">
        <f>AG15+AG16+AG17+AG18</f>
        <v/>
      </c>
      <c r="AH19" s="34">
        <f>AH15+AH16+AH17+AH18</f>
        <v/>
      </c>
      <c r="AI19" s="34">
        <f>AI15+AI16+AI17+AI18</f>
        <v/>
      </c>
      <c r="AJ19" s="34">
        <f>AJ15+AJ16+AJ17+AJ18</f>
        <v/>
      </c>
      <c r="AK19" s="34">
        <f>AK15+AK16+AK17+AK18</f>
        <v/>
      </c>
      <c r="AL19" s="34">
        <f>AL15+AL16+AL17+AL18</f>
        <v/>
      </c>
      <c r="AM19" s="34">
        <f>AM15+AM16+AM17+AM18</f>
        <v/>
      </c>
      <c r="AN19" s="34">
        <f>AN15+AN16+AN17+AN18</f>
        <v/>
      </c>
      <c r="AO19" s="34">
        <f>AO15+AO16+AO17+AO18</f>
        <v/>
      </c>
      <c r="AP19" s="34">
        <f>AP15+AP16+AP17+AP18</f>
        <v/>
      </c>
      <c r="AQ19" s="34">
        <f>AQ15+AQ16+AQ17+AQ18</f>
        <v/>
      </c>
      <c r="AR19" s="34">
        <f>AR15+AR16+AR17+AR18</f>
        <v/>
      </c>
      <c r="AS19" s="34">
        <f>AS15+AS16+AS17+AS18</f>
        <v/>
      </c>
      <c r="AT19" s="34">
        <f>AT15+AT16+AT17+AT18</f>
        <v/>
      </c>
      <c r="AU19" s="34">
        <f>AU15+AU16+AU17+AU18</f>
        <v/>
      </c>
      <c r="AV19" s="34">
        <f>AV15+AV16+AV17+AV18</f>
        <v/>
      </c>
      <c r="AW19" s="34">
        <f>AW15+AW16+AW17+AW18</f>
        <v/>
      </c>
      <c r="AX19" s="34">
        <f>AX15+AX16+AX17+AX18</f>
        <v/>
      </c>
      <c r="AY19" s="34">
        <f>AY15+AY16+AY17+AY18</f>
        <v/>
      </c>
      <c r="AZ19" s="34">
        <f>AZ15+AZ16+AZ17+AZ18</f>
        <v/>
      </c>
      <c r="BA19" s="34">
        <f>BA15+BA16+BA17+BA18</f>
        <v/>
      </c>
      <c r="BB19" s="34">
        <f>BB15+BB16+BB17+BB18</f>
        <v/>
      </c>
      <c r="BC19" s="34">
        <f>BC15+BC16+BC17+BC18</f>
        <v/>
      </c>
      <c r="BD19" s="34">
        <f>BD15+BD16+BD17+BD18</f>
        <v/>
      </c>
      <c r="BE19" s="34">
        <f>BE15+BE16+BE17+BE18</f>
        <v/>
      </c>
      <c r="BF19" s="34">
        <f>BF15+BF16+BF17+BF18</f>
        <v/>
      </c>
      <c r="BG19" s="34">
        <f>BG15+BG16+BG17+BG18</f>
        <v/>
      </c>
      <c r="BH19" s="34">
        <f>BH15+BH16+BH17+BH18</f>
        <v/>
      </c>
      <c r="BI19" s="34">
        <f>BI15+BI16+BI17+BI18</f>
        <v/>
      </c>
      <c r="BJ19" s="34">
        <f>BJ15+BJ16+BJ17+BJ18</f>
        <v/>
      </c>
      <c r="BK19" s="34">
        <f>BK15+BK16+BK17+BK18</f>
        <v/>
      </c>
      <c r="BL19" s="34">
        <f>BL15+BL16+BL17+BL18</f>
        <v/>
      </c>
      <c r="BM19" s="34">
        <f>BM15+BM16+BM17+BM18</f>
        <v/>
      </c>
      <c r="BN19" s="34">
        <f>BN15+BN16+BN17+BN18</f>
        <v/>
      </c>
      <c r="BO19" s="34">
        <f>BO15+BO16+BO17+BO18</f>
        <v/>
      </c>
      <c r="BP19" s="34">
        <f>BP15+BP16+BP17+BP18</f>
        <v/>
      </c>
      <c r="BQ19" s="34">
        <f>BQ15+BQ16+BQ17+BQ18</f>
        <v/>
      </c>
      <c r="BR19" s="34">
        <f>BR15+BR16+BR17+BR18</f>
        <v/>
      </c>
      <c r="BS19" s="34">
        <f>BS15+BS16+BS17+BS18</f>
        <v/>
      </c>
      <c r="BT19" s="34">
        <f>BT15+BT16+BT17+BT18</f>
        <v/>
      </c>
      <c r="BU19" s="34">
        <f>BU15+BU16+BU17+BU18</f>
        <v/>
      </c>
      <c r="BV19" s="34">
        <f>BV15+BV16+BV17+BV18</f>
        <v/>
      </c>
      <c r="BW19" s="34">
        <f>BW15+BW16+BW17+BW18</f>
        <v/>
      </c>
      <c r="BX19" s="34">
        <f>BX15+BX16+BX17+BX18</f>
        <v/>
      </c>
      <c r="BY19" s="34">
        <f>BY15+BY16+BY17+BY18</f>
        <v/>
      </c>
      <c r="BZ19" s="34">
        <f>BZ15+BZ16+BZ17+BZ18</f>
        <v/>
      </c>
      <c r="CA19" s="34">
        <f>CA15+CA16+CA17+CA18</f>
        <v/>
      </c>
      <c r="CB19" s="34">
        <f>CB15+CB16+CB17+CB18</f>
        <v/>
      </c>
      <c r="CC19" s="34">
        <f>CC15+CC16+CC17+CC18</f>
        <v/>
      </c>
      <c r="CD19" s="34">
        <f>CD15+CD16+CD17+CD18</f>
        <v/>
      </c>
      <c r="CE19" s="34">
        <f>CE15+CE16+CE17+CE18</f>
        <v/>
      </c>
      <c r="CF19" s="34">
        <f>CF15+CF16+CF17+CF18</f>
        <v/>
      </c>
      <c r="CG19" s="34">
        <f>CG15+CG16+CG17+CG18</f>
        <v/>
      </c>
      <c r="CH19" s="34">
        <f>CH15+CH16+CH17+CH18</f>
        <v/>
      </c>
      <c r="CI19" s="34">
        <f>CI15+CI16+CI17+CI18</f>
        <v/>
      </c>
      <c r="CJ19" s="34">
        <f>CJ15+CJ16+CJ17+CJ18</f>
        <v/>
      </c>
      <c r="CK19" s="34">
        <f>CK15+CK16+CK17+CK18</f>
        <v/>
      </c>
      <c r="CL19" s="34">
        <f>CL15+CL16+CL17+CL18</f>
        <v/>
      </c>
      <c r="CM19" s="34">
        <f>CM15+CM16+CM17+CM18</f>
        <v/>
      </c>
      <c r="CN19" s="34">
        <f>CN15+CN16+CN17+CN18</f>
        <v/>
      </c>
      <c r="CO19" s="34">
        <f>CO15+CO16+CO17+CO18</f>
        <v/>
      </c>
      <c r="CP19" s="34">
        <f>CP15+CP16+CP17+CP18</f>
        <v/>
      </c>
      <c r="CQ19" s="34">
        <f>CQ15+CQ16+CQ17+CQ18</f>
        <v/>
      </c>
      <c r="CR19" s="34">
        <f>CR15+CR16+CR17+CR18</f>
        <v/>
      </c>
      <c r="CS19" s="34">
        <f>CS15+CS16+CS17+CS18</f>
        <v/>
      </c>
      <c r="CT19" s="34">
        <f>CT15+CT16+CT17+CT18</f>
        <v/>
      </c>
      <c r="CU19" s="34">
        <f>CU15+CU16+CU17+CU18</f>
        <v/>
      </c>
      <c r="CV19" s="34">
        <f>CV15+CV16+CV17+CV18</f>
        <v/>
      </c>
      <c r="CW19" s="34">
        <f>CW15+CW16+CW17+CW18</f>
        <v/>
      </c>
      <c r="CX19" s="34">
        <f>CX15+CX16+CX17+CX18</f>
        <v/>
      </c>
      <c r="CY19" s="34">
        <f>CY15+CY16+CY17+CY18</f>
        <v/>
      </c>
      <c r="CZ19" s="34">
        <f>CZ15+CZ16+CZ17+CZ18</f>
        <v/>
      </c>
      <c r="DA19" s="34">
        <f>DA15+DA16+DA17+DA18</f>
        <v/>
      </c>
      <c r="DB19" s="34">
        <f>DB15+DB16+DB17+DB18</f>
        <v/>
      </c>
      <c r="DC19" s="34">
        <f>DC15+DC16+DC17+DC18</f>
        <v/>
      </c>
      <c r="DD19" s="34">
        <f>DD15+DD16+DD17+DD18</f>
        <v/>
      </c>
      <c r="DE19" s="34">
        <f>DE15+DE16+DE17+DE18</f>
        <v/>
      </c>
      <c r="DF19" s="34">
        <f>DF15+DF16+DF17+DF18</f>
        <v/>
      </c>
      <c r="DG19" s="34">
        <f>DG15+DG16+DG17+DG18</f>
        <v/>
      </c>
      <c r="DH19" s="34">
        <f>DH15+DH16+DH17+DH18</f>
        <v/>
      </c>
      <c r="DI19" s="34">
        <f>DI15+DI16+DI17+DI18</f>
        <v/>
      </c>
      <c r="DJ19" s="34">
        <f>DJ15+DJ16+DJ17+DJ18</f>
        <v/>
      </c>
      <c r="DK19" s="34">
        <f>DK15+DK16+DK17+DK18</f>
        <v/>
      </c>
      <c r="DL19" s="34">
        <f>DL15+DL16+DL17+DL18</f>
        <v/>
      </c>
      <c r="DM19" s="34">
        <f>DM15+DM16+DM17+DM18</f>
        <v/>
      </c>
      <c r="DN19" s="34">
        <f>DN15+DN16+DN17+DN18</f>
        <v/>
      </c>
      <c r="DO19" s="34">
        <f>DO15+DO16+DO17+DO18</f>
        <v/>
      </c>
      <c r="DP19" s="34">
        <f>DP15+DP16+DP17+DP18</f>
        <v/>
      </c>
      <c r="DQ19" s="34">
        <f>DQ15+DQ16+DQ17+DQ18</f>
        <v/>
      </c>
    </row>
    <row r="20">
      <c r="A20" t="inlineStr"/>
    </row>
    <row r="21">
      <c r="A21" s="3" t="inlineStr">
        <is>
          <t>NET CASH FLOW</t>
        </is>
      </c>
      <c r="B21" s="35">
        <f>B8+B12+B19</f>
        <v/>
      </c>
      <c r="C21" s="35">
        <f>C8+C12+C19</f>
        <v/>
      </c>
      <c r="D21" s="35">
        <f>D8+D12+D19</f>
        <v/>
      </c>
      <c r="E21" s="35">
        <f>E8+E12+E19</f>
        <v/>
      </c>
      <c r="F21" s="35">
        <f>F8+F12+F19</f>
        <v/>
      </c>
      <c r="G21" s="35">
        <f>G8+G12+G19</f>
        <v/>
      </c>
      <c r="H21" s="35">
        <f>H8+H12+H19</f>
        <v/>
      </c>
      <c r="I21" s="35">
        <f>I8+I12+I19</f>
        <v/>
      </c>
      <c r="J21" s="35">
        <f>J8+J12+J19</f>
        <v/>
      </c>
      <c r="K21" s="35">
        <f>K8+K12+K19</f>
        <v/>
      </c>
      <c r="L21" s="35">
        <f>L8+L12+L19</f>
        <v/>
      </c>
      <c r="M21" s="35">
        <f>M8+M12+M19</f>
        <v/>
      </c>
      <c r="N21" s="35">
        <f>N8+N12+N19</f>
        <v/>
      </c>
      <c r="O21" s="35">
        <f>O8+O12+O19</f>
        <v/>
      </c>
      <c r="P21" s="35">
        <f>P8+P12+P19</f>
        <v/>
      </c>
      <c r="Q21" s="35">
        <f>Q8+Q12+Q19</f>
        <v/>
      </c>
      <c r="R21" s="35">
        <f>R8+R12+R19</f>
        <v/>
      </c>
      <c r="S21" s="35">
        <f>S8+S12+S19</f>
        <v/>
      </c>
      <c r="T21" s="35">
        <f>T8+T12+T19</f>
        <v/>
      </c>
      <c r="U21" s="35">
        <f>U8+U12+U19</f>
        <v/>
      </c>
      <c r="V21" s="35">
        <f>V8+V12+V19</f>
        <v/>
      </c>
      <c r="W21" s="35">
        <f>W8+W12+W19</f>
        <v/>
      </c>
      <c r="X21" s="35">
        <f>X8+X12+X19</f>
        <v/>
      </c>
      <c r="Y21" s="35">
        <f>Y8+Y12+Y19</f>
        <v/>
      </c>
      <c r="Z21" s="35">
        <f>Z8+Z12+Z19</f>
        <v/>
      </c>
      <c r="AA21" s="35">
        <f>AA8+AA12+AA19</f>
        <v/>
      </c>
      <c r="AB21" s="35">
        <f>AB8+AB12+AB19</f>
        <v/>
      </c>
      <c r="AC21" s="35">
        <f>AC8+AC12+AC19</f>
        <v/>
      </c>
      <c r="AD21" s="35">
        <f>AD8+AD12+AD19</f>
        <v/>
      </c>
      <c r="AE21" s="35">
        <f>AE8+AE12+AE19</f>
        <v/>
      </c>
      <c r="AF21" s="35">
        <f>AF8+AF12+AF19</f>
        <v/>
      </c>
      <c r="AG21" s="35">
        <f>AG8+AG12+AG19</f>
        <v/>
      </c>
      <c r="AH21" s="35">
        <f>AH8+AH12+AH19</f>
        <v/>
      </c>
      <c r="AI21" s="35">
        <f>AI8+AI12+AI19</f>
        <v/>
      </c>
      <c r="AJ21" s="35">
        <f>AJ8+AJ12+AJ19</f>
        <v/>
      </c>
      <c r="AK21" s="35">
        <f>AK8+AK12+AK19</f>
        <v/>
      </c>
      <c r="AL21" s="35">
        <f>AL8+AL12+AL19</f>
        <v/>
      </c>
      <c r="AM21" s="35">
        <f>AM8+AM12+AM19</f>
        <v/>
      </c>
      <c r="AN21" s="35">
        <f>AN8+AN12+AN19</f>
        <v/>
      </c>
      <c r="AO21" s="35">
        <f>AO8+AO12+AO19</f>
        <v/>
      </c>
      <c r="AP21" s="35">
        <f>AP8+AP12+AP19</f>
        <v/>
      </c>
      <c r="AQ21" s="35">
        <f>AQ8+AQ12+AQ19</f>
        <v/>
      </c>
      <c r="AR21" s="35">
        <f>AR8+AR12+AR19</f>
        <v/>
      </c>
      <c r="AS21" s="35">
        <f>AS8+AS12+AS19</f>
        <v/>
      </c>
      <c r="AT21" s="35">
        <f>AT8+AT12+AT19</f>
        <v/>
      </c>
      <c r="AU21" s="35">
        <f>AU8+AU12+AU19</f>
        <v/>
      </c>
      <c r="AV21" s="35">
        <f>AV8+AV12+AV19</f>
        <v/>
      </c>
      <c r="AW21" s="35">
        <f>AW8+AW12+AW19</f>
        <v/>
      </c>
      <c r="AX21" s="35">
        <f>AX8+AX12+AX19</f>
        <v/>
      </c>
      <c r="AY21" s="35">
        <f>AY8+AY12+AY19</f>
        <v/>
      </c>
      <c r="AZ21" s="35">
        <f>AZ8+AZ12+AZ19</f>
        <v/>
      </c>
      <c r="BA21" s="35">
        <f>BA8+BA12+BA19</f>
        <v/>
      </c>
      <c r="BB21" s="35">
        <f>BB8+BB12+BB19</f>
        <v/>
      </c>
      <c r="BC21" s="35">
        <f>BC8+BC12+BC19</f>
        <v/>
      </c>
      <c r="BD21" s="35">
        <f>BD8+BD12+BD19</f>
        <v/>
      </c>
      <c r="BE21" s="35">
        <f>BE8+BE12+BE19</f>
        <v/>
      </c>
      <c r="BF21" s="35">
        <f>BF8+BF12+BF19</f>
        <v/>
      </c>
      <c r="BG21" s="35">
        <f>BG8+BG12+BG19</f>
        <v/>
      </c>
      <c r="BH21" s="35">
        <f>BH8+BH12+BH19</f>
        <v/>
      </c>
      <c r="BI21" s="35">
        <f>BI8+BI12+BI19</f>
        <v/>
      </c>
      <c r="BJ21" s="35">
        <f>BJ8+BJ12+BJ19</f>
        <v/>
      </c>
      <c r="BK21" s="35">
        <f>BK8+BK12+BK19</f>
        <v/>
      </c>
      <c r="BL21" s="35">
        <f>BL8+BL12+BL19</f>
        <v/>
      </c>
      <c r="BM21" s="35">
        <f>BM8+BM12+BM19</f>
        <v/>
      </c>
      <c r="BN21" s="35">
        <f>BN8+BN12+BN19</f>
        <v/>
      </c>
      <c r="BO21" s="35">
        <f>BO8+BO12+BO19</f>
        <v/>
      </c>
      <c r="BP21" s="35">
        <f>BP8+BP12+BP19</f>
        <v/>
      </c>
      <c r="BQ21" s="35">
        <f>BQ8+BQ12+BQ19</f>
        <v/>
      </c>
      <c r="BR21" s="35">
        <f>BR8+BR12+BR19</f>
        <v/>
      </c>
      <c r="BS21" s="35">
        <f>BS8+BS12+BS19</f>
        <v/>
      </c>
      <c r="BT21" s="35">
        <f>BT8+BT12+BT19</f>
        <v/>
      </c>
      <c r="BU21" s="35">
        <f>BU8+BU12+BU19</f>
        <v/>
      </c>
      <c r="BV21" s="35">
        <f>BV8+BV12+BV19</f>
        <v/>
      </c>
      <c r="BW21" s="35">
        <f>BW8+BW12+BW19</f>
        <v/>
      </c>
      <c r="BX21" s="35">
        <f>BX8+BX12+BX19</f>
        <v/>
      </c>
      <c r="BY21" s="35">
        <f>BY8+BY12+BY19</f>
        <v/>
      </c>
      <c r="BZ21" s="35">
        <f>BZ8+BZ12+BZ19</f>
        <v/>
      </c>
      <c r="CA21" s="35">
        <f>CA8+CA12+CA19</f>
        <v/>
      </c>
      <c r="CB21" s="35">
        <f>CB8+CB12+CB19</f>
        <v/>
      </c>
      <c r="CC21" s="35">
        <f>CC8+CC12+CC19</f>
        <v/>
      </c>
      <c r="CD21" s="35">
        <f>CD8+CD12+CD19</f>
        <v/>
      </c>
      <c r="CE21" s="35">
        <f>CE8+CE12+CE19</f>
        <v/>
      </c>
      <c r="CF21" s="35">
        <f>CF8+CF12+CF19</f>
        <v/>
      </c>
      <c r="CG21" s="35">
        <f>CG8+CG12+CG19</f>
        <v/>
      </c>
      <c r="CH21" s="35">
        <f>CH8+CH12+CH19</f>
        <v/>
      </c>
      <c r="CI21" s="35">
        <f>CI8+CI12+CI19</f>
        <v/>
      </c>
      <c r="CJ21" s="35">
        <f>CJ8+CJ12+CJ19</f>
        <v/>
      </c>
      <c r="CK21" s="35">
        <f>CK8+CK12+CK19</f>
        <v/>
      </c>
      <c r="CL21" s="35">
        <f>CL8+CL12+CL19</f>
        <v/>
      </c>
      <c r="CM21" s="35">
        <f>CM8+CM12+CM19</f>
        <v/>
      </c>
      <c r="CN21" s="35">
        <f>CN8+CN12+CN19</f>
        <v/>
      </c>
      <c r="CO21" s="35">
        <f>CO8+CO12+CO19</f>
        <v/>
      </c>
      <c r="CP21" s="35">
        <f>CP8+CP12+CP19</f>
        <v/>
      </c>
      <c r="CQ21" s="35">
        <f>CQ8+CQ12+CQ19</f>
        <v/>
      </c>
      <c r="CR21" s="35">
        <f>CR8+CR12+CR19</f>
        <v/>
      </c>
      <c r="CS21" s="35">
        <f>CS8+CS12+CS19</f>
        <v/>
      </c>
      <c r="CT21" s="35">
        <f>CT8+CT12+CT19</f>
        <v/>
      </c>
      <c r="CU21" s="35">
        <f>CU8+CU12+CU19</f>
        <v/>
      </c>
      <c r="CV21" s="35">
        <f>CV8+CV12+CV19</f>
        <v/>
      </c>
      <c r="CW21" s="35">
        <f>CW8+CW12+CW19</f>
        <v/>
      </c>
      <c r="CX21" s="35">
        <f>CX8+CX12+CX19</f>
        <v/>
      </c>
      <c r="CY21" s="35">
        <f>CY8+CY12+CY19</f>
        <v/>
      </c>
      <c r="CZ21" s="35">
        <f>CZ8+CZ12+CZ19</f>
        <v/>
      </c>
      <c r="DA21" s="35">
        <f>DA8+DA12+DA19</f>
        <v/>
      </c>
      <c r="DB21" s="35">
        <f>DB8+DB12+DB19</f>
        <v/>
      </c>
      <c r="DC21" s="35">
        <f>DC8+DC12+DC19</f>
        <v/>
      </c>
      <c r="DD21" s="35">
        <f>DD8+DD12+DD19</f>
        <v/>
      </c>
      <c r="DE21" s="35">
        <f>DE8+DE12+DE19</f>
        <v/>
      </c>
      <c r="DF21" s="35">
        <f>DF8+DF12+DF19</f>
        <v/>
      </c>
      <c r="DG21" s="35">
        <f>DG8+DG12+DG19</f>
        <v/>
      </c>
      <c r="DH21" s="35">
        <f>DH8+DH12+DH19</f>
        <v/>
      </c>
      <c r="DI21" s="35">
        <f>DI8+DI12+DI19</f>
        <v/>
      </c>
      <c r="DJ21" s="35">
        <f>DJ8+DJ12+DJ19</f>
        <v/>
      </c>
      <c r="DK21" s="35">
        <f>DK8+DK12+DK19</f>
        <v/>
      </c>
      <c r="DL21" s="35">
        <f>DL8+DL12+DL19</f>
        <v/>
      </c>
      <c r="DM21" s="35">
        <f>DM8+DM12+DM19</f>
        <v/>
      </c>
      <c r="DN21" s="35">
        <f>DN8+DN12+DN19</f>
        <v/>
      </c>
      <c r="DO21" s="35">
        <f>DO8+DO12+DO19</f>
        <v/>
      </c>
      <c r="DP21" s="35">
        <f>DP8+DP12+DP19</f>
        <v/>
      </c>
      <c r="DQ21" s="35">
        <f>DQ8+DQ12+DQ19</f>
        <v/>
      </c>
    </row>
    <row r="22">
      <c r="A22" t="inlineStr">
        <is>
          <t>Opening Cash Balance</t>
        </is>
      </c>
      <c r="B22" s="34" t="n">
        <v>5000</v>
      </c>
      <c r="C22" s="34" t="n">
        <v>5000</v>
      </c>
      <c r="D22" s="34" t="n">
        <v>5000</v>
      </c>
      <c r="E22" s="34" t="n">
        <v>5000</v>
      </c>
      <c r="F22" s="34" t="n">
        <v>5000</v>
      </c>
      <c r="G22" s="34" t="n">
        <v>5000</v>
      </c>
      <c r="H22" s="34" t="n">
        <v>5000</v>
      </c>
      <c r="I22" s="34" t="n">
        <v>5000</v>
      </c>
      <c r="J22" s="34" t="n">
        <v>5000</v>
      </c>
      <c r="K22" s="34" t="n">
        <v>5000</v>
      </c>
      <c r="L22" s="34" t="n">
        <v>5000</v>
      </c>
      <c r="M22" s="34" t="n">
        <v>5000</v>
      </c>
      <c r="N22" s="34" t="n">
        <v>5000</v>
      </c>
      <c r="O22" s="34" t="n">
        <v>5000</v>
      </c>
      <c r="P22" s="34" t="n">
        <v>5000</v>
      </c>
      <c r="Q22" s="34" t="n">
        <v>5000</v>
      </c>
      <c r="R22" s="34" t="n">
        <v>5000</v>
      </c>
      <c r="S22" s="34" t="n">
        <v>5000</v>
      </c>
      <c r="T22" s="34" t="n">
        <v>5000</v>
      </c>
      <c r="U22" s="34" t="n">
        <v>5000</v>
      </c>
      <c r="V22" s="34" t="n">
        <v>5000</v>
      </c>
      <c r="W22" s="34" t="n">
        <v>5000</v>
      </c>
      <c r="X22" s="34" t="n">
        <v>5000</v>
      </c>
      <c r="Y22" s="34" t="n">
        <v>5000</v>
      </c>
      <c r="Z22" s="34" t="n">
        <v>5000</v>
      </c>
      <c r="AA22" s="34" t="n">
        <v>5000</v>
      </c>
      <c r="AB22" s="34" t="n">
        <v>5000</v>
      </c>
      <c r="AC22" s="34" t="n">
        <v>5000</v>
      </c>
      <c r="AD22" s="34" t="n">
        <v>5000</v>
      </c>
      <c r="AE22" s="34" t="n">
        <v>5000</v>
      </c>
      <c r="AF22" s="34" t="n">
        <v>5000</v>
      </c>
      <c r="AG22" s="34" t="n">
        <v>5000</v>
      </c>
      <c r="AH22" s="34" t="n">
        <v>5000</v>
      </c>
      <c r="AI22" s="34" t="n">
        <v>5000</v>
      </c>
      <c r="AJ22" s="34" t="n">
        <v>5000</v>
      </c>
      <c r="AK22" s="34" t="n">
        <v>5000</v>
      </c>
      <c r="AL22" s="34" t="n">
        <v>5000</v>
      </c>
      <c r="AM22" s="34" t="n">
        <v>5000</v>
      </c>
      <c r="AN22" s="34" t="n">
        <v>5000</v>
      </c>
      <c r="AO22" s="34" t="n">
        <v>5000</v>
      </c>
      <c r="AP22" s="34" t="n">
        <v>5000</v>
      </c>
      <c r="AQ22" s="34" t="n">
        <v>5000</v>
      </c>
      <c r="AR22" s="34" t="n">
        <v>5000</v>
      </c>
      <c r="AS22" s="34" t="n">
        <v>5000</v>
      </c>
      <c r="AT22" s="34" t="n">
        <v>5000</v>
      </c>
      <c r="AU22" s="34" t="n">
        <v>5000</v>
      </c>
      <c r="AV22" s="34" t="n">
        <v>5000</v>
      </c>
      <c r="AW22" s="34" t="n">
        <v>5000</v>
      </c>
      <c r="AX22" s="34" t="n">
        <v>5000</v>
      </c>
      <c r="AY22" s="34" t="n">
        <v>5000</v>
      </c>
      <c r="AZ22" s="34" t="n">
        <v>5000</v>
      </c>
      <c r="BA22" s="34" t="n">
        <v>5000</v>
      </c>
      <c r="BB22" s="34" t="n">
        <v>5000</v>
      </c>
      <c r="BC22" s="34" t="n">
        <v>5000</v>
      </c>
      <c r="BD22" s="34" t="n">
        <v>5000</v>
      </c>
      <c r="BE22" s="34" t="n">
        <v>5000</v>
      </c>
      <c r="BF22" s="34" t="n">
        <v>5000</v>
      </c>
      <c r="BG22" s="34" t="n">
        <v>5000</v>
      </c>
      <c r="BH22" s="34" t="n">
        <v>5000</v>
      </c>
      <c r="BI22" s="34" t="n">
        <v>5000</v>
      </c>
      <c r="BJ22" s="34" t="n">
        <v>5000</v>
      </c>
      <c r="BK22" s="34" t="n">
        <v>5000</v>
      </c>
      <c r="BL22" s="34" t="n">
        <v>5000</v>
      </c>
      <c r="BM22" s="34" t="n">
        <v>5000</v>
      </c>
      <c r="BN22" s="34" t="n">
        <v>5000</v>
      </c>
      <c r="BO22" s="34" t="n">
        <v>5000</v>
      </c>
      <c r="BP22" s="34" t="n">
        <v>5000</v>
      </c>
      <c r="BQ22" s="34" t="n">
        <v>5000</v>
      </c>
      <c r="BR22" s="34" t="n">
        <v>5000</v>
      </c>
      <c r="BS22" s="34" t="n">
        <v>5000</v>
      </c>
      <c r="BT22" s="34" t="n">
        <v>5000</v>
      </c>
      <c r="BU22" s="34" t="n">
        <v>5000</v>
      </c>
      <c r="BV22" s="34" t="n">
        <v>5000</v>
      </c>
      <c r="BW22" s="34" t="n">
        <v>5000</v>
      </c>
      <c r="BX22" s="34" t="n">
        <v>5000</v>
      </c>
      <c r="BY22" s="34" t="n">
        <v>5000</v>
      </c>
      <c r="BZ22" s="34" t="n">
        <v>5000</v>
      </c>
      <c r="CA22" s="34" t="n">
        <v>5000</v>
      </c>
      <c r="CB22" s="34" t="n">
        <v>5000</v>
      </c>
      <c r="CC22" s="34" t="n">
        <v>5000</v>
      </c>
      <c r="CD22" s="34" t="n">
        <v>5000</v>
      </c>
      <c r="CE22" s="34" t="n">
        <v>5000</v>
      </c>
      <c r="CF22" s="34" t="n">
        <v>5000</v>
      </c>
      <c r="CG22" s="34" t="n">
        <v>5000</v>
      </c>
      <c r="CH22" s="34" t="n">
        <v>5000</v>
      </c>
      <c r="CI22" s="34" t="n">
        <v>5000</v>
      </c>
      <c r="CJ22" s="34" t="n">
        <v>5000</v>
      </c>
      <c r="CK22" s="34" t="n">
        <v>5000</v>
      </c>
      <c r="CL22" s="34" t="n">
        <v>5000</v>
      </c>
      <c r="CM22" s="34" t="n">
        <v>5000</v>
      </c>
      <c r="CN22" s="34" t="n">
        <v>5000</v>
      </c>
      <c r="CO22" s="34" t="n">
        <v>5000</v>
      </c>
      <c r="CP22" s="34" t="n">
        <v>5000</v>
      </c>
      <c r="CQ22" s="34" t="n">
        <v>5000</v>
      </c>
      <c r="CR22" s="34" t="n">
        <v>5000</v>
      </c>
      <c r="CS22" s="34" t="n">
        <v>5000</v>
      </c>
      <c r="CT22" s="34" t="n">
        <v>5000</v>
      </c>
      <c r="CU22" s="34" t="n">
        <v>5000</v>
      </c>
      <c r="CV22" s="34" t="n">
        <v>5000</v>
      </c>
      <c r="CW22" s="34" t="n">
        <v>5000</v>
      </c>
      <c r="CX22" s="34" t="n">
        <v>5000</v>
      </c>
      <c r="CY22" s="34" t="n">
        <v>5000</v>
      </c>
      <c r="CZ22" s="34" t="n">
        <v>5000</v>
      </c>
      <c r="DA22" s="34" t="n">
        <v>5000</v>
      </c>
      <c r="DB22" s="34" t="n">
        <v>5000</v>
      </c>
      <c r="DC22" s="34" t="n">
        <v>5000</v>
      </c>
      <c r="DD22" s="34" t="n">
        <v>5000</v>
      </c>
      <c r="DE22" s="34" t="n">
        <v>5000</v>
      </c>
      <c r="DF22" s="34" t="n">
        <v>5000</v>
      </c>
      <c r="DG22" s="34" t="n">
        <v>5000</v>
      </c>
      <c r="DH22" s="34" t="n">
        <v>5000</v>
      </c>
      <c r="DI22" s="34" t="n">
        <v>5000</v>
      </c>
      <c r="DJ22" s="34" t="n">
        <v>5000</v>
      </c>
      <c r="DK22" s="34" t="n">
        <v>5000</v>
      </c>
      <c r="DL22" s="34" t="n">
        <v>5000</v>
      </c>
      <c r="DM22" s="34" t="n">
        <v>5000</v>
      </c>
      <c r="DN22" s="34" t="n">
        <v>5000</v>
      </c>
      <c r="DO22" s="34" t="n">
        <v>5000</v>
      </c>
      <c r="DP22" s="34" t="n">
        <v>5000</v>
      </c>
      <c r="DQ22" s="34" t="n">
        <v>5000</v>
      </c>
    </row>
    <row r="23">
      <c r="A23" s="3" t="inlineStr">
        <is>
          <t>CLOSING CASH BALANCE</t>
        </is>
      </c>
      <c r="B23" s="35">
        <f>B22+B21</f>
        <v/>
      </c>
      <c r="C23" s="35">
        <f>C22+C21</f>
        <v/>
      </c>
      <c r="D23" s="35">
        <f>D22+D21</f>
        <v/>
      </c>
      <c r="E23" s="35">
        <f>E22+E21</f>
        <v/>
      </c>
      <c r="F23" s="35">
        <f>F22+F21</f>
        <v/>
      </c>
      <c r="G23" s="35">
        <f>G22+G21</f>
        <v/>
      </c>
      <c r="H23" s="35">
        <f>H22+H21</f>
        <v/>
      </c>
      <c r="I23" s="35">
        <f>I22+I21</f>
        <v/>
      </c>
      <c r="J23" s="35">
        <f>J22+J21</f>
        <v/>
      </c>
      <c r="K23" s="35">
        <f>K22+K21</f>
        <v/>
      </c>
      <c r="L23" s="35">
        <f>L22+L21</f>
        <v/>
      </c>
      <c r="M23" s="35">
        <f>M22+M21</f>
        <v/>
      </c>
      <c r="N23" s="35">
        <f>N22+N21</f>
        <v/>
      </c>
      <c r="O23" s="35">
        <f>O22+O21</f>
        <v/>
      </c>
      <c r="P23" s="35">
        <f>P22+P21</f>
        <v/>
      </c>
      <c r="Q23" s="35">
        <f>Q22+Q21</f>
        <v/>
      </c>
      <c r="R23" s="35">
        <f>R22+R21</f>
        <v/>
      </c>
      <c r="S23" s="35">
        <f>S22+S21</f>
        <v/>
      </c>
      <c r="T23" s="35">
        <f>T22+T21</f>
        <v/>
      </c>
      <c r="U23" s="35">
        <f>U22+U21</f>
        <v/>
      </c>
      <c r="V23" s="35">
        <f>V22+V21</f>
        <v/>
      </c>
      <c r="W23" s="35">
        <f>W22+W21</f>
        <v/>
      </c>
      <c r="X23" s="35">
        <f>X22+X21</f>
        <v/>
      </c>
      <c r="Y23" s="35">
        <f>Y22+Y21</f>
        <v/>
      </c>
      <c r="Z23" s="35">
        <f>Z22+Z21</f>
        <v/>
      </c>
      <c r="AA23" s="35">
        <f>AA22+AA21</f>
        <v/>
      </c>
      <c r="AB23" s="35">
        <f>AB22+AB21</f>
        <v/>
      </c>
      <c r="AC23" s="35">
        <f>AC22+AC21</f>
        <v/>
      </c>
      <c r="AD23" s="35">
        <f>AD22+AD21</f>
        <v/>
      </c>
      <c r="AE23" s="35">
        <f>AE22+AE21</f>
        <v/>
      </c>
      <c r="AF23" s="35">
        <f>AF22+AF21</f>
        <v/>
      </c>
      <c r="AG23" s="35">
        <f>AG22+AG21</f>
        <v/>
      </c>
      <c r="AH23" s="35">
        <f>AH22+AH21</f>
        <v/>
      </c>
      <c r="AI23" s="35">
        <f>AI22+AI21</f>
        <v/>
      </c>
      <c r="AJ23" s="35">
        <f>AJ22+AJ21</f>
        <v/>
      </c>
      <c r="AK23" s="35">
        <f>AK22+AK21</f>
        <v/>
      </c>
      <c r="AL23" s="35">
        <f>AL22+AL21</f>
        <v/>
      </c>
      <c r="AM23" s="35">
        <f>AM22+AM21</f>
        <v/>
      </c>
      <c r="AN23" s="35">
        <f>AN22+AN21</f>
        <v/>
      </c>
      <c r="AO23" s="35">
        <f>AO22+AO21</f>
        <v/>
      </c>
      <c r="AP23" s="35">
        <f>AP22+AP21</f>
        <v/>
      </c>
      <c r="AQ23" s="35">
        <f>AQ22+AQ21</f>
        <v/>
      </c>
      <c r="AR23" s="35">
        <f>AR22+AR21</f>
        <v/>
      </c>
      <c r="AS23" s="35">
        <f>AS22+AS21</f>
        <v/>
      </c>
      <c r="AT23" s="35">
        <f>AT22+AT21</f>
        <v/>
      </c>
      <c r="AU23" s="35">
        <f>AU22+AU21</f>
        <v/>
      </c>
      <c r="AV23" s="35">
        <f>AV22+AV21</f>
        <v/>
      </c>
      <c r="AW23" s="35">
        <f>AW22+AW21</f>
        <v/>
      </c>
      <c r="AX23" s="35">
        <f>AX22+AX21</f>
        <v/>
      </c>
      <c r="AY23" s="35">
        <f>AY22+AY21</f>
        <v/>
      </c>
      <c r="AZ23" s="35">
        <f>AZ22+AZ21</f>
        <v/>
      </c>
      <c r="BA23" s="35">
        <f>BA22+BA21</f>
        <v/>
      </c>
      <c r="BB23" s="35">
        <f>BB22+BB21</f>
        <v/>
      </c>
      <c r="BC23" s="35">
        <f>BC22+BC21</f>
        <v/>
      </c>
      <c r="BD23" s="35">
        <f>BD22+BD21</f>
        <v/>
      </c>
      <c r="BE23" s="35">
        <f>BE22+BE21</f>
        <v/>
      </c>
      <c r="BF23" s="35">
        <f>BF22+BF21</f>
        <v/>
      </c>
      <c r="BG23" s="35">
        <f>BG22+BG21</f>
        <v/>
      </c>
      <c r="BH23" s="35">
        <f>BH22+BH21</f>
        <v/>
      </c>
      <c r="BI23" s="35">
        <f>BI22+BI21</f>
        <v/>
      </c>
      <c r="BJ23" s="35">
        <f>BJ22+BJ21</f>
        <v/>
      </c>
      <c r="BK23" s="35">
        <f>BK22+BK21</f>
        <v/>
      </c>
      <c r="BL23" s="35">
        <f>BL22+BL21</f>
        <v/>
      </c>
      <c r="BM23" s="35">
        <f>BM22+BM21</f>
        <v/>
      </c>
      <c r="BN23" s="35">
        <f>BN22+BN21</f>
        <v/>
      </c>
      <c r="BO23" s="35">
        <f>BO22+BO21</f>
        <v/>
      </c>
      <c r="BP23" s="35">
        <f>BP22+BP21</f>
        <v/>
      </c>
      <c r="BQ23" s="35">
        <f>BQ22+BQ21</f>
        <v/>
      </c>
      <c r="BR23" s="35">
        <f>BR22+BR21</f>
        <v/>
      </c>
      <c r="BS23" s="35">
        <f>BS22+BS21</f>
        <v/>
      </c>
      <c r="BT23" s="35">
        <f>BT22+BT21</f>
        <v/>
      </c>
      <c r="BU23" s="35">
        <f>BU22+BU21</f>
        <v/>
      </c>
      <c r="BV23" s="35">
        <f>BV22+BV21</f>
        <v/>
      </c>
      <c r="BW23" s="35">
        <f>BW22+BW21</f>
        <v/>
      </c>
      <c r="BX23" s="35">
        <f>BX22+BX21</f>
        <v/>
      </c>
      <c r="BY23" s="35">
        <f>BY22+BY21</f>
        <v/>
      </c>
      <c r="BZ23" s="35">
        <f>BZ22+BZ21</f>
        <v/>
      </c>
      <c r="CA23" s="35">
        <f>CA22+CA21</f>
        <v/>
      </c>
      <c r="CB23" s="35">
        <f>CB22+CB21</f>
        <v/>
      </c>
      <c r="CC23" s="35">
        <f>CC22+CC21</f>
        <v/>
      </c>
      <c r="CD23" s="35">
        <f>CD22+CD21</f>
        <v/>
      </c>
      <c r="CE23" s="35">
        <f>CE22+CE21</f>
        <v/>
      </c>
      <c r="CF23" s="35">
        <f>CF22+CF21</f>
        <v/>
      </c>
      <c r="CG23" s="35">
        <f>CG22+CG21</f>
        <v/>
      </c>
      <c r="CH23" s="35">
        <f>CH22+CH21</f>
        <v/>
      </c>
      <c r="CI23" s="35">
        <f>CI22+CI21</f>
        <v/>
      </c>
      <c r="CJ23" s="35">
        <f>CJ22+CJ21</f>
        <v/>
      </c>
      <c r="CK23" s="35">
        <f>CK22+CK21</f>
        <v/>
      </c>
      <c r="CL23" s="35">
        <f>CL22+CL21</f>
        <v/>
      </c>
      <c r="CM23" s="35">
        <f>CM22+CM21</f>
        <v/>
      </c>
      <c r="CN23" s="35">
        <f>CN22+CN21</f>
        <v/>
      </c>
      <c r="CO23" s="35">
        <f>CO22+CO21</f>
        <v/>
      </c>
      <c r="CP23" s="35">
        <f>CP22+CP21</f>
        <v/>
      </c>
      <c r="CQ23" s="35">
        <f>CQ22+CQ21</f>
        <v/>
      </c>
      <c r="CR23" s="35">
        <f>CR22+CR21</f>
        <v/>
      </c>
      <c r="CS23" s="35">
        <f>CS22+CS21</f>
        <v/>
      </c>
      <c r="CT23" s="35">
        <f>CT22+CT21</f>
        <v/>
      </c>
      <c r="CU23" s="35">
        <f>CU22+CU21</f>
        <v/>
      </c>
      <c r="CV23" s="35">
        <f>CV22+CV21</f>
        <v/>
      </c>
      <c r="CW23" s="35">
        <f>CW22+CW21</f>
        <v/>
      </c>
      <c r="CX23" s="35">
        <f>CX22+CX21</f>
        <v/>
      </c>
      <c r="CY23" s="35">
        <f>CY22+CY21</f>
        <v/>
      </c>
      <c r="CZ23" s="35">
        <f>CZ22+CZ21</f>
        <v/>
      </c>
      <c r="DA23" s="35">
        <f>DA22+DA21</f>
        <v/>
      </c>
      <c r="DB23" s="35">
        <f>DB22+DB21</f>
        <v/>
      </c>
      <c r="DC23" s="35">
        <f>DC22+DC21</f>
        <v/>
      </c>
      <c r="DD23" s="35">
        <f>DD22+DD21</f>
        <v/>
      </c>
      <c r="DE23" s="35">
        <f>DE22+DE21</f>
        <v/>
      </c>
      <c r="DF23" s="35">
        <f>DF22+DF21</f>
        <v/>
      </c>
      <c r="DG23" s="35">
        <f>DG22+DG21</f>
        <v/>
      </c>
      <c r="DH23" s="35">
        <f>DH22+DH21</f>
        <v/>
      </c>
      <c r="DI23" s="35">
        <f>DI22+DI21</f>
        <v/>
      </c>
      <c r="DJ23" s="35">
        <f>DJ22+DJ21</f>
        <v/>
      </c>
      <c r="DK23" s="35">
        <f>DK22+DK21</f>
        <v/>
      </c>
      <c r="DL23" s="35">
        <f>DL22+DL21</f>
        <v/>
      </c>
      <c r="DM23" s="35">
        <f>DM22+DM21</f>
        <v/>
      </c>
      <c r="DN23" s="35">
        <f>DN22+DN21</f>
        <v/>
      </c>
      <c r="DO23" s="35">
        <f>DO22+DO21</f>
        <v/>
      </c>
      <c r="DP23" s="35">
        <f>DP22+DP21</f>
        <v/>
      </c>
      <c r="DQ23" s="35">
        <f>DQ22+DQ21</f>
        <v/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Q3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11" customWidth="1" min="92" max="92"/>
    <col width="11" customWidth="1" min="93" max="93"/>
    <col width="11" customWidth="1" min="94" max="94"/>
    <col width="11" customWidth="1" min="95" max="95"/>
    <col width="11" customWidth="1" min="96" max="96"/>
    <col width="11" customWidth="1" min="97" max="97"/>
    <col width="11" customWidth="1" min="98" max="98"/>
    <col width="11" customWidth="1" min="99" max="99"/>
    <col width="11" customWidth="1" min="100" max="100"/>
    <col width="11" customWidth="1" min="101" max="101"/>
    <col width="11" customWidth="1" min="102" max="102"/>
    <col width="11" customWidth="1" min="103" max="103"/>
    <col width="11" customWidth="1" min="104" max="104"/>
    <col width="11" customWidth="1" min="105" max="105"/>
    <col width="11" customWidth="1" min="106" max="106"/>
    <col width="11" customWidth="1" min="107" max="107"/>
    <col width="11" customWidth="1" min="108" max="108"/>
    <col width="11" customWidth="1" min="109" max="109"/>
    <col width="11" customWidth="1" min="110" max="110"/>
    <col width="11" customWidth="1" min="111" max="111"/>
    <col width="11" customWidth="1" min="112" max="112"/>
    <col width="11" customWidth="1" min="113" max="113"/>
    <col width="11" customWidth="1" min="114" max="114"/>
    <col width="11" customWidth="1" min="115" max="115"/>
    <col width="11" customWidth="1" min="116" max="116"/>
    <col width="11" customWidth="1" min="117" max="117"/>
    <col width="11" customWidth="1" min="118" max="118"/>
    <col width="11" customWidth="1" min="119" max="119"/>
    <col width="11" customWidth="1" min="120" max="120"/>
    <col width="11" customWidth="1" min="121" max="121"/>
  </cols>
  <sheetData>
    <row r="1">
      <c r="A1" s="2" t="inlineStr">
        <is>
          <t>BALANCE SHEET (AUD '000)</t>
        </is>
      </c>
    </row>
    <row r="3">
      <c r="A3" s="6" t="inlineStr">
        <is>
          <t>Line Item</t>
        </is>
      </c>
      <c r="B3" s="29">
        <f>TIMELINE!B7</f>
        <v/>
      </c>
      <c r="C3" s="29">
        <f>TIMELINE!C7</f>
        <v/>
      </c>
      <c r="D3" s="29">
        <f>TIMELINE!D7</f>
        <v/>
      </c>
      <c r="E3" s="29">
        <f>TIMELINE!E7</f>
        <v/>
      </c>
      <c r="F3" s="29">
        <f>TIMELINE!F7</f>
        <v/>
      </c>
      <c r="G3" s="29">
        <f>TIMELINE!G7</f>
        <v/>
      </c>
      <c r="H3" s="29">
        <f>TIMELINE!H7</f>
        <v/>
      </c>
      <c r="I3" s="29">
        <f>TIMELINE!I7</f>
        <v/>
      </c>
      <c r="J3" s="29">
        <f>TIMELINE!J7</f>
        <v/>
      </c>
      <c r="K3" s="29">
        <f>TIMELINE!K7</f>
        <v/>
      </c>
      <c r="L3" s="29">
        <f>TIMELINE!L7</f>
        <v/>
      </c>
      <c r="M3" s="29">
        <f>TIMELINE!M7</f>
        <v/>
      </c>
      <c r="N3" s="29">
        <f>TIMELINE!N7</f>
        <v/>
      </c>
      <c r="O3" s="29">
        <f>TIMELINE!O7</f>
        <v/>
      </c>
      <c r="P3" s="29">
        <f>TIMELINE!P7</f>
        <v/>
      </c>
      <c r="Q3" s="29">
        <f>TIMELINE!Q7</f>
        <v/>
      </c>
      <c r="R3" s="29">
        <f>TIMELINE!R7</f>
        <v/>
      </c>
      <c r="S3" s="29">
        <f>TIMELINE!S7</f>
        <v/>
      </c>
      <c r="T3" s="29">
        <f>TIMELINE!T7</f>
        <v/>
      </c>
      <c r="U3" s="29">
        <f>TIMELINE!U7</f>
        <v/>
      </c>
      <c r="V3" s="29">
        <f>TIMELINE!V7</f>
        <v/>
      </c>
      <c r="W3" s="29">
        <f>TIMELINE!W7</f>
        <v/>
      </c>
      <c r="X3" s="29">
        <f>TIMELINE!X7</f>
        <v/>
      </c>
      <c r="Y3" s="29">
        <f>TIMELINE!Y7</f>
        <v/>
      </c>
      <c r="Z3" s="29">
        <f>TIMELINE!Z7</f>
        <v/>
      </c>
      <c r="AA3" s="29">
        <f>TIMELINE!AA7</f>
        <v/>
      </c>
      <c r="AB3" s="29">
        <f>TIMELINE!AB7</f>
        <v/>
      </c>
      <c r="AC3" s="29">
        <f>TIMELINE!AC7</f>
        <v/>
      </c>
      <c r="AD3" s="29">
        <f>TIMELINE!AD7</f>
        <v/>
      </c>
      <c r="AE3" s="29">
        <f>TIMELINE!AE7</f>
        <v/>
      </c>
      <c r="AF3" s="29">
        <f>TIMELINE!AF7</f>
        <v/>
      </c>
      <c r="AG3" s="29">
        <f>TIMELINE!AG7</f>
        <v/>
      </c>
      <c r="AH3" s="29">
        <f>TIMELINE!AH7</f>
        <v/>
      </c>
      <c r="AI3" s="29">
        <f>TIMELINE!AI7</f>
        <v/>
      </c>
      <c r="AJ3" s="29">
        <f>TIMELINE!AJ7</f>
        <v/>
      </c>
      <c r="AK3" s="29">
        <f>TIMELINE!AK7</f>
        <v/>
      </c>
      <c r="AL3" s="29">
        <f>TIMELINE!AL7</f>
        <v/>
      </c>
      <c r="AM3" s="29">
        <f>TIMELINE!AM7</f>
        <v/>
      </c>
      <c r="AN3" s="29">
        <f>TIMELINE!AN7</f>
        <v/>
      </c>
      <c r="AO3" s="29">
        <f>TIMELINE!AO7</f>
        <v/>
      </c>
      <c r="AP3" s="29">
        <f>TIMELINE!AP7</f>
        <v/>
      </c>
      <c r="AQ3" s="29">
        <f>TIMELINE!AQ7</f>
        <v/>
      </c>
      <c r="AR3" s="29">
        <f>TIMELINE!AR7</f>
        <v/>
      </c>
      <c r="AS3" s="29">
        <f>TIMELINE!AS7</f>
        <v/>
      </c>
      <c r="AT3" s="29">
        <f>TIMELINE!AT7</f>
        <v/>
      </c>
      <c r="AU3" s="29">
        <f>TIMELINE!AU7</f>
        <v/>
      </c>
      <c r="AV3" s="29">
        <f>TIMELINE!AV7</f>
        <v/>
      </c>
      <c r="AW3" s="29">
        <f>TIMELINE!AW7</f>
        <v/>
      </c>
      <c r="AX3" s="29">
        <f>TIMELINE!AX7</f>
        <v/>
      </c>
      <c r="AY3" s="29">
        <f>TIMELINE!AY7</f>
        <v/>
      </c>
      <c r="AZ3" s="29">
        <f>TIMELINE!AZ7</f>
        <v/>
      </c>
      <c r="BA3" s="29">
        <f>TIMELINE!BA7</f>
        <v/>
      </c>
      <c r="BB3" s="29">
        <f>TIMELINE!BB7</f>
        <v/>
      </c>
      <c r="BC3" s="29">
        <f>TIMELINE!BC7</f>
        <v/>
      </c>
      <c r="BD3" s="29">
        <f>TIMELINE!BD7</f>
        <v/>
      </c>
      <c r="BE3" s="29">
        <f>TIMELINE!BE7</f>
        <v/>
      </c>
      <c r="BF3" s="29">
        <f>TIMELINE!BF7</f>
        <v/>
      </c>
      <c r="BG3" s="29">
        <f>TIMELINE!BG7</f>
        <v/>
      </c>
      <c r="BH3" s="29">
        <f>TIMELINE!BH7</f>
        <v/>
      </c>
      <c r="BI3" s="29">
        <f>TIMELINE!BI7</f>
        <v/>
      </c>
      <c r="BJ3" s="29">
        <f>TIMELINE!BJ7</f>
        <v/>
      </c>
      <c r="BK3" s="29">
        <f>TIMELINE!BK7</f>
        <v/>
      </c>
      <c r="BL3" s="29">
        <f>TIMELINE!BL7</f>
        <v/>
      </c>
      <c r="BM3" s="29">
        <f>TIMELINE!BM7</f>
        <v/>
      </c>
      <c r="BN3" s="29">
        <f>TIMELINE!BN7</f>
        <v/>
      </c>
      <c r="BO3" s="29">
        <f>TIMELINE!BO7</f>
        <v/>
      </c>
      <c r="BP3" s="29">
        <f>TIMELINE!BP7</f>
        <v/>
      </c>
      <c r="BQ3" s="29">
        <f>TIMELINE!BQ7</f>
        <v/>
      </c>
      <c r="BR3" s="29">
        <f>TIMELINE!BR7</f>
        <v/>
      </c>
      <c r="BS3" s="29">
        <f>TIMELINE!BS7</f>
        <v/>
      </c>
      <c r="BT3" s="29">
        <f>TIMELINE!BT7</f>
        <v/>
      </c>
      <c r="BU3" s="29">
        <f>TIMELINE!BU7</f>
        <v/>
      </c>
      <c r="BV3" s="29">
        <f>TIMELINE!BV7</f>
        <v/>
      </c>
      <c r="BW3" s="29">
        <f>TIMELINE!BW7</f>
        <v/>
      </c>
      <c r="BX3" s="29">
        <f>TIMELINE!BX7</f>
        <v/>
      </c>
      <c r="BY3" s="29">
        <f>TIMELINE!BY7</f>
        <v/>
      </c>
      <c r="BZ3" s="29">
        <f>TIMELINE!BZ7</f>
        <v/>
      </c>
      <c r="CA3" s="29">
        <f>TIMELINE!CA7</f>
        <v/>
      </c>
      <c r="CB3" s="29">
        <f>TIMELINE!CB7</f>
        <v/>
      </c>
      <c r="CC3" s="29">
        <f>TIMELINE!CC7</f>
        <v/>
      </c>
      <c r="CD3" s="29">
        <f>TIMELINE!CD7</f>
        <v/>
      </c>
      <c r="CE3" s="29">
        <f>TIMELINE!CE7</f>
        <v/>
      </c>
      <c r="CF3" s="29">
        <f>TIMELINE!CF7</f>
        <v/>
      </c>
      <c r="CG3" s="29">
        <f>TIMELINE!CG7</f>
        <v/>
      </c>
      <c r="CH3" s="29">
        <f>TIMELINE!CH7</f>
        <v/>
      </c>
      <c r="CI3" s="29">
        <f>TIMELINE!CI7</f>
        <v/>
      </c>
      <c r="CJ3" s="29">
        <f>TIMELINE!CJ7</f>
        <v/>
      </c>
      <c r="CK3" s="29">
        <f>TIMELINE!CK7</f>
        <v/>
      </c>
      <c r="CL3" s="29">
        <f>TIMELINE!CL7</f>
        <v/>
      </c>
      <c r="CM3" s="29">
        <f>TIMELINE!CM7</f>
        <v/>
      </c>
      <c r="CN3" s="29">
        <f>TIMELINE!CN7</f>
        <v/>
      </c>
      <c r="CO3" s="29">
        <f>TIMELINE!CO7</f>
        <v/>
      </c>
      <c r="CP3" s="29">
        <f>TIMELINE!CP7</f>
        <v/>
      </c>
      <c r="CQ3" s="29">
        <f>TIMELINE!CQ7</f>
        <v/>
      </c>
      <c r="CR3" s="29">
        <f>TIMELINE!CR7</f>
        <v/>
      </c>
      <c r="CS3" s="29">
        <f>TIMELINE!CS7</f>
        <v/>
      </c>
      <c r="CT3" s="29">
        <f>TIMELINE!CT7</f>
        <v/>
      </c>
      <c r="CU3" s="29">
        <f>TIMELINE!CU7</f>
        <v/>
      </c>
      <c r="CV3" s="29">
        <f>TIMELINE!CV7</f>
        <v/>
      </c>
      <c r="CW3" s="29">
        <f>TIMELINE!CW7</f>
        <v/>
      </c>
      <c r="CX3" s="29">
        <f>TIMELINE!CX7</f>
        <v/>
      </c>
      <c r="CY3" s="29">
        <f>TIMELINE!CY7</f>
        <v/>
      </c>
      <c r="CZ3" s="29">
        <f>TIMELINE!CZ7</f>
        <v/>
      </c>
      <c r="DA3" s="29">
        <f>TIMELINE!DA7</f>
        <v/>
      </c>
      <c r="DB3" s="29">
        <f>TIMELINE!DB7</f>
        <v/>
      </c>
      <c r="DC3" s="29">
        <f>TIMELINE!DC7</f>
        <v/>
      </c>
      <c r="DD3" s="29">
        <f>TIMELINE!DD7</f>
        <v/>
      </c>
      <c r="DE3" s="29">
        <f>TIMELINE!DE7</f>
        <v/>
      </c>
      <c r="DF3" s="29">
        <f>TIMELINE!DF7</f>
        <v/>
      </c>
      <c r="DG3" s="29">
        <f>TIMELINE!DG7</f>
        <v/>
      </c>
      <c r="DH3" s="29">
        <f>TIMELINE!DH7</f>
        <v/>
      </c>
      <c r="DI3" s="29">
        <f>TIMELINE!DI7</f>
        <v/>
      </c>
      <c r="DJ3" s="29">
        <f>TIMELINE!DJ7</f>
        <v/>
      </c>
      <c r="DK3" s="29">
        <f>TIMELINE!DK7</f>
        <v/>
      </c>
      <c r="DL3" s="29">
        <f>TIMELINE!DL7</f>
        <v/>
      </c>
      <c r="DM3" s="29">
        <f>TIMELINE!DM7</f>
        <v/>
      </c>
      <c r="DN3" s="29">
        <f>TIMELINE!DN7</f>
        <v/>
      </c>
      <c r="DO3" s="29">
        <f>TIMELINE!DO7</f>
        <v/>
      </c>
      <c r="DP3" s="29">
        <f>TIMELINE!DP7</f>
        <v/>
      </c>
      <c r="DQ3" s="29">
        <f>TIMELINE!DQ7</f>
        <v/>
      </c>
    </row>
    <row r="4">
      <c r="A4" t="inlineStr">
        <is>
          <t>ASSETS</t>
        </is>
      </c>
    </row>
    <row r="5">
      <c r="A5" t="inlineStr">
        <is>
          <t>Current Assets</t>
        </is>
      </c>
    </row>
    <row r="6">
      <c r="A6" t="inlineStr">
        <is>
          <t xml:space="preserve">  Cash</t>
        </is>
      </c>
      <c r="B6" s="34">
        <f>CF!B24</f>
        <v/>
      </c>
      <c r="C6" s="34">
        <f>CF!C24</f>
        <v/>
      </c>
      <c r="D6" s="34">
        <f>CF!D24</f>
        <v/>
      </c>
      <c r="E6" s="34">
        <f>CF!E24</f>
        <v/>
      </c>
      <c r="F6" s="34">
        <f>CF!F24</f>
        <v/>
      </c>
      <c r="G6" s="34">
        <f>CF!G24</f>
        <v/>
      </c>
      <c r="H6" s="34">
        <f>CF!H24</f>
        <v/>
      </c>
      <c r="I6" s="34">
        <f>CF!I24</f>
        <v/>
      </c>
      <c r="J6" s="34">
        <f>CF!J24</f>
        <v/>
      </c>
      <c r="K6" s="34">
        <f>CF!K24</f>
        <v/>
      </c>
      <c r="L6" s="34">
        <f>CF!L24</f>
        <v/>
      </c>
      <c r="M6" s="34">
        <f>CF!M24</f>
        <v/>
      </c>
      <c r="N6" s="34">
        <f>CF!N24</f>
        <v/>
      </c>
      <c r="O6" s="34">
        <f>CF!O24</f>
        <v/>
      </c>
      <c r="P6" s="34">
        <f>CF!P24</f>
        <v/>
      </c>
      <c r="Q6" s="34">
        <f>CF!Q24</f>
        <v/>
      </c>
      <c r="R6" s="34">
        <f>CF!R24</f>
        <v/>
      </c>
      <c r="S6" s="34">
        <f>CF!S24</f>
        <v/>
      </c>
      <c r="T6" s="34">
        <f>CF!T24</f>
        <v/>
      </c>
      <c r="U6" s="34">
        <f>CF!U24</f>
        <v/>
      </c>
      <c r="V6" s="34">
        <f>CF!V24</f>
        <v/>
      </c>
      <c r="W6" s="34">
        <f>CF!W24</f>
        <v/>
      </c>
      <c r="X6" s="34">
        <f>CF!X24</f>
        <v/>
      </c>
      <c r="Y6" s="34">
        <f>CF!Y24</f>
        <v/>
      </c>
      <c r="Z6" s="34">
        <f>CF!Z24</f>
        <v/>
      </c>
      <c r="AA6" s="34">
        <f>CF!AA24</f>
        <v/>
      </c>
      <c r="AB6" s="34">
        <f>CF!AB24</f>
        <v/>
      </c>
      <c r="AC6" s="34">
        <f>CF!AC24</f>
        <v/>
      </c>
      <c r="AD6" s="34">
        <f>CF!AD24</f>
        <v/>
      </c>
      <c r="AE6" s="34">
        <f>CF!AE24</f>
        <v/>
      </c>
      <c r="AF6" s="34">
        <f>CF!AF24</f>
        <v/>
      </c>
      <c r="AG6" s="34">
        <f>CF!AG24</f>
        <v/>
      </c>
      <c r="AH6" s="34">
        <f>CF!AH24</f>
        <v/>
      </c>
      <c r="AI6" s="34">
        <f>CF!AI24</f>
        <v/>
      </c>
      <c r="AJ6" s="34">
        <f>CF!AJ24</f>
        <v/>
      </c>
      <c r="AK6" s="34">
        <f>CF!AK24</f>
        <v/>
      </c>
      <c r="AL6" s="34">
        <f>CF!AL24</f>
        <v/>
      </c>
      <c r="AM6" s="34">
        <f>CF!AM24</f>
        <v/>
      </c>
      <c r="AN6" s="34">
        <f>CF!AN24</f>
        <v/>
      </c>
      <c r="AO6" s="34">
        <f>CF!AO24</f>
        <v/>
      </c>
      <c r="AP6" s="34">
        <f>CF!AP24</f>
        <v/>
      </c>
      <c r="AQ6" s="34">
        <f>CF!AQ24</f>
        <v/>
      </c>
      <c r="AR6" s="34">
        <f>CF!AR24</f>
        <v/>
      </c>
      <c r="AS6" s="34">
        <f>CF!AS24</f>
        <v/>
      </c>
      <c r="AT6" s="34">
        <f>CF!AT24</f>
        <v/>
      </c>
      <c r="AU6" s="34">
        <f>CF!AU24</f>
        <v/>
      </c>
      <c r="AV6" s="34">
        <f>CF!AV24</f>
        <v/>
      </c>
      <c r="AW6" s="34">
        <f>CF!AW24</f>
        <v/>
      </c>
      <c r="AX6" s="34">
        <f>CF!AX24</f>
        <v/>
      </c>
      <c r="AY6" s="34">
        <f>CF!AY24</f>
        <v/>
      </c>
      <c r="AZ6" s="34">
        <f>CF!AZ24</f>
        <v/>
      </c>
      <c r="BA6" s="34">
        <f>CF!BA24</f>
        <v/>
      </c>
      <c r="BB6" s="34">
        <f>CF!BB24</f>
        <v/>
      </c>
      <c r="BC6" s="34">
        <f>CF!BC24</f>
        <v/>
      </c>
      <c r="BD6" s="34">
        <f>CF!BD24</f>
        <v/>
      </c>
      <c r="BE6" s="34">
        <f>CF!BE24</f>
        <v/>
      </c>
      <c r="BF6" s="34">
        <f>CF!BF24</f>
        <v/>
      </c>
      <c r="BG6" s="34">
        <f>CF!BG24</f>
        <v/>
      </c>
      <c r="BH6" s="34">
        <f>CF!BH24</f>
        <v/>
      </c>
      <c r="BI6" s="34">
        <f>CF!BI24</f>
        <v/>
      </c>
      <c r="BJ6" s="34">
        <f>CF!BJ24</f>
        <v/>
      </c>
      <c r="BK6" s="34">
        <f>CF!BK24</f>
        <v/>
      </c>
      <c r="BL6" s="34">
        <f>CF!BL24</f>
        <v/>
      </c>
      <c r="BM6" s="34">
        <f>CF!BM24</f>
        <v/>
      </c>
      <c r="BN6" s="34">
        <f>CF!BN24</f>
        <v/>
      </c>
      <c r="BO6" s="34">
        <f>CF!BO24</f>
        <v/>
      </c>
      <c r="BP6" s="34">
        <f>CF!BP24</f>
        <v/>
      </c>
      <c r="BQ6" s="34">
        <f>CF!BQ24</f>
        <v/>
      </c>
      <c r="BR6" s="34">
        <f>CF!BR24</f>
        <v/>
      </c>
      <c r="BS6" s="34">
        <f>CF!BS24</f>
        <v/>
      </c>
      <c r="BT6" s="34">
        <f>CF!BT24</f>
        <v/>
      </c>
      <c r="BU6" s="34">
        <f>CF!BU24</f>
        <v/>
      </c>
      <c r="BV6" s="34">
        <f>CF!BV24</f>
        <v/>
      </c>
      <c r="BW6" s="34">
        <f>CF!BW24</f>
        <v/>
      </c>
      <c r="BX6" s="34">
        <f>CF!BX24</f>
        <v/>
      </c>
      <c r="BY6" s="34">
        <f>CF!BY24</f>
        <v/>
      </c>
      <c r="BZ6" s="34">
        <f>CF!BZ24</f>
        <v/>
      </c>
      <c r="CA6" s="34">
        <f>CF!CA24</f>
        <v/>
      </c>
      <c r="CB6" s="34">
        <f>CF!CB24</f>
        <v/>
      </c>
      <c r="CC6" s="34">
        <f>CF!CC24</f>
        <v/>
      </c>
      <c r="CD6" s="34">
        <f>CF!CD24</f>
        <v/>
      </c>
      <c r="CE6" s="34">
        <f>CF!CE24</f>
        <v/>
      </c>
      <c r="CF6" s="34">
        <f>CF!CF24</f>
        <v/>
      </c>
      <c r="CG6" s="34">
        <f>CF!CG24</f>
        <v/>
      </c>
      <c r="CH6" s="34">
        <f>CF!CH24</f>
        <v/>
      </c>
      <c r="CI6" s="34">
        <f>CF!CI24</f>
        <v/>
      </c>
      <c r="CJ6" s="34">
        <f>CF!CJ24</f>
        <v/>
      </c>
      <c r="CK6" s="34">
        <f>CF!CK24</f>
        <v/>
      </c>
      <c r="CL6" s="34">
        <f>CF!CL24</f>
        <v/>
      </c>
      <c r="CM6" s="34">
        <f>CF!CM24</f>
        <v/>
      </c>
      <c r="CN6" s="34">
        <f>CF!CN24</f>
        <v/>
      </c>
      <c r="CO6" s="34">
        <f>CF!CO24</f>
        <v/>
      </c>
      <c r="CP6" s="34">
        <f>CF!CP24</f>
        <v/>
      </c>
      <c r="CQ6" s="34">
        <f>CF!CQ24</f>
        <v/>
      </c>
      <c r="CR6" s="34">
        <f>CF!CR24</f>
        <v/>
      </c>
      <c r="CS6" s="34">
        <f>CF!CS24</f>
        <v/>
      </c>
      <c r="CT6" s="34">
        <f>CF!CT24</f>
        <v/>
      </c>
      <c r="CU6" s="34">
        <f>CF!CU24</f>
        <v/>
      </c>
      <c r="CV6" s="34">
        <f>CF!CV24</f>
        <v/>
      </c>
      <c r="CW6" s="34">
        <f>CF!CW24</f>
        <v/>
      </c>
      <c r="CX6" s="34">
        <f>CF!CX24</f>
        <v/>
      </c>
      <c r="CY6" s="34">
        <f>CF!CY24</f>
        <v/>
      </c>
      <c r="CZ6" s="34">
        <f>CF!CZ24</f>
        <v/>
      </c>
      <c r="DA6" s="34">
        <f>CF!DA24</f>
        <v/>
      </c>
      <c r="DB6" s="34">
        <f>CF!DB24</f>
        <v/>
      </c>
      <c r="DC6" s="34">
        <f>CF!DC24</f>
        <v/>
      </c>
      <c r="DD6" s="34">
        <f>CF!DD24</f>
        <v/>
      </c>
      <c r="DE6" s="34">
        <f>CF!DE24</f>
        <v/>
      </c>
      <c r="DF6" s="34">
        <f>CF!DF24</f>
        <v/>
      </c>
      <c r="DG6" s="34">
        <f>CF!DG24</f>
        <v/>
      </c>
      <c r="DH6" s="34">
        <f>CF!DH24</f>
        <v/>
      </c>
      <c r="DI6" s="34">
        <f>CF!DI24</f>
        <v/>
      </c>
      <c r="DJ6" s="34">
        <f>CF!DJ24</f>
        <v/>
      </c>
      <c r="DK6" s="34">
        <f>CF!DK24</f>
        <v/>
      </c>
      <c r="DL6" s="34">
        <f>CF!DL24</f>
        <v/>
      </c>
      <c r="DM6" s="34">
        <f>CF!DM24</f>
        <v/>
      </c>
      <c r="DN6" s="34">
        <f>CF!DN24</f>
        <v/>
      </c>
      <c r="DO6" s="34">
        <f>CF!DO24</f>
        <v/>
      </c>
      <c r="DP6" s="34">
        <f>CF!DP24</f>
        <v/>
      </c>
      <c r="DQ6" s="34">
        <f>CF!DQ24</f>
        <v/>
      </c>
    </row>
    <row r="7">
      <c r="A7" t="inlineStr">
        <is>
          <t xml:space="preserve">  Trade Receivables</t>
        </is>
      </c>
      <c r="B7" s="34">
        <f>Revenue!B9*1.3</f>
        <v/>
      </c>
      <c r="C7" s="34">
        <f>Revenue!C9*1.3</f>
        <v/>
      </c>
      <c r="D7" s="34">
        <f>Revenue!D9*1.3</f>
        <v/>
      </c>
      <c r="E7" s="34">
        <f>Revenue!E9*1.3</f>
        <v/>
      </c>
      <c r="F7" s="34">
        <f>Revenue!F9*1.3</f>
        <v/>
      </c>
      <c r="G7" s="34">
        <f>Revenue!G9*1.3</f>
        <v/>
      </c>
      <c r="H7" s="34">
        <f>Revenue!H9*1.3</f>
        <v/>
      </c>
      <c r="I7" s="34">
        <f>Revenue!I9*1.3</f>
        <v/>
      </c>
      <c r="J7" s="34">
        <f>Revenue!J9*1.3</f>
        <v/>
      </c>
      <c r="K7" s="34">
        <f>Revenue!K9*1.3</f>
        <v/>
      </c>
      <c r="L7" s="34">
        <f>Revenue!L9*1.3</f>
        <v/>
      </c>
      <c r="M7" s="34">
        <f>Revenue!M9*1.3</f>
        <v/>
      </c>
      <c r="N7" s="34">
        <f>Revenue!N9*1.3</f>
        <v/>
      </c>
      <c r="O7" s="34">
        <f>Revenue!O9*1.3</f>
        <v/>
      </c>
      <c r="P7" s="34">
        <f>Revenue!P9*1.3</f>
        <v/>
      </c>
      <c r="Q7" s="34">
        <f>Revenue!Q9*1.3</f>
        <v/>
      </c>
      <c r="R7" s="34">
        <f>Revenue!R9*1.3</f>
        <v/>
      </c>
      <c r="S7" s="34">
        <f>Revenue!S9*1.3</f>
        <v/>
      </c>
      <c r="T7" s="34">
        <f>Revenue!T9*1.3</f>
        <v/>
      </c>
      <c r="U7" s="34">
        <f>Revenue!U9*1.3</f>
        <v/>
      </c>
      <c r="V7" s="34">
        <f>Revenue!V9*1.3</f>
        <v/>
      </c>
      <c r="W7" s="34">
        <f>Revenue!W9*1.3</f>
        <v/>
      </c>
      <c r="X7" s="34">
        <f>Revenue!X9*1.3</f>
        <v/>
      </c>
      <c r="Y7" s="34">
        <f>Revenue!Y9*1.3</f>
        <v/>
      </c>
      <c r="Z7" s="34">
        <f>Revenue!Z9*1.3</f>
        <v/>
      </c>
      <c r="AA7" s="34">
        <f>Revenue!AA9*1.3</f>
        <v/>
      </c>
      <c r="AB7" s="34">
        <f>Revenue!AB9*1.3</f>
        <v/>
      </c>
      <c r="AC7" s="34">
        <f>Revenue!AC9*1.3</f>
        <v/>
      </c>
      <c r="AD7" s="34">
        <f>Revenue!AD9*1.3</f>
        <v/>
      </c>
      <c r="AE7" s="34">
        <f>Revenue!AE9*1.3</f>
        <v/>
      </c>
      <c r="AF7" s="34">
        <f>Revenue!AF9*1.3</f>
        <v/>
      </c>
      <c r="AG7" s="34">
        <f>Revenue!AG9*1.3</f>
        <v/>
      </c>
      <c r="AH7" s="34">
        <f>Revenue!AH9*1.3</f>
        <v/>
      </c>
      <c r="AI7" s="34">
        <f>Revenue!AI9*1.3</f>
        <v/>
      </c>
      <c r="AJ7" s="34">
        <f>Revenue!AJ9*1.3</f>
        <v/>
      </c>
      <c r="AK7" s="34">
        <f>Revenue!AK9*1.3</f>
        <v/>
      </c>
      <c r="AL7" s="34">
        <f>Revenue!AL9*1.3</f>
        <v/>
      </c>
      <c r="AM7" s="34">
        <f>Revenue!AM9*1.3</f>
        <v/>
      </c>
      <c r="AN7" s="34">
        <f>Revenue!AN9*1.3</f>
        <v/>
      </c>
      <c r="AO7" s="34">
        <f>Revenue!AO9*1.3</f>
        <v/>
      </c>
      <c r="AP7" s="34">
        <f>Revenue!AP9*1.3</f>
        <v/>
      </c>
      <c r="AQ7" s="34">
        <f>Revenue!AQ9*1.3</f>
        <v/>
      </c>
      <c r="AR7" s="34">
        <f>Revenue!AR9*1.3</f>
        <v/>
      </c>
      <c r="AS7" s="34">
        <f>Revenue!AS9*1.3</f>
        <v/>
      </c>
      <c r="AT7" s="34">
        <f>Revenue!AT9*1.3</f>
        <v/>
      </c>
      <c r="AU7" s="34">
        <f>Revenue!AU9*1.3</f>
        <v/>
      </c>
      <c r="AV7" s="34">
        <f>Revenue!AV9*1.3</f>
        <v/>
      </c>
      <c r="AW7" s="34">
        <f>Revenue!AW9*1.3</f>
        <v/>
      </c>
      <c r="AX7" s="34">
        <f>Revenue!AX9*1.3</f>
        <v/>
      </c>
      <c r="AY7" s="34">
        <f>Revenue!AY9*1.3</f>
        <v/>
      </c>
      <c r="AZ7" s="34">
        <f>Revenue!AZ9*1.3</f>
        <v/>
      </c>
      <c r="BA7" s="34">
        <f>Revenue!BA9*1.3</f>
        <v/>
      </c>
      <c r="BB7" s="34">
        <f>Revenue!BB9*1.3</f>
        <v/>
      </c>
      <c r="BC7" s="34">
        <f>Revenue!BC9*1.3</f>
        <v/>
      </c>
      <c r="BD7" s="34">
        <f>Revenue!BD9*1.3</f>
        <v/>
      </c>
      <c r="BE7" s="34">
        <f>Revenue!BE9*1.3</f>
        <v/>
      </c>
      <c r="BF7" s="34">
        <f>Revenue!BF9*1.3</f>
        <v/>
      </c>
      <c r="BG7" s="34">
        <f>Revenue!BG9*1.3</f>
        <v/>
      </c>
      <c r="BH7" s="34">
        <f>Revenue!BH9*1.3</f>
        <v/>
      </c>
      <c r="BI7" s="34">
        <f>Revenue!BI9*1.3</f>
        <v/>
      </c>
      <c r="BJ7" s="34">
        <f>Revenue!BJ9*1.3</f>
        <v/>
      </c>
      <c r="BK7" s="34">
        <f>Revenue!BK9*1.3</f>
        <v/>
      </c>
      <c r="BL7" s="34">
        <f>Revenue!BL9*1.3</f>
        <v/>
      </c>
      <c r="BM7" s="34">
        <f>Revenue!BM9*1.3</f>
        <v/>
      </c>
      <c r="BN7" s="34">
        <f>Revenue!BN9*1.3</f>
        <v/>
      </c>
      <c r="BO7" s="34">
        <f>Revenue!BO9*1.3</f>
        <v/>
      </c>
      <c r="BP7" s="34">
        <f>Revenue!BP9*1.3</f>
        <v/>
      </c>
      <c r="BQ7" s="34">
        <f>Revenue!BQ9*1.3</f>
        <v/>
      </c>
      <c r="BR7" s="34">
        <f>Revenue!BR9*1.3</f>
        <v/>
      </c>
      <c r="BS7" s="34">
        <f>Revenue!BS9*1.3</f>
        <v/>
      </c>
      <c r="BT7" s="34">
        <f>Revenue!BT9*1.3</f>
        <v/>
      </c>
      <c r="BU7" s="34">
        <f>Revenue!BU9*1.3</f>
        <v/>
      </c>
      <c r="BV7" s="34">
        <f>Revenue!BV9*1.3</f>
        <v/>
      </c>
      <c r="BW7" s="34">
        <f>Revenue!BW9*1.3</f>
        <v/>
      </c>
      <c r="BX7" s="34">
        <f>Revenue!BX9*1.3</f>
        <v/>
      </c>
      <c r="BY7" s="34">
        <f>Revenue!BY9*1.3</f>
        <v/>
      </c>
      <c r="BZ7" s="34">
        <f>Revenue!BZ9*1.3</f>
        <v/>
      </c>
      <c r="CA7" s="34">
        <f>Revenue!CA9*1.3</f>
        <v/>
      </c>
      <c r="CB7" s="34">
        <f>Revenue!CB9*1.3</f>
        <v/>
      </c>
      <c r="CC7" s="34">
        <f>Revenue!CC9*1.3</f>
        <v/>
      </c>
      <c r="CD7" s="34">
        <f>Revenue!CD9*1.3</f>
        <v/>
      </c>
      <c r="CE7" s="34">
        <f>Revenue!CE9*1.3</f>
        <v/>
      </c>
      <c r="CF7" s="34">
        <f>Revenue!CF9*1.3</f>
        <v/>
      </c>
      <c r="CG7" s="34">
        <f>Revenue!CG9*1.3</f>
        <v/>
      </c>
      <c r="CH7" s="34">
        <f>Revenue!CH9*1.3</f>
        <v/>
      </c>
      <c r="CI7" s="34">
        <f>Revenue!CI9*1.3</f>
        <v/>
      </c>
      <c r="CJ7" s="34">
        <f>Revenue!CJ9*1.3</f>
        <v/>
      </c>
      <c r="CK7" s="34">
        <f>Revenue!CK9*1.3</f>
        <v/>
      </c>
      <c r="CL7" s="34">
        <f>Revenue!CL9*1.3</f>
        <v/>
      </c>
      <c r="CM7" s="34">
        <f>Revenue!CM9*1.3</f>
        <v/>
      </c>
      <c r="CN7" s="34">
        <f>Revenue!CN9*1.3</f>
        <v/>
      </c>
      <c r="CO7" s="34">
        <f>Revenue!CO9*1.3</f>
        <v/>
      </c>
      <c r="CP7" s="34">
        <f>Revenue!CP9*1.3</f>
        <v/>
      </c>
      <c r="CQ7" s="34">
        <f>Revenue!CQ9*1.3</f>
        <v/>
      </c>
      <c r="CR7" s="34">
        <f>Revenue!CR9*1.3</f>
        <v/>
      </c>
      <c r="CS7" s="34">
        <f>Revenue!CS9*1.3</f>
        <v/>
      </c>
      <c r="CT7" s="34">
        <f>Revenue!CT9*1.3</f>
        <v/>
      </c>
      <c r="CU7" s="34">
        <f>Revenue!CU9*1.3</f>
        <v/>
      </c>
      <c r="CV7" s="34">
        <f>Revenue!CV9*1.3</f>
        <v/>
      </c>
      <c r="CW7" s="34">
        <f>Revenue!CW9*1.3</f>
        <v/>
      </c>
      <c r="CX7" s="34">
        <f>Revenue!CX9*1.3</f>
        <v/>
      </c>
      <c r="CY7" s="34">
        <f>Revenue!CY9*1.3</f>
        <v/>
      </c>
      <c r="CZ7" s="34">
        <f>Revenue!CZ9*1.3</f>
        <v/>
      </c>
      <c r="DA7" s="34">
        <f>Revenue!DA9*1.3</f>
        <v/>
      </c>
      <c r="DB7" s="34">
        <f>Revenue!DB9*1.3</f>
        <v/>
      </c>
      <c r="DC7" s="34">
        <f>Revenue!DC9*1.3</f>
        <v/>
      </c>
      <c r="DD7" s="34">
        <f>Revenue!DD9*1.3</f>
        <v/>
      </c>
      <c r="DE7" s="34">
        <f>Revenue!DE9*1.3</f>
        <v/>
      </c>
      <c r="DF7" s="34">
        <f>Revenue!DF9*1.3</f>
        <v/>
      </c>
      <c r="DG7" s="34">
        <f>Revenue!DG9*1.3</f>
        <v/>
      </c>
      <c r="DH7" s="34">
        <f>Revenue!DH9*1.3</f>
        <v/>
      </c>
      <c r="DI7" s="34">
        <f>Revenue!DI9*1.3</f>
        <v/>
      </c>
      <c r="DJ7" s="34">
        <f>Revenue!DJ9*1.3</f>
        <v/>
      </c>
      <c r="DK7" s="34">
        <f>Revenue!DK9*1.3</f>
        <v/>
      </c>
      <c r="DL7" s="34">
        <f>Revenue!DL9*1.3</f>
        <v/>
      </c>
      <c r="DM7" s="34">
        <f>Revenue!DM9*1.3</f>
        <v/>
      </c>
      <c r="DN7" s="34">
        <f>Revenue!DN9*1.3</f>
        <v/>
      </c>
      <c r="DO7" s="34">
        <f>Revenue!DO9*1.3</f>
        <v/>
      </c>
      <c r="DP7" s="34">
        <f>Revenue!DP9*1.3</f>
        <v/>
      </c>
      <c r="DQ7" s="34">
        <f>Revenue!DQ9*1.3</f>
        <v/>
      </c>
    </row>
    <row r="8">
      <c r="A8" t="inlineStr">
        <is>
          <t xml:space="preserve">  Inventory</t>
        </is>
      </c>
      <c r="B8" s="34">
        <f>COGS_Summary!B17*2.3</f>
        <v/>
      </c>
      <c r="C8" s="34">
        <f>COGS_Summary!C17*2.3</f>
        <v/>
      </c>
      <c r="D8" s="34">
        <f>COGS_Summary!D17*2.3</f>
        <v/>
      </c>
      <c r="E8" s="34">
        <f>COGS_Summary!E17*2.3</f>
        <v/>
      </c>
      <c r="F8" s="34">
        <f>COGS_Summary!F17*2.3</f>
        <v/>
      </c>
      <c r="G8" s="34">
        <f>COGS_Summary!G17*2.3</f>
        <v/>
      </c>
      <c r="H8" s="34">
        <f>COGS_Summary!H17*2.3</f>
        <v/>
      </c>
      <c r="I8" s="34">
        <f>COGS_Summary!I17*2.3</f>
        <v/>
      </c>
      <c r="J8" s="34">
        <f>COGS_Summary!J17*2.3</f>
        <v/>
      </c>
      <c r="K8" s="34">
        <f>COGS_Summary!K17*2.3</f>
        <v/>
      </c>
      <c r="L8" s="34">
        <f>COGS_Summary!L17*2.3</f>
        <v/>
      </c>
      <c r="M8" s="34">
        <f>COGS_Summary!M17*2.3</f>
        <v/>
      </c>
      <c r="N8" s="34">
        <f>COGS_Summary!N17*2.3</f>
        <v/>
      </c>
      <c r="O8" s="34">
        <f>COGS_Summary!O17*2.3</f>
        <v/>
      </c>
      <c r="P8" s="34">
        <f>COGS_Summary!P17*2.3</f>
        <v/>
      </c>
      <c r="Q8" s="34">
        <f>COGS_Summary!Q17*2.3</f>
        <v/>
      </c>
      <c r="R8" s="34">
        <f>COGS_Summary!R17*2.3</f>
        <v/>
      </c>
      <c r="S8" s="34">
        <f>COGS_Summary!S17*2.3</f>
        <v/>
      </c>
      <c r="T8" s="34">
        <f>COGS_Summary!T17*2.3</f>
        <v/>
      </c>
      <c r="U8" s="34">
        <f>COGS_Summary!U17*2.3</f>
        <v/>
      </c>
      <c r="V8" s="34">
        <f>COGS_Summary!V17*2.3</f>
        <v/>
      </c>
      <c r="W8" s="34">
        <f>COGS_Summary!W17*2.3</f>
        <v/>
      </c>
      <c r="X8" s="34">
        <f>COGS_Summary!X17*2.3</f>
        <v/>
      </c>
      <c r="Y8" s="34">
        <f>COGS_Summary!Y17*2.3</f>
        <v/>
      </c>
      <c r="Z8" s="34">
        <f>COGS_Summary!Z17*2.3</f>
        <v/>
      </c>
      <c r="AA8" s="34">
        <f>COGS_Summary!AA17*2.3</f>
        <v/>
      </c>
      <c r="AB8" s="34">
        <f>COGS_Summary!AB17*2.3</f>
        <v/>
      </c>
      <c r="AC8" s="34">
        <f>COGS_Summary!AC17*2.3</f>
        <v/>
      </c>
      <c r="AD8" s="34">
        <f>COGS_Summary!AD17*2.3</f>
        <v/>
      </c>
      <c r="AE8" s="34">
        <f>COGS_Summary!AE17*2.3</f>
        <v/>
      </c>
      <c r="AF8" s="34">
        <f>COGS_Summary!AF17*2.3</f>
        <v/>
      </c>
      <c r="AG8" s="34">
        <f>COGS_Summary!AG17*2.3</f>
        <v/>
      </c>
      <c r="AH8" s="34">
        <f>COGS_Summary!AH17*2.3</f>
        <v/>
      </c>
      <c r="AI8" s="34">
        <f>COGS_Summary!AI17*2.3</f>
        <v/>
      </c>
      <c r="AJ8" s="34">
        <f>COGS_Summary!AJ17*2.3</f>
        <v/>
      </c>
      <c r="AK8" s="34">
        <f>COGS_Summary!AK17*2.3</f>
        <v/>
      </c>
      <c r="AL8" s="34">
        <f>COGS_Summary!AL17*2.3</f>
        <v/>
      </c>
      <c r="AM8" s="34">
        <f>COGS_Summary!AM17*2.3</f>
        <v/>
      </c>
      <c r="AN8" s="34">
        <f>COGS_Summary!AN17*2.3</f>
        <v/>
      </c>
      <c r="AO8" s="34">
        <f>COGS_Summary!AO17*2.3</f>
        <v/>
      </c>
      <c r="AP8" s="34">
        <f>COGS_Summary!AP17*2.3</f>
        <v/>
      </c>
      <c r="AQ8" s="34">
        <f>COGS_Summary!AQ17*2.3</f>
        <v/>
      </c>
      <c r="AR8" s="34">
        <f>COGS_Summary!AR17*2.3</f>
        <v/>
      </c>
      <c r="AS8" s="34">
        <f>COGS_Summary!AS17*2.3</f>
        <v/>
      </c>
      <c r="AT8" s="34">
        <f>COGS_Summary!AT17*2.3</f>
        <v/>
      </c>
      <c r="AU8" s="34">
        <f>COGS_Summary!AU17*2.3</f>
        <v/>
      </c>
      <c r="AV8" s="34">
        <f>COGS_Summary!AV17*2.3</f>
        <v/>
      </c>
      <c r="AW8" s="34">
        <f>COGS_Summary!AW17*2.3</f>
        <v/>
      </c>
      <c r="AX8" s="34">
        <f>COGS_Summary!AX17*2.3</f>
        <v/>
      </c>
      <c r="AY8" s="34">
        <f>COGS_Summary!AY17*2.3</f>
        <v/>
      </c>
      <c r="AZ8" s="34">
        <f>COGS_Summary!AZ17*2.3</f>
        <v/>
      </c>
      <c r="BA8" s="34">
        <f>COGS_Summary!BA17*2.3</f>
        <v/>
      </c>
      <c r="BB8" s="34">
        <f>COGS_Summary!BB17*2.3</f>
        <v/>
      </c>
      <c r="BC8" s="34">
        <f>COGS_Summary!BC17*2.3</f>
        <v/>
      </c>
      <c r="BD8" s="34">
        <f>COGS_Summary!BD17*2.3</f>
        <v/>
      </c>
      <c r="BE8" s="34">
        <f>COGS_Summary!BE17*2.3</f>
        <v/>
      </c>
      <c r="BF8" s="34">
        <f>COGS_Summary!BF17*2.3</f>
        <v/>
      </c>
      <c r="BG8" s="34">
        <f>COGS_Summary!BG17*2.3</f>
        <v/>
      </c>
      <c r="BH8" s="34">
        <f>COGS_Summary!BH17*2.3</f>
        <v/>
      </c>
      <c r="BI8" s="34">
        <f>COGS_Summary!BI17*2.3</f>
        <v/>
      </c>
      <c r="BJ8" s="34">
        <f>COGS_Summary!BJ17*2.3</f>
        <v/>
      </c>
      <c r="BK8" s="34">
        <f>COGS_Summary!BK17*2.3</f>
        <v/>
      </c>
      <c r="BL8" s="34">
        <f>COGS_Summary!BL17*2.3</f>
        <v/>
      </c>
      <c r="BM8" s="34">
        <f>COGS_Summary!BM17*2.3</f>
        <v/>
      </c>
      <c r="BN8" s="34">
        <f>COGS_Summary!BN17*2.3</f>
        <v/>
      </c>
      <c r="BO8" s="34">
        <f>COGS_Summary!BO17*2.3</f>
        <v/>
      </c>
      <c r="BP8" s="34">
        <f>COGS_Summary!BP17*2.3</f>
        <v/>
      </c>
      <c r="BQ8" s="34">
        <f>COGS_Summary!BQ17*2.3</f>
        <v/>
      </c>
      <c r="BR8" s="34">
        <f>COGS_Summary!BR17*2.3</f>
        <v/>
      </c>
      <c r="BS8" s="34">
        <f>COGS_Summary!BS17*2.3</f>
        <v/>
      </c>
      <c r="BT8" s="34">
        <f>COGS_Summary!BT17*2.3</f>
        <v/>
      </c>
      <c r="BU8" s="34">
        <f>COGS_Summary!BU17*2.3</f>
        <v/>
      </c>
      <c r="BV8" s="34">
        <f>COGS_Summary!BV17*2.3</f>
        <v/>
      </c>
      <c r="BW8" s="34">
        <f>COGS_Summary!BW17*2.3</f>
        <v/>
      </c>
      <c r="BX8" s="34">
        <f>COGS_Summary!BX17*2.3</f>
        <v/>
      </c>
      <c r="BY8" s="34">
        <f>COGS_Summary!BY17*2.3</f>
        <v/>
      </c>
      <c r="BZ8" s="34">
        <f>COGS_Summary!BZ17*2.3</f>
        <v/>
      </c>
      <c r="CA8" s="34">
        <f>COGS_Summary!CA17*2.3</f>
        <v/>
      </c>
      <c r="CB8" s="34">
        <f>COGS_Summary!CB17*2.3</f>
        <v/>
      </c>
      <c r="CC8" s="34">
        <f>COGS_Summary!CC17*2.3</f>
        <v/>
      </c>
      <c r="CD8" s="34">
        <f>COGS_Summary!CD17*2.3</f>
        <v/>
      </c>
      <c r="CE8" s="34">
        <f>COGS_Summary!CE17*2.3</f>
        <v/>
      </c>
      <c r="CF8" s="34">
        <f>COGS_Summary!CF17*2.3</f>
        <v/>
      </c>
      <c r="CG8" s="34">
        <f>COGS_Summary!CG17*2.3</f>
        <v/>
      </c>
      <c r="CH8" s="34">
        <f>COGS_Summary!CH17*2.3</f>
        <v/>
      </c>
      <c r="CI8" s="34">
        <f>COGS_Summary!CI17*2.3</f>
        <v/>
      </c>
      <c r="CJ8" s="34">
        <f>COGS_Summary!CJ17*2.3</f>
        <v/>
      </c>
      <c r="CK8" s="34">
        <f>COGS_Summary!CK17*2.3</f>
        <v/>
      </c>
      <c r="CL8" s="34">
        <f>COGS_Summary!CL17*2.3</f>
        <v/>
      </c>
      <c r="CM8" s="34">
        <f>COGS_Summary!CM17*2.3</f>
        <v/>
      </c>
      <c r="CN8" s="34">
        <f>COGS_Summary!CN17*2.3</f>
        <v/>
      </c>
      <c r="CO8" s="34">
        <f>COGS_Summary!CO17*2.3</f>
        <v/>
      </c>
      <c r="CP8" s="34">
        <f>COGS_Summary!CP17*2.3</f>
        <v/>
      </c>
      <c r="CQ8" s="34">
        <f>COGS_Summary!CQ17*2.3</f>
        <v/>
      </c>
      <c r="CR8" s="34">
        <f>COGS_Summary!CR17*2.3</f>
        <v/>
      </c>
      <c r="CS8" s="34">
        <f>COGS_Summary!CS17*2.3</f>
        <v/>
      </c>
      <c r="CT8" s="34">
        <f>COGS_Summary!CT17*2.3</f>
        <v/>
      </c>
      <c r="CU8" s="34">
        <f>COGS_Summary!CU17*2.3</f>
        <v/>
      </c>
      <c r="CV8" s="34">
        <f>COGS_Summary!CV17*2.3</f>
        <v/>
      </c>
      <c r="CW8" s="34">
        <f>COGS_Summary!CW17*2.3</f>
        <v/>
      </c>
      <c r="CX8" s="34">
        <f>COGS_Summary!CX17*2.3</f>
        <v/>
      </c>
      <c r="CY8" s="34">
        <f>COGS_Summary!CY17*2.3</f>
        <v/>
      </c>
      <c r="CZ8" s="34">
        <f>COGS_Summary!CZ17*2.3</f>
        <v/>
      </c>
      <c r="DA8" s="34">
        <f>COGS_Summary!DA17*2.3</f>
        <v/>
      </c>
      <c r="DB8" s="34">
        <f>COGS_Summary!DB17*2.3</f>
        <v/>
      </c>
      <c r="DC8" s="34">
        <f>COGS_Summary!DC17*2.3</f>
        <v/>
      </c>
      <c r="DD8" s="34">
        <f>COGS_Summary!DD17*2.3</f>
        <v/>
      </c>
      <c r="DE8" s="34">
        <f>COGS_Summary!DE17*2.3</f>
        <v/>
      </c>
      <c r="DF8" s="34">
        <f>COGS_Summary!DF17*2.3</f>
        <v/>
      </c>
      <c r="DG8" s="34">
        <f>COGS_Summary!DG17*2.3</f>
        <v/>
      </c>
      <c r="DH8" s="34">
        <f>COGS_Summary!DH17*2.3</f>
        <v/>
      </c>
      <c r="DI8" s="34">
        <f>COGS_Summary!DI17*2.3</f>
        <v/>
      </c>
      <c r="DJ8" s="34">
        <f>COGS_Summary!DJ17*2.3</f>
        <v/>
      </c>
      <c r="DK8" s="34">
        <f>COGS_Summary!DK17*2.3</f>
        <v/>
      </c>
      <c r="DL8" s="34">
        <f>COGS_Summary!DL17*2.3</f>
        <v/>
      </c>
      <c r="DM8" s="34">
        <f>COGS_Summary!DM17*2.3</f>
        <v/>
      </c>
      <c r="DN8" s="34">
        <f>COGS_Summary!DN17*2.3</f>
        <v/>
      </c>
      <c r="DO8" s="34">
        <f>COGS_Summary!DO17*2.3</f>
        <v/>
      </c>
      <c r="DP8" s="34">
        <f>COGS_Summary!DP17*2.3</f>
        <v/>
      </c>
      <c r="DQ8" s="34">
        <f>COGS_Summary!DQ17*2.3</f>
        <v/>
      </c>
    </row>
    <row r="9">
      <c r="A9" t="inlineStr">
        <is>
          <t>Total Current Assets</t>
        </is>
      </c>
      <c r="B9" s="34">
        <f>B6+B7+B8</f>
        <v/>
      </c>
      <c r="C9" s="34">
        <f>C6+C7+C8</f>
        <v/>
      </c>
      <c r="D9" s="34">
        <f>D6+D7+D8</f>
        <v/>
      </c>
      <c r="E9" s="34">
        <f>E6+E7+E8</f>
        <v/>
      </c>
      <c r="F9" s="34">
        <f>F6+F7+F8</f>
        <v/>
      </c>
      <c r="G9" s="34">
        <f>G6+G7+G8</f>
        <v/>
      </c>
      <c r="H9" s="34">
        <f>H6+H7+H8</f>
        <v/>
      </c>
      <c r="I9" s="34">
        <f>I6+I7+I8</f>
        <v/>
      </c>
      <c r="J9" s="34">
        <f>J6+J7+J8</f>
        <v/>
      </c>
      <c r="K9" s="34">
        <f>K6+K7+K8</f>
        <v/>
      </c>
      <c r="L9" s="34">
        <f>L6+L7+L8</f>
        <v/>
      </c>
      <c r="M9" s="34">
        <f>M6+M7+M8</f>
        <v/>
      </c>
      <c r="N9" s="34">
        <f>N6+N7+N8</f>
        <v/>
      </c>
      <c r="O9" s="34">
        <f>O6+O7+O8</f>
        <v/>
      </c>
      <c r="P9" s="34">
        <f>P6+P7+P8</f>
        <v/>
      </c>
      <c r="Q9" s="34">
        <f>Q6+Q7+Q8</f>
        <v/>
      </c>
      <c r="R9" s="34">
        <f>R6+R7+R8</f>
        <v/>
      </c>
      <c r="S9" s="34">
        <f>S6+S7+S8</f>
        <v/>
      </c>
      <c r="T9" s="34">
        <f>T6+T7+T8</f>
        <v/>
      </c>
      <c r="U9" s="34">
        <f>U6+U7+U8</f>
        <v/>
      </c>
      <c r="V9" s="34">
        <f>V6+V7+V8</f>
        <v/>
      </c>
      <c r="W9" s="34">
        <f>W6+W7+W8</f>
        <v/>
      </c>
      <c r="X9" s="34">
        <f>X6+X7+X8</f>
        <v/>
      </c>
      <c r="Y9" s="34">
        <f>Y6+Y7+Y8</f>
        <v/>
      </c>
      <c r="Z9" s="34">
        <f>Z6+Z7+Z8</f>
        <v/>
      </c>
      <c r="AA9" s="34">
        <f>AA6+AA7+AA8</f>
        <v/>
      </c>
      <c r="AB9" s="34">
        <f>AB6+AB7+AB8</f>
        <v/>
      </c>
      <c r="AC9" s="34">
        <f>AC6+AC7+AC8</f>
        <v/>
      </c>
      <c r="AD9" s="34">
        <f>AD6+AD7+AD8</f>
        <v/>
      </c>
      <c r="AE9" s="34">
        <f>AE6+AE7+AE8</f>
        <v/>
      </c>
      <c r="AF9" s="34">
        <f>AF6+AF7+AF8</f>
        <v/>
      </c>
      <c r="AG9" s="34">
        <f>AG6+AG7+AG8</f>
        <v/>
      </c>
      <c r="AH9" s="34">
        <f>AH6+AH7+AH8</f>
        <v/>
      </c>
      <c r="AI9" s="34">
        <f>AI6+AI7+AI8</f>
        <v/>
      </c>
      <c r="AJ9" s="34">
        <f>AJ6+AJ7+AJ8</f>
        <v/>
      </c>
      <c r="AK9" s="34">
        <f>AK6+AK7+AK8</f>
        <v/>
      </c>
      <c r="AL9" s="34">
        <f>AL6+AL7+AL8</f>
        <v/>
      </c>
      <c r="AM9" s="34">
        <f>AM6+AM7+AM8</f>
        <v/>
      </c>
      <c r="AN9" s="34">
        <f>AN6+AN7+AN8</f>
        <v/>
      </c>
      <c r="AO9" s="34">
        <f>AO6+AO7+AO8</f>
        <v/>
      </c>
      <c r="AP9" s="34">
        <f>AP6+AP7+AP8</f>
        <v/>
      </c>
      <c r="AQ9" s="34">
        <f>AQ6+AQ7+AQ8</f>
        <v/>
      </c>
      <c r="AR9" s="34">
        <f>AR6+AR7+AR8</f>
        <v/>
      </c>
      <c r="AS9" s="34">
        <f>AS6+AS7+AS8</f>
        <v/>
      </c>
      <c r="AT9" s="34">
        <f>AT6+AT7+AT8</f>
        <v/>
      </c>
      <c r="AU9" s="34">
        <f>AU6+AU7+AU8</f>
        <v/>
      </c>
      <c r="AV9" s="34">
        <f>AV6+AV7+AV8</f>
        <v/>
      </c>
      <c r="AW9" s="34">
        <f>AW6+AW7+AW8</f>
        <v/>
      </c>
      <c r="AX9" s="34">
        <f>AX6+AX7+AX8</f>
        <v/>
      </c>
      <c r="AY9" s="34">
        <f>AY6+AY7+AY8</f>
        <v/>
      </c>
      <c r="AZ9" s="34">
        <f>AZ6+AZ7+AZ8</f>
        <v/>
      </c>
      <c r="BA9" s="34">
        <f>BA6+BA7+BA8</f>
        <v/>
      </c>
      <c r="BB9" s="34">
        <f>BB6+BB7+BB8</f>
        <v/>
      </c>
      <c r="BC9" s="34">
        <f>BC6+BC7+BC8</f>
        <v/>
      </c>
      <c r="BD9" s="34">
        <f>BD6+BD7+BD8</f>
        <v/>
      </c>
      <c r="BE9" s="34">
        <f>BE6+BE7+BE8</f>
        <v/>
      </c>
      <c r="BF9" s="34">
        <f>BF6+BF7+BF8</f>
        <v/>
      </c>
      <c r="BG9" s="34">
        <f>BG6+BG7+BG8</f>
        <v/>
      </c>
      <c r="BH9" s="34">
        <f>BH6+BH7+BH8</f>
        <v/>
      </c>
      <c r="BI9" s="34">
        <f>BI6+BI7+BI8</f>
        <v/>
      </c>
      <c r="BJ9" s="34">
        <f>BJ6+BJ7+BJ8</f>
        <v/>
      </c>
      <c r="BK9" s="34">
        <f>BK6+BK7+BK8</f>
        <v/>
      </c>
      <c r="BL9" s="34">
        <f>BL6+BL7+BL8</f>
        <v/>
      </c>
      <c r="BM9" s="34">
        <f>BM6+BM7+BM8</f>
        <v/>
      </c>
      <c r="BN9" s="34">
        <f>BN6+BN7+BN8</f>
        <v/>
      </c>
      <c r="BO9" s="34">
        <f>BO6+BO7+BO8</f>
        <v/>
      </c>
      <c r="BP9" s="34">
        <f>BP6+BP7+BP8</f>
        <v/>
      </c>
      <c r="BQ9" s="34">
        <f>BQ6+BQ7+BQ8</f>
        <v/>
      </c>
      <c r="BR9" s="34">
        <f>BR6+BR7+BR8</f>
        <v/>
      </c>
      <c r="BS9" s="34">
        <f>BS6+BS7+BS8</f>
        <v/>
      </c>
      <c r="BT9" s="34">
        <f>BT6+BT7+BT8</f>
        <v/>
      </c>
      <c r="BU9" s="34">
        <f>BU6+BU7+BU8</f>
        <v/>
      </c>
      <c r="BV9" s="34">
        <f>BV6+BV7+BV8</f>
        <v/>
      </c>
      <c r="BW9" s="34">
        <f>BW6+BW7+BW8</f>
        <v/>
      </c>
      <c r="BX9" s="34">
        <f>BX6+BX7+BX8</f>
        <v/>
      </c>
      <c r="BY9" s="34">
        <f>BY6+BY7+BY8</f>
        <v/>
      </c>
      <c r="BZ9" s="34">
        <f>BZ6+BZ7+BZ8</f>
        <v/>
      </c>
      <c r="CA9" s="34">
        <f>CA6+CA7+CA8</f>
        <v/>
      </c>
      <c r="CB9" s="34">
        <f>CB6+CB7+CB8</f>
        <v/>
      </c>
      <c r="CC9" s="34">
        <f>CC6+CC7+CC8</f>
        <v/>
      </c>
      <c r="CD9" s="34">
        <f>CD6+CD7+CD8</f>
        <v/>
      </c>
      <c r="CE9" s="34">
        <f>CE6+CE7+CE8</f>
        <v/>
      </c>
      <c r="CF9" s="34">
        <f>CF6+CF7+CF8</f>
        <v/>
      </c>
      <c r="CG9" s="34">
        <f>CG6+CG7+CG8</f>
        <v/>
      </c>
      <c r="CH9" s="34">
        <f>CH6+CH7+CH8</f>
        <v/>
      </c>
      <c r="CI9" s="34">
        <f>CI6+CI7+CI8</f>
        <v/>
      </c>
      <c r="CJ9" s="34">
        <f>CJ6+CJ7+CJ8</f>
        <v/>
      </c>
      <c r="CK9" s="34">
        <f>CK6+CK7+CK8</f>
        <v/>
      </c>
      <c r="CL9" s="34">
        <f>CL6+CL7+CL8</f>
        <v/>
      </c>
      <c r="CM9" s="34">
        <f>CM6+CM7+CM8</f>
        <v/>
      </c>
      <c r="CN9" s="34">
        <f>CN6+CN7+CN8</f>
        <v/>
      </c>
      <c r="CO9" s="34">
        <f>CO6+CO7+CO8</f>
        <v/>
      </c>
      <c r="CP9" s="34">
        <f>CP6+CP7+CP8</f>
        <v/>
      </c>
      <c r="CQ9" s="34">
        <f>CQ6+CQ7+CQ8</f>
        <v/>
      </c>
      <c r="CR9" s="34">
        <f>CR6+CR7+CR8</f>
        <v/>
      </c>
      <c r="CS9" s="34">
        <f>CS6+CS7+CS8</f>
        <v/>
      </c>
      <c r="CT9" s="34">
        <f>CT6+CT7+CT8</f>
        <v/>
      </c>
      <c r="CU9" s="34">
        <f>CU6+CU7+CU8</f>
        <v/>
      </c>
      <c r="CV9" s="34">
        <f>CV6+CV7+CV8</f>
        <v/>
      </c>
      <c r="CW9" s="34">
        <f>CW6+CW7+CW8</f>
        <v/>
      </c>
      <c r="CX9" s="34">
        <f>CX6+CX7+CX8</f>
        <v/>
      </c>
      <c r="CY9" s="34">
        <f>CY6+CY7+CY8</f>
        <v/>
      </c>
      <c r="CZ9" s="34">
        <f>CZ6+CZ7+CZ8</f>
        <v/>
      </c>
      <c r="DA9" s="34">
        <f>DA6+DA7+DA8</f>
        <v/>
      </c>
      <c r="DB9" s="34">
        <f>DB6+DB7+DB8</f>
        <v/>
      </c>
      <c r="DC9" s="34">
        <f>DC6+DC7+DC8</f>
        <v/>
      </c>
      <c r="DD9" s="34">
        <f>DD6+DD7+DD8</f>
        <v/>
      </c>
      <c r="DE9" s="34">
        <f>DE6+DE7+DE8</f>
        <v/>
      </c>
      <c r="DF9" s="34">
        <f>DF6+DF7+DF8</f>
        <v/>
      </c>
      <c r="DG9" s="34">
        <f>DG6+DG7+DG8</f>
        <v/>
      </c>
      <c r="DH9" s="34">
        <f>DH6+DH7+DH8</f>
        <v/>
      </c>
      <c r="DI9" s="34">
        <f>DI6+DI7+DI8</f>
        <v/>
      </c>
      <c r="DJ9" s="34">
        <f>DJ6+DJ7+DJ8</f>
        <v/>
      </c>
      <c r="DK9" s="34">
        <f>DK6+DK7+DK8</f>
        <v/>
      </c>
      <c r="DL9" s="34">
        <f>DL6+DL7+DL8</f>
        <v/>
      </c>
      <c r="DM9" s="34">
        <f>DM6+DM7+DM8</f>
        <v/>
      </c>
      <c r="DN9" s="34">
        <f>DN6+DN7+DN8</f>
        <v/>
      </c>
      <c r="DO9" s="34">
        <f>DO6+DO7+DO8</f>
        <v/>
      </c>
      <c r="DP9" s="34">
        <f>DP6+DP7+DP8</f>
        <v/>
      </c>
      <c r="DQ9" s="34">
        <f>DQ6+DQ7+DQ8</f>
        <v/>
      </c>
    </row>
    <row r="10">
      <c r="A10" t="inlineStr"/>
    </row>
    <row r="11">
      <c r="A11" t="inlineStr">
        <is>
          <t>Non-Current Assets</t>
        </is>
      </c>
    </row>
    <row r="12">
      <c r="A12" t="inlineStr">
        <is>
          <t xml:space="preserve">  PP&amp;E (net)</t>
        </is>
      </c>
      <c r="B12" s="34" t="n">
        <v>30000</v>
      </c>
      <c r="C12" s="34" t="n">
        <v>30000</v>
      </c>
      <c r="D12" s="34" t="n">
        <v>30000</v>
      </c>
      <c r="E12" s="34" t="n">
        <v>30000</v>
      </c>
      <c r="F12" s="34" t="n">
        <v>30000</v>
      </c>
      <c r="G12" s="34" t="n">
        <v>30000</v>
      </c>
      <c r="H12" s="34" t="n">
        <v>30000</v>
      </c>
      <c r="I12" s="34" t="n">
        <v>30000</v>
      </c>
      <c r="J12" s="34" t="n">
        <v>30000</v>
      </c>
      <c r="K12" s="34" t="n">
        <v>30000</v>
      </c>
      <c r="L12" s="34" t="n">
        <v>30000</v>
      </c>
      <c r="M12" s="34" t="n">
        <v>30000</v>
      </c>
      <c r="N12" s="34" t="n">
        <v>30000</v>
      </c>
      <c r="O12" s="34" t="n">
        <v>30000</v>
      </c>
      <c r="P12" s="34" t="n">
        <v>30000</v>
      </c>
      <c r="Q12" s="34" t="n">
        <v>30000</v>
      </c>
      <c r="R12" s="34" t="n">
        <v>30000</v>
      </c>
      <c r="S12" s="34" t="n">
        <v>30000</v>
      </c>
      <c r="T12" s="34" t="n">
        <v>30000</v>
      </c>
      <c r="U12" s="34" t="n">
        <v>30000</v>
      </c>
      <c r="V12" s="34" t="n">
        <v>30000</v>
      </c>
      <c r="W12" s="34" t="n">
        <v>30000</v>
      </c>
      <c r="X12" s="34" t="n">
        <v>30000</v>
      </c>
      <c r="Y12" s="34" t="n">
        <v>30000</v>
      </c>
      <c r="Z12" s="34" t="n">
        <v>30000</v>
      </c>
      <c r="AA12" s="34" t="n">
        <v>30000</v>
      </c>
      <c r="AB12" s="34" t="n">
        <v>30000</v>
      </c>
      <c r="AC12" s="34" t="n">
        <v>30000</v>
      </c>
      <c r="AD12" s="34" t="n">
        <v>30000</v>
      </c>
      <c r="AE12" s="34" t="n">
        <v>30000</v>
      </c>
      <c r="AF12" s="34" t="n">
        <v>30000</v>
      </c>
      <c r="AG12" s="34" t="n">
        <v>30000</v>
      </c>
      <c r="AH12" s="34" t="n">
        <v>30000</v>
      </c>
      <c r="AI12" s="34" t="n">
        <v>30000</v>
      </c>
      <c r="AJ12" s="34" t="n">
        <v>30000</v>
      </c>
      <c r="AK12" s="34" t="n">
        <v>30000</v>
      </c>
      <c r="AL12" s="34" t="n">
        <v>30000</v>
      </c>
      <c r="AM12" s="34" t="n">
        <v>30000</v>
      </c>
      <c r="AN12" s="34" t="n">
        <v>30000</v>
      </c>
      <c r="AO12" s="34" t="n">
        <v>30000</v>
      </c>
      <c r="AP12" s="34" t="n">
        <v>30000</v>
      </c>
      <c r="AQ12" s="34" t="n">
        <v>30000</v>
      </c>
      <c r="AR12" s="34" t="n">
        <v>30000</v>
      </c>
      <c r="AS12" s="34" t="n">
        <v>30000</v>
      </c>
      <c r="AT12" s="34" t="n">
        <v>30000</v>
      </c>
      <c r="AU12" s="34" t="n">
        <v>30000</v>
      </c>
      <c r="AV12" s="34" t="n">
        <v>30000</v>
      </c>
      <c r="AW12" s="34" t="n">
        <v>30000</v>
      </c>
      <c r="AX12" s="34" t="n">
        <v>30000</v>
      </c>
      <c r="AY12" s="34" t="n">
        <v>30000</v>
      </c>
      <c r="AZ12" s="34" t="n">
        <v>30000</v>
      </c>
      <c r="BA12" s="34" t="n">
        <v>30000</v>
      </c>
      <c r="BB12" s="34" t="n">
        <v>30000</v>
      </c>
      <c r="BC12" s="34" t="n">
        <v>30000</v>
      </c>
      <c r="BD12" s="34" t="n">
        <v>30000</v>
      </c>
      <c r="BE12" s="34" t="n">
        <v>30000</v>
      </c>
      <c r="BF12" s="34" t="n">
        <v>30000</v>
      </c>
      <c r="BG12" s="34" t="n">
        <v>30000</v>
      </c>
      <c r="BH12" s="34" t="n">
        <v>30000</v>
      </c>
      <c r="BI12" s="34" t="n">
        <v>30000</v>
      </c>
      <c r="BJ12" s="34" t="n">
        <v>30000</v>
      </c>
      <c r="BK12" s="34" t="n">
        <v>30000</v>
      </c>
      <c r="BL12" s="34" t="n">
        <v>30000</v>
      </c>
      <c r="BM12" s="34" t="n">
        <v>30000</v>
      </c>
      <c r="BN12" s="34" t="n">
        <v>30000</v>
      </c>
      <c r="BO12" s="34" t="n">
        <v>30000</v>
      </c>
      <c r="BP12" s="34" t="n">
        <v>30000</v>
      </c>
      <c r="BQ12" s="34" t="n">
        <v>30000</v>
      </c>
      <c r="BR12" s="34" t="n">
        <v>30000</v>
      </c>
      <c r="BS12" s="34" t="n">
        <v>30000</v>
      </c>
      <c r="BT12" s="34" t="n">
        <v>30000</v>
      </c>
      <c r="BU12" s="34" t="n">
        <v>30000</v>
      </c>
      <c r="BV12" s="34" t="n">
        <v>30000</v>
      </c>
      <c r="BW12" s="34" t="n">
        <v>30000</v>
      </c>
      <c r="BX12" s="34" t="n">
        <v>30000</v>
      </c>
      <c r="BY12" s="34" t="n">
        <v>30000</v>
      </c>
      <c r="BZ12" s="34" t="n">
        <v>30000</v>
      </c>
      <c r="CA12" s="34" t="n">
        <v>30000</v>
      </c>
      <c r="CB12" s="34" t="n">
        <v>30000</v>
      </c>
      <c r="CC12" s="34" t="n">
        <v>30000</v>
      </c>
      <c r="CD12" s="34" t="n">
        <v>30000</v>
      </c>
      <c r="CE12" s="34" t="n">
        <v>30000</v>
      </c>
      <c r="CF12" s="34" t="n">
        <v>30000</v>
      </c>
      <c r="CG12" s="34" t="n">
        <v>30000</v>
      </c>
      <c r="CH12" s="34" t="n">
        <v>30000</v>
      </c>
      <c r="CI12" s="34" t="n">
        <v>30000</v>
      </c>
      <c r="CJ12" s="34" t="n">
        <v>30000</v>
      </c>
      <c r="CK12" s="34" t="n">
        <v>30000</v>
      </c>
      <c r="CL12" s="34" t="n">
        <v>30000</v>
      </c>
      <c r="CM12" s="34" t="n">
        <v>30000</v>
      </c>
      <c r="CN12" s="34" t="n">
        <v>30000</v>
      </c>
      <c r="CO12" s="34" t="n">
        <v>30000</v>
      </c>
      <c r="CP12" s="34" t="n">
        <v>30000</v>
      </c>
      <c r="CQ12" s="34" t="n">
        <v>30000</v>
      </c>
      <c r="CR12" s="34" t="n">
        <v>30000</v>
      </c>
      <c r="CS12" s="34" t="n">
        <v>30000</v>
      </c>
      <c r="CT12" s="34" t="n">
        <v>30000</v>
      </c>
      <c r="CU12" s="34" t="n">
        <v>30000</v>
      </c>
      <c r="CV12" s="34" t="n">
        <v>30000</v>
      </c>
      <c r="CW12" s="34" t="n">
        <v>30000</v>
      </c>
      <c r="CX12" s="34" t="n">
        <v>30000</v>
      </c>
      <c r="CY12" s="34" t="n">
        <v>30000</v>
      </c>
      <c r="CZ12" s="34" t="n">
        <v>30000</v>
      </c>
      <c r="DA12" s="34" t="n">
        <v>30000</v>
      </c>
      <c r="DB12" s="34" t="n">
        <v>30000</v>
      </c>
      <c r="DC12" s="34" t="n">
        <v>30000</v>
      </c>
      <c r="DD12" s="34" t="n">
        <v>30000</v>
      </c>
      <c r="DE12" s="34" t="n">
        <v>30000</v>
      </c>
      <c r="DF12" s="34" t="n">
        <v>30000</v>
      </c>
      <c r="DG12" s="34" t="n">
        <v>30000</v>
      </c>
      <c r="DH12" s="34" t="n">
        <v>30000</v>
      </c>
      <c r="DI12" s="34" t="n">
        <v>30000</v>
      </c>
      <c r="DJ12" s="34" t="n">
        <v>30000</v>
      </c>
      <c r="DK12" s="34" t="n">
        <v>30000</v>
      </c>
      <c r="DL12" s="34" t="n">
        <v>30000</v>
      </c>
      <c r="DM12" s="34" t="n">
        <v>30000</v>
      </c>
      <c r="DN12" s="34" t="n">
        <v>30000</v>
      </c>
      <c r="DO12" s="34" t="n">
        <v>30000</v>
      </c>
      <c r="DP12" s="34" t="n">
        <v>30000</v>
      </c>
      <c r="DQ12" s="34" t="n">
        <v>30000</v>
      </c>
    </row>
    <row r="13">
      <c r="A13" t="inlineStr">
        <is>
          <t>Total Non-Current Assets</t>
        </is>
      </c>
      <c r="B13" s="34">
        <f>B12</f>
        <v/>
      </c>
      <c r="C13" s="34">
        <f>C12</f>
        <v/>
      </c>
      <c r="D13" s="34">
        <f>D12</f>
        <v/>
      </c>
      <c r="E13" s="34">
        <f>E12</f>
        <v/>
      </c>
      <c r="F13" s="34">
        <f>F12</f>
        <v/>
      </c>
      <c r="G13" s="34">
        <f>G12</f>
        <v/>
      </c>
      <c r="H13" s="34">
        <f>H12</f>
        <v/>
      </c>
      <c r="I13" s="34">
        <f>I12</f>
        <v/>
      </c>
      <c r="J13" s="34">
        <f>J12</f>
        <v/>
      </c>
      <c r="K13" s="34">
        <f>K12</f>
        <v/>
      </c>
      <c r="L13" s="34">
        <f>L12</f>
        <v/>
      </c>
      <c r="M13" s="34">
        <f>M12</f>
        <v/>
      </c>
      <c r="N13" s="34">
        <f>N12</f>
        <v/>
      </c>
      <c r="O13" s="34">
        <f>O12</f>
        <v/>
      </c>
      <c r="P13" s="34">
        <f>P12</f>
        <v/>
      </c>
      <c r="Q13" s="34">
        <f>Q12</f>
        <v/>
      </c>
      <c r="R13" s="34">
        <f>R12</f>
        <v/>
      </c>
      <c r="S13" s="34">
        <f>S12</f>
        <v/>
      </c>
      <c r="T13" s="34">
        <f>T12</f>
        <v/>
      </c>
      <c r="U13" s="34">
        <f>U12</f>
        <v/>
      </c>
      <c r="V13" s="34">
        <f>V12</f>
        <v/>
      </c>
      <c r="W13" s="34">
        <f>W12</f>
        <v/>
      </c>
      <c r="X13" s="34">
        <f>X12</f>
        <v/>
      </c>
      <c r="Y13" s="34">
        <f>Y12</f>
        <v/>
      </c>
      <c r="Z13" s="34">
        <f>Z12</f>
        <v/>
      </c>
      <c r="AA13" s="34">
        <f>AA12</f>
        <v/>
      </c>
      <c r="AB13" s="34">
        <f>AB12</f>
        <v/>
      </c>
      <c r="AC13" s="34">
        <f>AC12</f>
        <v/>
      </c>
      <c r="AD13" s="34">
        <f>AD12</f>
        <v/>
      </c>
      <c r="AE13" s="34">
        <f>AE12</f>
        <v/>
      </c>
      <c r="AF13" s="34">
        <f>AF12</f>
        <v/>
      </c>
      <c r="AG13" s="34">
        <f>AG12</f>
        <v/>
      </c>
      <c r="AH13" s="34">
        <f>AH12</f>
        <v/>
      </c>
      <c r="AI13" s="34">
        <f>AI12</f>
        <v/>
      </c>
      <c r="AJ13" s="34">
        <f>AJ12</f>
        <v/>
      </c>
      <c r="AK13" s="34">
        <f>AK12</f>
        <v/>
      </c>
      <c r="AL13" s="34">
        <f>AL12</f>
        <v/>
      </c>
      <c r="AM13" s="34">
        <f>AM12</f>
        <v/>
      </c>
      <c r="AN13" s="34">
        <f>AN12</f>
        <v/>
      </c>
      <c r="AO13" s="34">
        <f>AO12</f>
        <v/>
      </c>
      <c r="AP13" s="34">
        <f>AP12</f>
        <v/>
      </c>
      <c r="AQ13" s="34">
        <f>AQ12</f>
        <v/>
      </c>
      <c r="AR13" s="34">
        <f>AR12</f>
        <v/>
      </c>
      <c r="AS13" s="34">
        <f>AS12</f>
        <v/>
      </c>
      <c r="AT13" s="34">
        <f>AT12</f>
        <v/>
      </c>
      <c r="AU13" s="34">
        <f>AU12</f>
        <v/>
      </c>
      <c r="AV13" s="34">
        <f>AV12</f>
        <v/>
      </c>
      <c r="AW13" s="34">
        <f>AW12</f>
        <v/>
      </c>
      <c r="AX13" s="34">
        <f>AX12</f>
        <v/>
      </c>
      <c r="AY13" s="34">
        <f>AY12</f>
        <v/>
      </c>
      <c r="AZ13" s="34">
        <f>AZ12</f>
        <v/>
      </c>
      <c r="BA13" s="34">
        <f>BA12</f>
        <v/>
      </c>
      <c r="BB13" s="34">
        <f>BB12</f>
        <v/>
      </c>
      <c r="BC13" s="34">
        <f>BC12</f>
        <v/>
      </c>
      <c r="BD13" s="34">
        <f>BD12</f>
        <v/>
      </c>
      <c r="BE13" s="34">
        <f>BE12</f>
        <v/>
      </c>
      <c r="BF13" s="34">
        <f>BF12</f>
        <v/>
      </c>
      <c r="BG13" s="34">
        <f>BG12</f>
        <v/>
      </c>
      <c r="BH13" s="34">
        <f>BH12</f>
        <v/>
      </c>
      <c r="BI13" s="34">
        <f>BI12</f>
        <v/>
      </c>
      <c r="BJ13" s="34">
        <f>BJ12</f>
        <v/>
      </c>
      <c r="BK13" s="34">
        <f>BK12</f>
        <v/>
      </c>
      <c r="BL13" s="34">
        <f>BL12</f>
        <v/>
      </c>
      <c r="BM13" s="34">
        <f>BM12</f>
        <v/>
      </c>
      <c r="BN13" s="34">
        <f>BN12</f>
        <v/>
      </c>
      <c r="BO13" s="34">
        <f>BO12</f>
        <v/>
      </c>
      <c r="BP13" s="34">
        <f>BP12</f>
        <v/>
      </c>
      <c r="BQ13" s="34">
        <f>BQ12</f>
        <v/>
      </c>
      <c r="BR13" s="34">
        <f>BR12</f>
        <v/>
      </c>
      <c r="BS13" s="34">
        <f>BS12</f>
        <v/>
      </c>
      <c r="BT13" s="34">
        <f>BT12</f>
        <v/>
      </c>
      <c r="BU13" s="34">
        <f>BU12</f>
        <v/>
      </c>
      <c r="BV13" s="34">
        <f>BV12</f>
        <v/>
      </c>
      <c r="BW13" s="34">
        <f>BW12</f>
        <v/>
      </c>
      <c r="BX13" s="34">
        <f>BX12</f>
        <v/>
      </c>
      <c r="BY13" s="34">
        <f>BY12</f>
        <v/>
      </c>
      <c r="BZ13" s="34">
        <f>BZ12</f>
        <v/>
      </c>
      <c r="CA13" s="34">
        <f>CA12</f>
        <v/>
      </c>
      <c r="CB13" s="34">
        <f>CB12</f>
        <v/>
      </c>
      <c r="CC13" s="34">
        <f>CC12</f>
        <v/>
      </c>
      <c r="CD13" s="34">
        <f>CD12</f>
        <v/>
      </c>
      <c r="CE13" s="34">
        <f>CE12</f>
        <v/>
      </c>
      <c r="CF13" s="34">
        <f>CF12</f>
        <v/>
      </c>
      <c r="CG13" s="34">
        <f>CG12</f>
        <v/>
      </c>
      <c r="CH13" s="34">
        <f>CH12</f>
        <v/>
      </c>
      <c r="CI13" s="34">
        <f>CI12</f>
        <v/>
      </c>
      <c r="CJ13" s="34">
        <f>CJ12</f>
        <v/>
      </c>
      <c r="CK13" s="34">
        <f>CK12</f>
        <v/>
      </c>
      <c r="CL13" s="34">
        <f>CL12</f>
        <v/>
      </c>
      <c r="CM13" s="34">
        <f>CM12</f>
        <v/>
      </c>
      <c r="CN13" s="34">
        <f>CN12</f>
        <v/>
      </c>
      <c r="CO13" s="34">
        <f>CO12</f>
        <v/>
      </c>
      <c r="CP13" s="34">
        <f>CP12</f>
        <v/>
      </c>
      <c r="CQ13" s="34">
        <f>CQ12</f>
        <v/>
      </c>
      <c r="CR13" s="34">
        <f>CR12</f>
        <v/>
      </c>
      <c r="CS13" s="34">
        <f>CS12</f>
        <v/>
      </c>
      <c r="CT13" s="34">
        <f>CT12</f>
        <v/>
      </c>
      <c r="CU13" s="34">
        <f>CU12</f>
        <v/>
      </c>
      <c r="CV13" s="34">
        <f>CV12</f>
        <v/>
      </c>
      <c r="CW13" s="34">
        <f>CW12</f>
        <v/>
      </c>
      <c r="CX13" s="34">
        <f>CX12</f>
        <v/>
      </c>
      <c r="CY13" s="34">
        <f>CY12</f>
        <v/>
      </c>
      <c r="CZ13" s="34">
        <f>CZ12</f>
        <v/>
      </c>
      <c r="DA13" s="34">
        <f>DA12</f>
        <v/>
      </c>
      <c r="DB13" s="34">
        <f>DB12</f>
        <v/>
      </c>
      <c r="DC13" s="34">
        <f>DC12</f>
        <v/>
      </c>
      <c r="DD13" s="34">
        <f>DD12</f>
        <v/>
      </c>
      <c r="DE13" s="34">
        <f>DE12</f>
        <v/>
      </c>
      <c r="DF13" s="34">
        <f>DF12</f>
        <v/>
      </c>
      <c r="DG13" s="34">
        <f>DG12</f>
        <v/>
      </c>
      <c r="DH13" s="34">
        <f>DH12</f>
        <v/>
      </c>
      <c r="DI13" s="34">
        <f>DI12</f>
        <v/>
      </c>
      <c r="DJ13" s="34">
        <f>DJ12</f>
        <v/>
      </c>
      <c r="DK13" s="34">
        <f>DK12</f>
        <v/>
      </c>
      <c r="DL13" s="34">
        <f>DL12</f>
        <v/>
      </c>
      <c r="DM13" s="34">
        <f>DM12</f>
        <v/>
      </c>
      <c r="DN13" s="34">
        <f>DN12</f>
        <v/>
      </c>
      <c r="DO13" s="34">
        <f>DO12</f>
        <v/>
      </c>
      <c r="DP13" s="34">
        <f>DP12</f>
        <v/>
      </c>
      <c r="DQ13" s="34">
        <f>DQ12</f>
        <v/>
      </c>
    </row>
    <row r="14">
      <c r="A14" t="inlineStr"/>
    </row>
    <row r="15">
      <c r="A15" s="3" t="inlineStr">
        <is>
          <t>TOTAL ASSETS</t>
        </is>
      </c>
      <c r="B15" s="35">
        <f>B9+B13</f>
        <v/>
      </c>
      <c r="C15" s="35">
        <f>C9+C13</f>
        <v/>
      </c>
      <c r="D15" s="35">
        <f>D9+D13</f>
        <v/>
      </c>
      <c r="E15" s="35">
        <f>E9+E13</f>
        <v/>
      </c>
      <c r="F15" s="35">
        <f>F9+F13</f>
        <v/>
      </c>
      <c r="G15" s="35">
        <f>G9+G13</f>
        <v/>
      </c>
      <c r="H15" s="35">
        <f>H9+H13</f>
        <v/>
      </c>
      <c r="I15" s="35">
        <f>I9+I13</f>
        <v/>
      </c>
      <c r="J15" s="35">
        <f>J9+J13</f>
        <v/>
      </c>
      <c r="K15" s="35">
        <f>K9+K13</f>
        <v/>
      </c>
      <c r="L15" s="35">
        <f>L9+L13</f>
        <v/>
      </c>
      <c r="M15" s="35">
        <f>M9+M13</f>
        <v/>
      </c>
      <c r="N15" s="35">
        <f>N9+N13</f>
        <v/>
      </c>
      <c r="O15" s="35">
        <f>O9+O13</f>
        <v/>
      </c>
      <c r="P15" s="35">
        <f>P9+P13</f>
        <v/>
      </c>
      <c r="Q15" s="35">
        <f>Q9+Q13</f>
        <v/>
      </c>
      <c r="R15" s="35">
        <f>R9+R13</f>
        <v/>
      </c>
      <c r="S15" s="35">
        <f>S9+S13</f>
        <v/>
      </c>
      <c r="T15" s="35">
        <f>T9+T13</f>
        <v/>
      </c>
      <c r="U15" s="35">
        <f>U9+U13</f>
        <v/>
      </c>
      <c r="V15" s="35">
        <f>V9+V13</f>
        <v/>
      </c>
      <c r="W15" s="35">
        <f>W9+W13</f>
        <v/>
      </c>
      <c r="X15" s="35">
        <f>X9+X13</f>
        <v/>
      </c>
      <c r="Y15" s="35">
        <f>Y9+Y13</f>
        <v/>
      </c>
      <c r="Z15" s="35">
        <f>Z9+Z13</f>
        <v/>
      </c>
      <c r="AA15" s="35">
        <f>AA9+AA13</f>
        <v/>
      </c>
      <c r="AB15" s="35">
        <f>AB9+AB13</f>
        <v/>
      </c>
      <c r="AC15" s="35">
        <f>AC9+AC13</f>
        <v/>
      </c>
      <c r="AD15" s="35">
        <f>AD9+AD13</f>
        <v/>
      </c>
      <c r="AE15" s="35">
        <f>AE9+AE13</f>
        <v/>
      </c>
      <c r="AF15" s="35">
        <f>AF9+AF13</f>
        <v/>
      </c>
      <c r="AG15" s="35">
        <f>AG9+AG13</f>
        <v/>
      </c>
      <c r="AH15" s="35">
        <f>AH9+AH13</f>
        <v/>
      </c>
      <c r="AI15" s="35">
        <f>AI9+AI13</f>
        <v/>
      </c>
      <c r="AJ15" s="35">
        <f>AJ9+AJ13</f>
        <v/>
      </c>
      <c r="AK15" s="35">
        <f>AK9+AK13</f>
        <v/>
      </c>
      <c r="AL15" s="35">
        <f>AL9+AL13</f>
        <v/>
      </c>
      <c r="AM15" s="35">
        <f>AM9+AM13</f>
        <v/>
      </c>
      <c r="AN15" s="35">
        <f>AN9+AN13</f>
        <v/>
      </c>
      <c r="AO15" s="35">
        <f>AO9+AO13</f>
        <v/>
      </c>
      <c r="AP15" s="35">
        <f>AP9+AP13</f>
        <v/>
      </c>
      <c r="AQ15" s="35">
        <f>AQ9+AQ13</f>
        <v/>
      </c>
      <c r="AR15" s="35">
        <f>AR9+AR13</f>
        <v/>
      </c>
      <c r="AS15" s="35">
        <f>AS9+AS13</f>
        <v/>
      </c>
      <c r="AT15" s="35">
        <f>AT9+AT13</f>
        <v/>
      </c>
      <c r="AU15" s="35">
        <f>AU9+AU13</f>
        <v/>
      </c>
      <c r="AV15" s="35">
        <f>AV9+AV13</f>
        <v/>
      </c>
      <c r="AW15" s="35">
        <f>AW9+AW13</f>
        <v/>
      </c>
      <c r="AX15" s="35">
        <f>AX9+AX13</f>
        <v/>
      </c>
      <c r="AY15" s="35">
        <f>AY9+AY13</f>
        <v/>
      </c>
      <c r="AZ15" s="35">
        <f>AZ9+AZ13</f>
        <v/>
      </c>
      <c r="BA15" s="35">
        <f>BA9+BA13</f>
        <v/>
      </c>
      <c r="BB15" s="35">
        <f>BB9+BB13</f>
        <v/>
      </c>
      <c r="BC15" s="35">
        <f>BC9+BC13</f>
        <v/>
      </c>
      <c r="BD15" s="35">
        <f>BD9+BD13</f>
        <v/>
      </c>
      <c r="BE15" s="35">
        <f>BE9+BE13</f>
        <v/>
      </c>
      <c r="BF15" s="35">
        <f>BF9+BF13</f>
        <v/>
      </c>
      <c r="BG15" s="35">
        <f>BG9+BG13</f>
        <v/>
      </c>
      <c r="BH15" s="35">
        <f>BH9+BH13</f>
        <v/>
      </c>
      <c r="BI15" s="35">
        <f>BI9+BI13</f>
        <v/>
      </c>
      <c r="BJ15" s="35">
        <f>BJ9+BJ13</f>
        <v/>
      </c>
      <c r="BK15" s="35">
        <f>BK9+BK13</f>
        <v/>
      </c>
      <c r="BL15" s="35">
        <f>BL9+BL13</f>
        <v/>
      </c>
      <c r="BM15" s="35">
        <f>BM9+BM13</f>
        <v/>
      </c>
      <c r="BN15" s="35">
        <f>BN9+BN13</f>
        <v/>
      </c>
      <c r="BO15" s="35">
        <f>BO9+BO13</f>
        <v/>
      </c>
      <c r="BP15" s="35">
        <f>BP9+BP13</f>
        <v/>
      </c>
      <c r="BQ15" s="35">
        <f>BQ9+BQ13</f>
        <v/>
      </c>
      <c r="BR15" s="35">
        <f>BR9+BR13</f>
        <v/>
      </c>
      <c r="BS15" s="35">
        <f>BS9+BS13</f>
        <v/>
      </c>
      <c r="BT15" s="35">
        <f>BT9+BT13</f>
        <v/>
      </c>
      <c r="BU15" s="35">
        <f>BU9+BU13</f>
        <v/>
      </c>
      <c r="BV15" s="35">
        <f>BV9+BV13</f>
        <v/>
      </c>
      <c r="BW15" s="35">
        <f>BW9+BW13</f>
        <v/>
      </c>
      <c r="BX15" s="35">
        <f>BX9+BX13</f>
        <v/>
      </c>
      <c r="BY15" s="35">
        <f>BY9+BY13</f>
        <v/>
      </c>
      <c r="BZ15" s="35">
        <f>BZ9+BZ13</f>
        <v/>
      </c>
      <c r="CA15" s="35">
        <f>CA9+CA13</f>
        <v/>
      </c>
      <c r="CB15" s="35">
        <f>CB9+CB13</f>
        <v/>
      </c>
      <c r="CC15" s="35">
        <f>CC9+CC13</f>
        <v/>
      </c>
      <c r="CD15" s="35">
        <f>CD9+CD13</f>
        <v/>
      </c>
      <c r="CE15" s="35">
        <f>CE9+CE13</f>
        <v/>
      </c>
      <c r="CF15" s="35">
        <f>CF9+CF13</f>
        <v/>
      </c>
      <c r="CG15" s="35">
        <f>CG9+CG13</f>
        <v/>
      </c>
      <c r="CH15" s="35">
        <f>CH9+CH13</f>
        <v/>
      </c>
      <c r="CI15" s="35">
        <f>CI9+CI13</f>
        <v/>
      </c>
      <c r="CJ15" s="35">
        <f>CJ9+CJ13</f>
        <v/>
      </c>
      <c r="CK15" s="35">
        <f>CK9+CK13</f>
        <v/>
      </c>
      <c r="CL15" s="35">
        <f>CL9+CL13</f>
        <v/>
      </c>
      <c r="CM15" s="35">
        <f>CM9+CM13</f>
        <v/>
      </c>
      <c r="CN15" s="35">
        <f>CN9+CN13</f>
        <v/>
      </c>
      <c r="CO15" s="35">
        <f>CO9+CO13</f>
        <v/>
      </c>
      <c r="CP15" s="35">
        <f>CP9+CP13</f>
        <v/>
      </c>
      <c r="CQ15" s="35">
        <f>CQ9+CQ13</f>
        <v/>
      </c>
      <c r="CR15" s="35">
        <f>CR9+CR13</f>
        <v/>
      </c>
      <c r="CS15" s="35">
        <f>CS9+CS13</f>
        <v/>
      </c>
      <c r="CT15" s="35">
        <f>CT9+CT13</f>
        <v/>
      </c>
      <c r="CU15" s="35">
        <f>CU9+CU13</f>
        <v/>
      </c>
      <c r="CV15" s="35">
        <f>CV9+CV13</f>
        <v/>
      </c>
      <c r="CW15" s="35">
        <f>CW9+CW13</f>
        <v/>
      </c>
      <c r="CX15" s="35">
        <f>CX9+CX13</f>
        <v/>
      </c>
      <c r="CY15" s="35">
        <f>CY9+CY13</f>
        <v/>
      </c>
      <c r="CZ15" s="35">
        <f>CZ9+CZ13</f>
        <v/>
      </c>
      <c r="DA15" s="35">
        <f>DA9+DA13</f>
        <v/>
      </c>
      <c r="DB15" s="35">
        <f>DB9+DB13</f>
        <v/>
      </c>
      <c r="DC15" s="35">
        <f>DC9+DC13</f>
        <v/>
      </c>
      <c r="DD15" s="35">
        <f>DD9+DD13</f>
        <v/>
      </c>
      <c r="DE15" s="35">
        <f>DE9+DE13</f>
        <v/>
      </c>
      <c r="DF15" s="35">
        <f>DF9+DF13</f>
        <v/>
      </c>
      <c r="DG15" s="35">
        <f>DG9+DG13</f>
        <v/>
      </c>
      <c r="DH15" s="35">
        <f>DH9+DH13</f>
        <v/>
      </c>
      <c r="DI15" s="35">
        <f>DI9+DI13</f>
        <v/>
      </c>
      <c r="DJ15" s="35">
        <f>DJ9+DJ13</f>
        <v/>
      </c>
      <c r="DK15" s="35">
        <f>DK9+DK13</f>
        <v/>
      </c>
      <c r="DL15" s="35">
        <f>DL9+DL13</f>
        <v/>
      </c>
      <c r="DM15" s="35">
        <f>DM9+DM13</f>
        <v/>
      </c>
      <c r="DN15" s="35">
        <f>DN9+DN13</f>
        <v/>
      </c>
      <c r="DO15" s="35">
        <f>DO9+DO13</f>
        <v/>
      </c>
      <c r="DP15" s="35">
        <f>DP9+DP13</f>
        <v/>
      </c>
      <c r="DQ15" s="35">
        <f>DQ9+DQ13</f>
        <v/>
      </c>
    </row>
    <row r="16">
      <c r="A16" t="inlineStr"/>
    </row>
    <row r="17">
      <c r="A17" t="inlineStr">
        <is>
          <t>LIABILITIES</t>
        </is>
      </c>
    </row>
    <row r="18">
      <c r="A18" t="inlineStr">
        <is>
          <t>Current Liabilities</t>
        </is>
      </c>
    </row>
    <row r="19">
      <c r="A19" t="inlineStr">
        <is>
          <t xml:space="preserve">  Trade Payables</t>
        </is>
      </c>
      <c r="B19" s="34">
        <f>COGS_Summary!B17*1.5</f>
        <v/>
      </c>
      <c r="C19" s="34">
        <f>COGS_Summary!C17*1.5</f>
        <v/>
      </c>
      <c r="D19" s="34">
        <f>COGS_Summary!D17*1.5</f>
        <v/>
      </c>
      <c r="E19" s="34">
        <f>COGS_Summary!E17*1.5</f>
        <v/>
      </c>
      <c r="F19" s="34">
        <f>COGS_Summary!F17*1.5</f>
        <v/>
      </c>
      <c r="G19" s="34">
        <f>COGS_Summary!G17*1.5</f>
        <v/>
      </c>
      <c r="H19" s="34">
        <f>COGS_Summary!H17*1.5</f>
        <v/>
      </c>
      <c r="I19" s="34">
        <f>COGS_Summary!I17*1.5</f>
        <v/>
      </c>
      <c r="J19" s="34">
        <f>COGS_Summary!J17*1.5</f>
        <v/>
      </c>
      <c r="K19" s="34">
        <f>COGS_Summary!K17*1.5</f>
        <v/>
      </c>
      <c r="L19" s="34">
        <f>COGS_Summary!L17*1.5</f>
        <v/>
      </c>
      <c r="M19" s="34">
        <f>COGS_Summary!M17*1.5</f>
        <v/>
      </c>
      <c r="N19" s="34">
        <f>COGS_Summary!N17*1.5</f>
        <v/>
      </c>
      <c r="O19" s="34">
        <f>COGS_Summary!O17*1.5</f>
        <v/>
      </c>
      <c r="P19" s="34">
        <f>COGS_Summary!P17*1.5</f>
        <v/>
      </c>
      <c r="Q19" s="34">
        <f>COGS_Summary!Q17*1.5</f>
        <v/>
      </c>
      <c r="R19" s="34">
        <f>COGS_Summary!R17*1.5</f>
        <v/>
      </c>
      <c r="S19" s="34">
        <f>COGS_Summary!S17*1.5</f>
        <v/>
      </c>
      <c r="T19" s="34">
        <f>COGS_Summary!T17*1.5</f>
        <v/>
      </c>
      <c r="U19" s="34">
        <f>COGS_Summary!U17*1.5</f>
        <v/>
      </c>
      <c r="V19" s="34">
        <f>COGS_Summary!V17*1.5</f>
        <v/>
      </c>
      <c r="W19" s="34">
        <f>COGS_Summary!W17*1.5</f>
        <v/>
      </c>
      <c r="X19" s="34">
        <f>COGS_Summary!X17*1.5</f>
        <v/>
      </c>
      <c r="Y19" s="34">
        <f>COGS_Summary!Y17*1.5</f>
        <v/>
      </c>
      <c r="Z19" s="34">
        <f>COGS_Summary!Z17*1.5</f>
        <v/>
      </c>
      <c r="AA19" s="34">
        <f>COGS_Summary!AA17*1.5</f>
        <v/>
      </c>
      <c r="AB19" s="34">
        <f>COGS_Summary!AB17*1.5</f>
        <v/>
      </c>
      <c r="AC19" s="34">
        <f>COGS_Summary!AC17*1.5</f>
        <v/>
      </c>
      <c r="AD19" s="34">
        <f>COGS_Summary!AD17*1.5</f>
        <v/>
      </c>
      <c r="AE19" s="34">
        <f>COGS_Summary!AE17*1.5</f>
        <v/>
      </c>
      <c r="AF19" s="34">
        <f>COGS_Summary!AF17*1.5</f>
        <v/>
      </c>
      <c r="AG19" s="34">
        <f>COGS_Summary!AG17*1.5</f>
        <v/>
      </c>
      <c r="AH19" s="34">
        <f>COGS_Summary!AH17*1.5</f>
        <v/>
      </c>
      <c r="AI19" s="34">
        <f>COGS_Summary!AI17*1.5</f>
        <v/>
      </c>
      <c r="AJ19" s="34">
        <f>COGS_Summary!AJ17*1.5</f>
        <v/>
      </c>
      <c r="AK19" s="34">
        <f>COGS_Summary!AK17*1.5</f>
        <v/>
      </c>
      <c r="AL19" s="34">
        <f>COGS_Summary!AL17*1.5</f>
        <v/>
      </c>
      <c r="AM19" s="34">
        <f>COGS_Summary!AM17*1.5</f>
        <v/>
      </c>
      <c r="AN19" s="34">
        <f>COGS_Summary!AN17*1.5</f>
        <v/>
      </c>
      <c r="AO19" s="34">
        <f>COGS_Summary!AO17*1.5</f>
        <v/>
      </c>
      <c r="AP19" s="34">
        <f>COGS_Summary!AP17*1.5</f>
        <v/>
      </c>
      <c r="AQ19" s="34">
        <f>COGS_Summary!AQ17*1.5</f>
        <v/>
      </c>
      <c r="AR19" s="34">
        <f>COGS_Summary!AR17*1.5</f>
        <v/>
      </c>
      <c r="AS19" s="34">
        <f>COGS_Summary!AS17*1.5</f>
        <v/>
      </c>
      <c r="AT19" s="34">
        <f>COGS_Summary!AT17*1.5</f>
        <v/>
      </c>
      <c r="AU19" s="34">
        <f>COGS_Summary!AU17*1.5</f>
        <v/>
      </c>
      <c r="AV19" s="34">
        <f>COGS_Summary!AV17*1.5</f>
        <v/>
      </c>
      <c r="AW19" s="34">
        <f>COGS_Summary!AW17*1.5</f>
        <v/>
      </c>
      <c r="AX19" s="34">
        <f>COGS_Summary!AX17*1.5</f>
        <v/>
      </c>
      <c r="AY19" s="34">
        <f>COGS_Summary!AY17*1.5</f>
        <v/>
      </c>
      <c r="AZ19" s="34">
        <f>COGS_Summary!AZ17*1.5</f>
        <v/>
      </c>
      <c r="BA19" s="34">
        <f>COGS_Summary!BA17*1.5</f>
        <v/>
      </c>
      <c r="BB19" s="34">
        <f>COGS_Summary!BB17*1.5</f>
        <v/>
      </c>
      <c r="BC19" s="34">
        <f>COGS_Summary!BC17*1.5</f>
        <v/>
      </c>
      <c r="BD19" s="34">
        <f>COGS_Summary!BD17*1.5</f>
        <v/>
      </c>
      <c r="BE19" s="34">
        <f>COGS_Summary!BE17*1.5</f>
        <v/>
      </c>
      <c r="BF19" s="34">
        <f>COGS_Summary!BF17*1.5</f>
        <v/>
      </c>
      <c r="BG19" s="34">
        <f>COGS_Summary!BG17*1.5</f>
        <v/>
      </c>
      <c r="BH19" s="34">
        <f>COGS_Summary!BH17*1.5</f>
        <v/>
      </c>
      <c r="BI19" s="34">
        <f>COGS_Summary!BI17*1.5</f>
        <v/>
      </c>
      <c r="BJ19" s="34">
        <f>COGS_Summary!BJ17*1.5</f>
        <v/>
      </c>
      <c r="BK19" s="34">
        <f>COGS_Summary!BK17*1.5</f>
        <v/>
      </c>
      <c r="BL19" s="34">
        <f>COGS_Summary!BL17*1.5</f>
        <v/>
      </c>
      <c r="BM19" s="34">
        <f>COGS_Summary!BM17*1.5</f>
        <v/>
      </c>
      <c r="BN19" s="34">
        <f>COGS_Summary!BN17*1.5</f>
        <v/>
      </c>
      <c r="BO19" s="34">
        <f>COGS_Summary!BO17*1.5</f>
        <v/>
      </c>
      <c r="BP19" s="34">
        <f>COGS_Summary!BP17*1.5</f>
        <v/>
      </c>
      <c r="BQ19" s="34">
        <f>COGS_Summary!BQ17*1.5</f>
        <v/>
      </c>
      <c r="BR19" s="34">
        <f>COGS_Summary!BR17*1.5</f>
        <v/>
      </c>
      <c r="BS19" s="34">
        <f>COGS_Summary!BS17*1.5</f>
        <v/>
      </c>
      <c r="BT19" s="34">
        <f>COGS_Summary!BT17*1.5</f>
        <v/>
      </c>
      <c r="BU19" s="34">
        <f>COGS_Summary!BU17*1.5</f>
        <v/>
      </c>
      <c r="BV19" s="34">
        <f>COGS_Summary!BV17*1.5</f>
        <v/>
      </c>
      <c r="BW19" s="34">
        <f>COGS_Summary!BW17*1.5</f>
        <v/>
      </c>
      <c r="BX19" s="34">
        <f>COGS_Summary!BX17*1.5</f>
        <v/>
      </c>
      <c r="BY19" s="34">
        <f>COGS_Summary!BY17*1.5</f>
        <v/>
      </c>
      <c r="BZ19" s="34">
        <f>COGS_Summary!BZ17*1.5</f>
        <v/>
      </c>
      <c r="CA19" s="34">
        <f>COGS_Summary!CA17*1.5</f>
        <v/>
      </c>
      <c r="CB19" s="34">
        <f>COGS_Summary!CB17*1.5</f>
        <v/>
      </c>
      <c r="CC19" s="34">
        <f>COGS_Summary!CC17*1.5</f>
        <v/>
      </c>
      <c r="CD19" s="34">
        <f>COGS_Summary!CD17*1.5</f>
        <v/>
      </c>
      <c r="CE19" s="34">
        <f>COGS_Summary!CE17*1.5</f>
        <v/>
      </c>
      <c r="CF19" s="34">
        <f>COGS_Summary!CF17*1.5</f>
        <v/>
      </c>
      <c r="CG19" s="34">
        <f>COGS_Summary!CG17*1.5</f>
        <v/>
      </c>
      <c r="CH19" s="34">
        <f>COGS_Summary!CH17*1.5</f>
        <v/>
      </c>
      <c r="CI19" s="34">
        <f>COGS_Summary!CI17*1.5</f>
        <v/>
      </c>
      <c r="CJ19" s="34">
        <f>COGS_Summary!CJ17*1.5</f>
        <v/>
      </c>
      <c r="CK19" s="34">
        <f>COGS_Summary!CK17*1.5</f>
        <v/>
      </c>
      <c r="CL19" s="34">
        <f>COGS_Summary!CL17*1.5</f>
        <v/>
      </c>
      <c r="CM19" s="34">
        <f>COGS_Summary!CM17*1.5</f>
        <v/>
      </c>
      <c r="CN19" s="34">
        <f>COGS_Summary!CN17*1.5</f>
        <v/>
      </c>
      <c r="CO19" s="34">
        <f>COGS_Summary!CO17*1.5</f>
        <v/>
      </c>
      <c r="CP19" s="34">
        <f>COGS_Summary!CP17*1.5</f>
        <v/>
      </c>
      <c r="CQ19" s="34">
        <f>COGS_Summary!CQ17*1.5</f>
        <v/>
      </c>
      <c r="CR19" s="34">
        <f>COGS_Summary!CR17*1.5</f>
        <v/>
      </c>
      <c r="CS19" s="34">
        <f>COGS_Summary!CS17*1.5</f>
        <v/>
      </c>
      <c r="CT19" s="34">
        <f>COGS_Summary!CT17*1.5</f>
        <v/>
      </c>
      <c r="CU19" s="34">
        <f>COGS_Summary!CU17*1.5</f>
        <v/>
      </c>
      <c r="CV19" s="34">
        <f>COGS_Summary!CV17*1.5</f>
        <v/>
      </c>
      <c r="CW19" s="34">
        <f>COGS_Summary!CW17*1.5</f>
        <v/>
      </c>
      <c r="CX19" s="34">
        <f>COGS_Summary!CX17*1.5</f>
        <v/>
      </c>
      <c r="CY19" s="34">
        <f>COGS_Summary!CY17*1.5</f>
        <v/>
      </c>
      <c r="CZ19" s="34">
        <f>COGS_Summary!CZ17*1.5</f>
        <v/>
      </c>
      <c r="DA19" s="34">
        <f>COGS_Summary!DA17*1.5</f>
        <v/>
      </c>
      <c r="DB19" s="34">
        <f>COGS_Summary!DB17*1.5</f>
        <v/>
      </c>
      <c r="DC19" s="34">
        <f>COGS_Summary!DC17*1.5</f>
        <v/>
      </c>
      <c r="DD19" s="34">
        <f>COGS_Summary!DD17*1.5</f>
        <v/>
      </c>
      <c r="DE19" s="34">
        <f>COGS_Summary!DE17*1.5</f>
        <v/>
      </c>
      <c r="DF19" s="34">
        <f>COGS_Summary!DF17*1.5</f>
        <v/>
      </c>
      <c r="DG19" s="34">
        <f>COGS_Summary!DG17*1.5</f>
        <v/>
      </c>
      <c r="DH19" s="34">
        <f>COGS_Summary!DH17*1.5</f>
        <v/>
      </c>
      <c r="DI19" s="34">
        <f>COGS_Summary!DI17*1.5</f>
        <v/>
      </c>
      <c r="DJ19" s="34">
        <f>COGS_Summary!DJ17*1.5</f>
        <v/>
      </c>
      <c r="DK19" s="34">
        <f>COGS_Summary!DK17*1.5</f>
        <v/>
      </c>
      <c r="DL19" s="34">
        <f>COGS_Summary!DL17*1.5</f>
        <v/>
      </c>
      <c r="DM19" s="34">
        <f>COGS_Summary!DM17*1.5</f>
        <v/>
      </c>
      <c r="DN19" s="34">
        <f>COGS_Summary!DN17*1.5</f>
        <v/>
      </c>
      <c r="DO19" s="34">
        <f>COGS_Summary!DO17*1.5</f>
        <v/>
      </c>
      <c r="DP19" s="34">
        <f>COGS_Summary!DP17*1.5</f>
        <v/>
      </c>
      <c r="DQ19" s="34">
        <f>COGS_Summary!DQ17*1.5</f>
        <v/>
      </c>
    </row>
    <row r="20">
      <c r="A20" t="inlineStr">
        <is>
          <t xml:space="preserve">  Debt (current)</t>
        </is>
      </c>
      <c r="B20" s="34" t="n">
        <v>2142.86</v>
      </c>
      <c r="C20" s="34" t="n">
        <v>2142.86</v>
      </c>
      <c r="D20" s="34" t="n">
        <v>2142.86</v>
      </c>
      <c r="E20" s="34" t="n">
        <v>2142.86</v>
      </c>
      <c r="F20" s="34" t="n">
        <v>2142.86</v>
      </c>
      <c r="G20" s="34" t="n">
        <v>2142.86</v>
      </c>
      <c r="H20" s="34" t="n">
        <v>2142.86</v>
      </c>
      <c r="I20" s="34" t="n">
        <v>2142.86</v>
      </c>
      <c r="J20" s="34" t="n">
        <v>2142.86</v>
      </c>
      <c r="K20" s="34" t="n">
        <v>2142.86</v>
      </c>
      <c r="L20" s="34" t="n">
        <v>2142.86</v>
      </c>
      <c r="M20" s="34" t="n">
        <v>2142.86</v>
      </c>
      <c r="N20" s="34" t="n">
        <v>2142.86</v>
      </c>
      <c r="O20" s="34" t="n">
        <v>2142.86</v>
      </c>
      <c r="P20" s="34" t="n">
        <v>2142.86</v>
      </c>
      <c r="Q20" s="34" t="n">
        <v>2142.86</v>
      </c>
      <c r="R20" s="34" t="n">
        <v>2142.86</v>
      </c>
      <c r="S20" s="34" t="n">
        <v>2142.86</v>
      </c>
      <c r="T20" s="34" t="n">
        <v>2142.86</v>
      </c>
      <c r="U20" s="34" t="n">
        <v>2142.86</v>
      </c>
      <c r="V20" s="34" t="n">
        <v>2142.86</v>
      </c>
      <c r="W20" s="34" t="n">
        <v>2142.86</v>
      </c>
      <c r="X20" s="34" t="n">
        <v>2142.86</v>
      </c>
      <c r="Y20" s="34" t="n">
        <v>2142.86</v>
      </c>
      <c r="Z20" s="34" t="n">
        <v>2142.86</v>
      </c>
      <c r="AA20" s="34" t="n">
        <v>2142.86</v>
      </c>
      <c r="AB20" s="34" t="n">
        <v>2142.86</v>
      </c>
      <c r="AC20" s="34" t="n">
        <v>2142.86</v>
      </c>
      <c r="AD20" s="34" t="n">
        <v>2142.86</v>
      </c>
      <c r="AE20" s="34" t="n">
        <v>2142.86</v>
      </c>
      <c r="AF20" s="34" t="n">
        <v>2142.86</v>
      </c>
      <c r="AG20" s="34" t="n">
        <v>2142.86</v>
      </c>
      <c r="AH20" s="34" t="n">
        <v>2142.86</v>
      </c>
      <c r="AI20" s="34" t="n">
        <v>2142.86</v>
      </c>
      <c r="AJ20" s="34" t="n">
        <v>2142.86</v>
      </c>
      <c r="AK20" s="34" t="n">
        <v>2142.86</v>
      </c>
      <c r="AL20" s="34" t="n">
        <v>2142.86</v>
      </c>
      <c r="AM20" s="34" t="n">
        <v>2142.86</v>
      </c>
      <c r="AN20" s="34" t="n">
        <v>2142.86</v>
      </c>
      <c r="AO20" s="34" t="n">
        <v>2142.86</v>
      </c>
      <c r="AP20" s="34" t="n">
        <v>2142.86</v>
      </c>
      <c r="AQ20" s="34" t="n">
        <v>2142.86</v>
      </c>
      <c r="AR20" s="34" t="n">
        <v>2142.86</v>
      </c>
      <c r="AS20" s="34" t="n">
        <v>2142.86</v>
      </c>
      <c r="AT20" s="34" t="n">
        <v>2142.86</v>
      </c>
      <c r="AU20" s="34" t="n">
        <v>2142.86</v>
      </c>
      <c r="AV20" s="34" t="n">
        <v>2142.86</v>
      </c>
      <c r="AW20" s="34" t="n">
        <v>2142.86</v>
      </c>
      <c r="AX20" s="34" t="n">
        <v>2142.86</v>
      </c>
      <c r="AY20" s="34" t="n">
        <v>2142.86</v>
      </c>
      <c r="AZ20" s="34" t="n">
        <v>2142.86</v>
      </c>
      <c r="BA20" s="34" t="n">
        <v>2142.86</v>
      </c>
      <c r="BB20" s="34" t="n">
        <v>2142.86</v>
      </c>
      <c r="BC20" s="34" t="n">
        <v>2142.86</v>
      </c>
      <c r="BD20" s="34" t="n">
        <v>2142.86</v>
      </c>
      <c r="BE20" s="34" t="n">
        <v>2142.86</v>
      </c>
      <c r="BF20" s="34" t="n">
        <v>2142.86</v>
      </c>
      <c r="BG20" s="34" t="n">
        <v>2142.86</v>
      </c>
      <c r="BH20" s="34" t="n">
        <v>2142.86</v>
      </c>
      <c r="BI20" s="34" t="n">
        <v>2142.86</v>
      </c>
      <c r="BJ20" s="34" t="n">
        <v>2142.86</v>
      </c>
      <c r="BK20" s="34" t="n">
        <v>2142.86</v>
      </c>
      <c r="BL20" s="34" t="n">
        <v>2142.86</v>
      </c>
      <c r="BM20" s="34" t="n">
        <v>2142.86</v>
      </c>
      <c r="BN20" s="34" t="n">
        <v>2142.86</v>
      </c>
      <c r="BO20" s="34" t="n">
        <v>2142.86</v>
      </c>
      <c r="BP20" s="34" t="n">
        <v>2142.86</v>
      </c>
      <c r="BQ20" s="34" t="n">
        <v>2142.86</v>
      </c>
      <c r="BR20" s="34" t="n">
        <v>2142.86</v>
      </c>
      <c r="BS20" s="34" t="n">
        <v>2142.86</v>
      </c>
      <c r="BT20" s="34" t="n">
        <v>2142.86</v>
      </c>
      <c r="BU20" s="34" t="n">
        <v>2142.86</v>
      </c>
      <c r="BV20" s="34" t="n">
        <v>2142.86</v>
      </c>
      <c r="BW20" s="34" t="n">
        <v>2142.86</v>
      </c>
      <c r="BX20" s="34" t="n">
        <v>2142.86</v>
      </c>
      <c r="BY20" s="34" t="n">
        <v>2142.86</v>
      </c>
      <c r="BZ20" s="34" t="n">
        <v>2142.86</v>
      </c>
      <c r="CA20" s="34" t="n">
        <v>2142.86</v>
      </c>
      <c r="CB20" s="34" t="n">
        <v>2142.86</v>
      </c>
      <c r="CC20" s="34" t="n">
        <v>2142.86</v>
      </c>
      <c r="CD20" s="34" t="n">
        <v>2142.86</v>
      </c>
      <c r="CE20" s="34" t="n">
        <v>2142.86</v>
      </c>
      <c r="CF20" s="34" t="n">
        <v>2142.86</v>
      </c>
      <c r="CG20" s="34" t="n">
        <v>2142.86</v>
      </c>
      <c r="CH20" s="34" t="n">
        <v>2142.86</v>
      </c>
      <c r="CI20" s="34" t="n">
        <v>2142.86</v>
      </c>
      <c r="CJ20" s="34" t="n">
        <v>2142.86</v>
      </c>
      <c r="CK20" s="34" t="n">
        <v>2142.86</v>
      </c>
      <c r="CL20" s="34" t="n">
        <v>2142.86</v>
      </c>
      <c r="CM20" s="34" t="n">
        <v>2142.86</v>
      </c>
      <c r="CN20" s="34" t="n">
        <v>2142.86</v>
      </c>
      <c r="CO20" s="34" t="n">
        <v>2142.86</v>
      </c>
      <c r="CP20" s="34" t="n">
        <v>2142.86</v>
      </c>
      <c r="CQ20" s="34" t="n">
        <v>2142.86</v>
      </c>
      <c r="CR20" s="34" t="n">
        <v>2142.86</v>
      </c>
      <c r="CS20" s="34" t="n">
        <v>2142.86</v>
      </c>
      <c r="CT20" s="34" t="n">
        <v>2142.86</v>
      </c>
      <c r="CU20" s="34" t="n">
        <v>2142.86</v>
      </c>
      <c r="CV20" s="34" t="n">
        <v>2142.86</v>
      </c>
      <c r="CW20" s="34" t="n">
        <v>2142.86</v>
      </c>
      <c r="CX20" s="34" t="n">
        <v>2142.86</v>
      </c>
      <c r="CY20" s="34" t="n">
        <v>2142.86</v>
      </c>
      <c r="CZ20" s="34" t="n">
        <v>2142.86</v>
      </c>
      <c r="DA20" s="34" t="n">
        <v>2142.86</v>
      </c>
      <c r="DB20" s="34" t="n">
        <v>2142.86</v>
      </c>
      <c r="DC20" s="34" t="n">
        <v>2142.86</v>
      </c>
      <c r="DD20" s="34" t="n">
        <v>2142.86</v>
      </c>
      <c r="DE20" s="34" t="n">
        <v>2142.86</v>
      </c>
      <c r="DF20" s="34" t="n">
        <v>2142.86</v>
      </c>
      <c r="DG20" s="34" t="n">
        <v>2142.86</v>
      </c>
      <c r="DH20" s="34" t="n">
        <v>2142.86</v>
      </c>
      <c r="DI20" s="34" t="n">
        <v>2142.86</v>
      </c>
      <c r="DJ20" s="34" t="n">
        <v>2142.86</v>
      </c>
      <c r="DK20" s="34" t="n">
        <v>2142.86</v>
      </c>
      <c r="DL20" s="34" t="n">
        <v>2142.86</v>
      </c>
      <c r="DM20" s="34" t="n">
        <v>2142.86</v>
      </c>
      <c r="DN20" s="34" t="n">
        <v>2142.86</v>
      </c>
      <c r="DO20" s="34" t="n">
        <v>2142.86</v>
      </c>
      <c r="DP20" s="34" t="n">
        <v>2142.86</v>
      </c>
      <c r="DQ20" s="34" t="n">
        <v>2142.86</v>
      </c>
    </row>
    <row r="21">
      <c r="A21" t="inlineStr">
        <is>
          <t>Total Current Liabilities</t>
        </is>
      </c>
      <c r="B21" s="34">
        <f>B19+B20</f>
        <v/>
      </c>
      <c r="C21" s="34">
        <f>C19+C20</f>
        <v/>
      </c>
      <c r="D21" s="34">
        <f>D19+D20</f>
        <v/>
      </c>
      <c r="E21" s="34">
        <f>E19+E20</f>
        <v/>
      </c>
      <c r="F21" s="34">
        <f>F19+F20</f>
        <v/>
      </c>
      <c r="G21" s="34">
        <f>G19+G20</f>
        <v/>
      </c>
      <c r="H21" s="34">
        <f>H19+H20</f>
        <v/>
      </c>
      <c r="I21" s="34">
        <f>I19+I20</f>
        <v/>
      </c>
      <c r="J21" s="34">
        <f>J19+J20</f>
        <v/>
      </c>
      <c r="K21" s="34">
        <f>K19+K20</f>
        <v/>
      </c>
      <c r="L21" s="34">
        <f>L19+L20</f>
        <v/>
      </c>
      <c r="M21" s="34">
        <f>M19+M20</f>
        <v/>
      </c>
      <c r="N21" s="34">
        <f>N19+N20</f>
        <v/>
      </c>
      <c r="O21" s="34">
        <f>O19+O20</f>
        <v/>
      </c>
      <c r="P21" s="34">
        <f>P19+P20</f>
        <v/>
      </c>
      <c r="Q21" s="34">
        <f>Q19+Q20</f>
        <v/>
      </c>
      <c r="R21" s="34">
        <f>R19+R20</f>
        <v/>
      </c>
      <c r="S21" s="34">
        <f>S19+S20</f>
        <v/>
      </c>
      <c r="T21" s="34">
        <f>T19+T20</f>
        <v/>
      </c>
      <c r="U21" s="34">
        <f>U19+U20</f>
        <v/>
      </c>
      <c r="V21" s="34">
        <f>V19+V20</f>
        <v/>
      </c>
      <c r="W21" s="34">
        <f>W19+W20</f>
        <v/>
      </c>
      <c r="X21" s="34">
        <f>X19+X20</f>
        <v/>
      </c>
      <c r="Y21" s="34">
        <f>Y19+Y20</f>
        <v/>
      </c>
      <c r="Z21" s="34">
        <f>Z19+Z20</f>
        <v/>
      </c>
      <c r="AA21" s="34">
        <f>AA19+AA20</f>
        <v/>
      </c>
      <c r="AB21" s="34">
        <f>AB19+AB20</f>
        <v/>
      </c>
      <c r="AC21" s="34">
        <f>AC19+AC20</f>
        <v/>
      </c>
      <c r="AD21" s="34">
        <f>AD19+AD20</f>
        <v/>
      </c>
      <c r="AE21" s="34">
        <f>AE19+AE20</f>
        <v/>
      </c>
      <c r="AF21" s="34">
        <f>AF19+AF20</f>
        <v/>
      </c>
      <c r="AG21" s="34">
        <f>AG19+AG20</f>
        <v/>
      </c>
      <c r="AH21" s="34">
        <f>AH19+AH20</f>
        <v/>
      </c>
      <c r="AI21" s="34">
        <f>AI19+AI20</f>
        <v/>
      </c>
      <c r="AJ21" s="34">
        <f>AJ19+AJ20</f>
        <v/>
      </c>
      <c r="AK21" s="34">
        <f>AK19+AK20</f>
        <v/>
      </c>
      <c r="AL21" s="34">
        <f>AL19+AL20</f>
        <v/>
      </c>
      <c r="AM21" s="34">
        <f>AM19+AM20</f>
        <v/>
      </c>
      <c r="AN21" s="34">
        <f>AN19+AN20</f>
        <v/>
      </c>
      <c r="AO21" s="34">
        <f>AO19+AO20</f>
        <v/>
      </c>
      <c r="AP21" s="34">
        <f>AP19+AP20</f>
        <v/>
      </c>
      <c r="AQ21" s="34">
        <f>AQ19+AQ20</f>
        <v/>
      </c>
      <c r="AR21" s="34">
        <f>AR19+AR20</f>
        <v/>
      </c>
      <c r="AS21" s="34">
        <f>AS19+AS20</f>
        <v/>
      </c>
      <c r="AT21" s="34">
        <f>AT19+AT20</f>
        <v/>
      </c>
      <c r="AU21" s="34">
        <f>AU19+AU20</f>
        <v/>
      </c>
      <c r="AV21" s="34">
        <f>AV19+AV20</f>
        <v/>
      </c>
      <c r="AW21" s="34">
        <f>AW19+AW20</f>
        <v/>
      </c>
      <c r="AX21" s="34">
        <f>AX19+AX20</f>
        <v/>
      </c>
      <c r="AY21" s="34">
        <f>AY19+AY20</f>
        <v/>
      </c>
      <c r="AZ21" s="34">
        <f>AZ19+AZ20</f>
        <v/>
      </c>
      <c r="BA21" s="34">
        <f>BA19+BA20</f>
        <v/>
      </c>
      <c r="BB21" s="34">
        <f>BB19+BB20</f>
        <v/>
      </c>
      <c r="BC21" s="34">
        <f>BC19+BC20</f>
        <v/>
      </c>
      <c r="BD21" s="34">
        <f>BD19+BD20</f>
        <v/>
      </c>
      <c r="BE21" s="34">
        <f>BE19+BE20</f>
        <v/>
      </c>
      <c r="BF21" s="34">
        <f>BF19+BF20</f>
        <v/>
      </c>
      <c r="BG21" s="34">
        <f>BG19+BG20</f>
        <v/>
      </c>
      <c r="BH21" s="34">
        <f>BH19+BH20</f>
        <v/>
      </c>
      <c r="BI21" s="34">
        <f>BI19+BI20</f>
        <v/>
      </c>
      <c r="BJ21" s="34">
        <f>BJ19+BJ20</f>
        <v/>
      </c>
      <c r="BK21" s="34">
        <f>BK19+BK20</f>
        <v/>
      </c>
      <c r="BL21" s="34">
        <f>BL19+BL20</f>
        <v/>
      </c>
      <c r="BM21" s="34">
        <f>BM19+BM20</f>
        <v/>
      </c>
      <c r="BN21" s="34">
        <f>BN19+BN20</f>
        <v/>
      </c>
      <c r="BO21" s="34">
        <f>BO19+BO20</f>
        <v/>
      </c>
      <c r="BP21" s="34">
        <f>BP19+BP20</f>
        <v/>
      </c>
      <c r="BQ21" s="34">
        <f>BQ19+BQ20</f>
        <v/>
      </c>
      <c r="BR21" s="34">
        <f>BR19+BR20</f>
        <v/>
      </c>
      <c r="BS21" s="34">
        <f>BS19+BS20</f>
        <v/>
      </c>
      <c r="BT21" s="34">
        <f>BT19+BT20</f>
        <v/>
      </c>
      <c r="BU21" s="34">
        <f>BU19+BU20</f>
        <v/>
      </c>
      <c r="BV21" s="34">
        <f>BV19+BV20</f>
        <v/>
      </c>
      <c r="BW21" s="34">
        <f>BW19+BW20</f>
        <v/>
      </c>
      <c r="BX21" s="34">
        <f>BX19+BX20</f>
        <v/>
      </c>
      <c r="BY21" s="34">
        <f>BY19+BY20</f>
        <v/>
      </c>
      <c r="BZ21" s="34">
        <f>BZ19+BZ20</f>
        <v/>
      </c>
      <c r="CA21" s="34">
        <f>CA19+CA20</f>
        <v/>
      </c>
      <c r="CB21" s="34">
        <f>CB19+CB20</f>
        <v/>
      </c>
      <c r="CC21" s="34">
        <f>CC19+CC20</f>
        <v/>
      </c>
      <c r="CD21" s="34">
        <f>CD19+CD20</f>
        <v/>
      </c>
      <c r="CE21" s="34">
        <f>CE19+CE20</f>
        <v/>
      </c>
      <c r="CF21" s="34">
        <f>CF19+CF20</f>
        <v/>
      </c>
      <c r="CG21" s="34">
        <f>CG19+CG20</f>
        <v/>
      </c>
      <c r="CH21" s="34">
        <f>CH19+CH20</f>
        <v/>
      </c>
      <c r="CI21" s="34">
        <f>CI19+CI20</f>
        <v/>
      </c>
      <c r="CJ21" s="34">
        <f>CJ19+CJ20</f>
        <v/>
      </c>
      <c r="CK21" s="34">
        <f>CK19+CK20</f>
        <v/>
      </c>
      <c r="CL21" s="34">
        <f>CL19+CL20</f>
        <v/>
      </c>
      <c r="CM21" s="34">
        <f>CM19+CM20</f>
        <v/>
      </c>
      <c r="CN21" s="34">
        <f>CN19+CN20</f>
        <v/>
      </c>
      <c r="CO21" s="34">
        <f>CO19+CO20</f>
        <v/>
      </c>
      <c r="CP21" s="34">
        <f>CP19+CP20</f>
        <v/>
      </c>
      <c r="CQ21" s="34">
        <f>CQ19+CQ20</f>
        <v/>
      </c>
      <c r="CR21" s="34">
        <f>CR19+CR20</f>
        <v/>
      </c>
      <c r="CS21" s="34">
        <f>CS19+CS20</f>
        <v/>
      </c>
      <c r="CT21" s="34">
        <f>CT19+CT20</f>
        <v/>
      </c>
      <c r="CU21" s="34">
        <f>CU19+CU20</f>
        <v/>
      </c>
      <c r="CV21" s="34">
        <f>CV19+CV20</f>
        <v/>
      </c>
      <c r="CW21" s="34">
        <f>CW19+CW20</f>
        <v/>
      </c>
      <c r="CX21" s="34">
        <f>CX19+CX20</f>
        <v/>
      </c>
      <c r="CY21" s="34">
        <f>CY19+CY20</f>
        <v/>
      </c>
      <c r="CZ21" s="34">
        <f>CZ19+CZ20</f>
        <v/>
      </c>
      <c r="DA21" s="34">
        <f>DA19+DA20</f>
        <v/>
      </c>
      <c r="DB21" s="34">
        <f>DB19+DB20</f>
        <v/>
      </c>
      <c r="DC21" s="34">
        <f>DC19+DC20</f>
        <v/>
      </c>
      <c r="DD21" s="34">
        <f>DD19+DD20</f>
        <v/>
      </c>
      <c r="DE21" s="34">
        <f>DE19+DE20</f>
        <v/>
      </c>
      <c r="DF21" s="34">
        <f>DF19+DF20</f>
        <v/>
      </c>
      <c r="DG21" s="34">
        <f>DG19+DG20</f>
        <v/>
      </c>
      <c r="DH21" s="34">
        <f>DH19+DH20</f>
        <v/>
      </c>
      <c r="DI21" s="34">
        <f>DI19+DI20</f>
        <v/>
      </c>
      <c r="DJ21" s="34">
        <f>DJ19+DJ20</f>
        <v/>
      </c>
      <c r="DK21" s="34">
        <f>DK19+DK20</f>
        <v/>
      </c>
      <c r="DL21" s="34">
        <f>DL19+DL20</f>
        <v/>
      </c>
      <c r="DM21" s="34">
        <f>DM19+DM20</f>
        <v/>
      </c>
      <c r="DN21" s="34">
        <f>DN19+DN20</f>
        <v/>
      </c>
      <c r="DO21" s="34">
        <f>DO19+DO20</f>
        <v/>
      </c>
      <c r="DP21" s="34">
        <f>DP19+DP20</f>
        <v/>
      </c>
      <c r="DQ21" s="34">
        <f>DQ19+DQ20</f>
        <v/>
      </c>
    </row>
    <row r="22">
      <c r="A22" t="inlineStr"/>
    </row>
    <row r="23">
      <c r="A23" t="inlineStr">
        <is>
          <t>Non-Current Liabilities</t>
        </is>
      </c>
    </row>
    <row r="24">
      <c r="A24" t="inlineStr">
        <is>
          <t xml:space="preserve">  Debt (non-current)</t>
        </is>
      </c>
      <c r="B24" s="34" t="n">
        <v>15000</v>
      </c>
      <c r="C24" s="34" t="n">
        <v>15000</v>
      </c>
      <c r="D24" s="34" t="n">
        <v>15000</v>
      </c>
      <c r="E24" s="34" t="n">
        <v>15000</v>
      </c>
      <c r="F24" s="34" t="n">
        <v>15000</v>
      </c>
      <c r="G24" s="34" t="n">
        <v>15000</v>
      </c>
      <c r="H24" s="34" t="n">
        <v>15000</v>
      </c>
      <c r="I24" s="34" t="n">
        <v>15000</v>
      </c>
      <c r="J24" s="34" t="n">
        <v>15000</v>
      </c>
      <c r="K24" s="34" t="n">
        <v>15000</v>
      </c>
      <c r="L24" s="34" t="n">
        <v>15000</v>
      </c>
      <c r="M24" s="34" t="n">
        <v>15000</v>
      </c>
      <c r="N24" s="34" t="n">
        <v>15000</v>
      </c>
      <c r="O24" s="34" t="n">
        <v>15000</v>
      </c>
      <c r="P24" s="34" t="n">
        <v>15000</v>
      </c>
      <c r="Q24" s="34" t="n">
        <v>15000</v>
      </c>
      <c r="R24" s="34" t="n">
        <v>15000</v>
      </c>
      <c r="S24" s="34" t="n">
        <v>15000</v>
      </c>
      <c r="T24" s="34" t="n">
        <v>15000</v>
      </c>
      <c r="U24" s="34" t="n">
        <v>15000</v>
      </c>
      <c r="V24" s="34" t="n">
        <v>15000</v>
      </c>
      <c r="W24" s="34" t="n">
        <v>15000</v>
      </c>
      <c r="X24" s="34" t="n">
        <v>15000</v>
      </c>
      <c r="Y24" s="34" t="n">
        <v>15000</v>
      </c>
      <c r="Z24" s="34" t="n">
        <v>15000</v>
      </c>
      <c r="AA24" s="34" t="n">
        <v>15000</v>
      </c>
      <c r="AB24" s="34" t="n">
        <v>15000</v>
      </c>
      <c r="AC24" s="34" t="n">
        <v>15000</v>
      </c>
      <c r="AD24" s="34" t="n">
        <v>15000</v>
      </c>
      <c r="AE24" s="34" t="n">
        <v>15000</v>
      </c>
      <c r="AF24" s="34" t="n">
        <v>15000</v>
      </c>
      <c r="AG24" s="34" t="n">
        <v>15000</v>
      </c>
      <c r="AH24" s="34" t="n">
        <v>15000</v>
      </c>
      <c r="AI24" s="34" t="n">
        <v>15000</v>
      </c>
      <c r="AJ24" s="34" t="n">
        <v>15000</v>
      </c>
      <c r="AK24" s="34" t="n">
        <v>15000</v>
      </c>
      <c r="AL24" s="34" t="n">
        <v>15000</v>
      </c>
      <c r="AM24" s="34" t="n">
        <v>15000</v>
      </c>
      <c r="AN24" s="34" t="n">
        <v>15000</v>
      </c>
      <c r="AO24" s="34" t="n">
        <v>15000</v>
      </c>
      <c r="AP24" s="34" t="n">
        <v>15000</v>
      </c>
      <c r="AQ24" s="34" t="n">
        <v>15000</v>
      </c>
      <c r="AR24" s="34" t="n">
        <v>15000</v>
      </c>
      <c r="AS24" s="34" t="n">
        <v>15000</v>
      </c>
      <c r="AT24" s="34" t="n">
        <v>15000</v>
      </c>
      <c r="AU24" s="34" t="n">
        <v>15000</v>
      </c>
      <c r="AV24" s="34" t="n">
        <v>15000</v>
      </c>
      <c r="AW24" s="34" t="n">
        <v>15000</v>
      </c>
      <c r="AX24" s="34" t="n">
        <v>15000</v>
      </c>
      <c r="AY24" s="34" t="n">
        <v>15000</v>
      </c>
      <c r="AZ24" s="34" t="n">
        <v>15000</v>
      </c>
      <c r="BA24" s="34" t="n">
        <v>15000</v>
      </c>
      <c r="BB24" s="34" t="n">
        <v>15000</v>
      </c>
      <c r="BC24" s="34" t="n">
        <v>15000</v>
      </c>
      <c r="BD24" s="34" t="n">
        <v>15000</v>
      </c>
      <c r="BE24" s="34" t="n">
        <v>15000</v>
      </c>
      <c r="BF24" s="34" t="n">
        <v>15000</v>
      </c>
      <c r="BG24" s="34" t="n">
        <v>15000</v>
      </c>
      <c r="BH24" s="34" t="n">
        <v>15000</v>
      </c>
      <c r="BI24" s="34" t="n">
        <v>15000</v>
      </c>
      <c r="BJ24" s="34" t="n">
        <v>15000</v>
      </c>
      <c r="BK24" s="34" t="n">
        <v>15000</v>
      </c>
      <c r="BL24" s="34" t="n">
        <v>15000</v>
      </c>
      <c r="BM24" s="34" t="n">
        <v>15000</v>
      </c>
      <c r="BN24" s="34" t="n">
        <v>15000</v>
      </c>
      <c r="BO24" s="34" t="n">
        <v>15000</v>
      </c>
      <c r="BP24" s="34" t="n">
        <v>15000</v>
      </c>
      <c r="BQ24" s="34" t="n">
        <v>15000</v>
      </c>
      <c r="BR24" s="34" t="n">
        <v>15000</v>
      </c>
      <c r="BS24" s="34" t="n">
        <v>15000</v>
      </c>
      <c r="BT24" s="34" t="n">
        <v>15000</v>
      </c>
      <c r="BU24" s="34" t="n">
        <v>15000</v>
      </c>
      <c r="BV24" s="34" t="n">
        <v>15000</v>
      </c>
      <c r="BW24" s="34" t="n">
        <v>15000</v>
      </c>
      <c r="BX24" s="34" t="n">
        <v>15000</v>
      </c>
      <c r="BY24" s="34" t="n">
        <v>15000</v>
      </c>
      <c r="BZ24" s="34" t="n">
        <v>15000</v>
      </c>
      <c r="CA24" s="34" t="n">
        <v>15000</v>
      </c>
      <c r="CB24" s="34" t="n">
        <v>15000</v>
      </c>
      <c r="CC24" s="34" t="n">
        <v>15000</v>
      </c>
      <c r="CD24" s="34" t="n">
        <v>15000</v>
      </c>
      <c r="CE24" s="34" t="n">
        <v>15000</v>
      </c>
      <c r="CF24" s="34" t="n">
        <v>15000</v>
      </c>
      <c r="CG24" s="34" t="n">
        <v>15000</v>
      </c>
      <c r="CH24" s="34" t="n">
        <v>15000</v>
      </c>
      <c r="CI24" s="34" t="n">
        <v>15000</v>
      </c>
      <c r="CJ24" s="34" t="n">
        <v>15000</v>
      </c>
      <c r="CK24" s="34" t="n">
        <v>15000</v>
      </c>
      <c r="CL24" s="34" t="n">
        <v>15000</v>
      </c>
      <c r="CM24" s="34" t="n">
        <v>15000</v>
      </c>
      <c r="CN24" s="34" t="n">
        <v>15000</v>
      </c>
      <c r="CO24" s="34" t="n">
        <v>15000</v>
      </c>
      <c r="CP24" s="34" t="n">
        <v>15000</v>
      </c>
      <c r="CQ24" s="34" t="n">
        <v>15000</v>
      </c>
      <c r="CR24" s="34" t="n">
        <v>15000</v>
      </c>
      <c r="CS24" s="34" t="n">
        <v>15000</v>
      </c>
      <c r="CT24" s="34" t="n">
        <v>15000</v>
      </c>
      <c r="CU24" s="34" t="n">
        <v>15000</v>
      </c>
      <c r="CV24" s="34" t="n">
        <v>15000</v>
      </c>
      <c r="CW24" s="34" t="n">
        <v>15000</v>
      </c>
      <c r="CX24" s="34" t="n">
        <v>15000</v>
      </c>
      <c r="CY24" s="34" t="n">
        <v>15000</v>
      </c>
      <c r="CZ24" s="34" t="n">
        <v>15000</v>
      </c>
      <c r="DA24" s="34" t="n">
        <v>15000</v>
      </c>
      <c r="DB24" s="34" t="n">
        <v>15000</v>
      </c>
      <c r="DC24" s="34" t="n">
        <v>15000</v>
      </c>
      <c r="DD24" s="34" t="n">
        <v>15000</v>
      </c>
      <c r="DE24" s="34" t="n">
        <v>15000</v>
      </c>
      <c r="DF24" s="34" t="n">
        <v>15000</v>
      </c>
      <c r="DG24" s="34" t="n">
        <v>15000</v>
      </c>
      <c r="DH24" s="34" t="n">
        <v>15000</v>
      </c>
      <c r="DI24" s="34" t="n">
        <v>15000</v>
      </c>
      <c r="DJ24" s="34" t="n">
        <v>15000</v>
      </c>
      <c r="DK24" s="34" t="n">
        <v>15000</v>
      </c>
      <c r="DL24" s="34" t="n">
        <v>15000</v>
      </c>
      <c r="DM24" s="34" t="n">
        <v>15000</v>
      </c>
      <c r="DN24" s="34" t="n">
        <v>15000</v>
      </c>
      <c r="DO24" s="34" t="n">
        <v>15000</v>
      </c>
      <c r="DP24" s="34" t="n">
        <v>15000</v>
      </c>
      <c r="DQ24" s="34" t="n">
        <v>15000</v>
      </c>
    </row>
    <row r="25">
      <c r="A25" t="inlineStr">
        <is>
          <t>Total Non-Current Liabilities</t>
        </is>
      </c>
      <c r="B25" s="34">
        <f>B25</f>
        <v/>
      </c>
      <c r="C25" s="34">
        <f>C25</f>
        <v/>
      </c>
      <c r="D25" s="34">
        <f>D25</f>
        <v/>
      </c>
      <c r="E25" s="34">
        <f>E25</f>
        <v/>
      </c>
      <c r="F25" s="34">
        <f>F25</f>
        <v/>
      </c>
      <c r="G25" s="34">
        <f>G25</f>
        <v/>
      </c>
      <c r="H25" s="34">
        <f>H25</f>
        <v/>
      </c>
      <c r="I25" s="34">
        <f>I25</f>
        <v/>
      </c>
      <c r="J25" s="34">
        <f>J25</f>
        <v/>
      </c>
      <c r="K25" s="34">
        <f>K25</f>
        <v/>
      </c>
      <c r="L25" s="34">
        <f>L25</f>
        <v/>
      </c>
      <c r="M25" s="34">
        <f>M25</f>
        <v/>
      </c>
      <c r="N25" s="34">
        <f>N25</f>
        <v/>
      </c>
      <c r="O25" s="34">
        <f>O25</f>
        <v/>
      </c>
      <c r="P25" s="34">
        <f>P25</f>
        <v/>
      </c>
      <c r="Q25" s="34">
        <f>Q25</f>
        <v/>
      </c>
      <c r="R25" s="34">
        <f>R25</f>
        <v/>
      </c>
      <c r="S25" s="34">
        <f>S25</f>
        <v/>
      </c>
      <c r="T25" s="34">
        <f>T25</f>
        <v/>
      </c>
      <c r="U25" s="34">
        <f>U25</f>
        <v/>
      </c>
      <c r="V25" s="34">
        <f>V25</f>
        <v/>
      </c>
      <c r="W25" s="34">
        <f>W25</f>
        <v/>
      </c>
      <c r="X25" s="34">
        <f>X25</f>
        <v/>
      </c>
      <c r="Y25" s="34">
        <f>Y25</f>
        <v/>
      </c>
      <c r="Z25" s="34">
        <f>Z25</f>
        <v/>
      </c>
      <c r="AA25" s="34">
        <f>AA25</f>
        <v/>
      </c>
      <c r="AB25" s="34">
        <f>AB25</f>
        <v/>
      </c>
      <c r="AC25" s="34">
        <f>AC25</f>
        <v/>
      </c>
      <c r="AD25" s="34">
        <f>AD25</f>
        <v/>
      </c>
      <c r="AE25" s="34">
        <f>AE25</f>
        <v/>
      </c>
      <c r="AF25" s="34">
        <f>AF25</f>
        <v/>
      </c>
      <c r="AG25" s="34">
        <f>AG25</f>
        <v/>
      </c>
      <c r="AH25" s="34">
        <f>AH25</f>
        <v/>
      </c>
      <c r="AI25" s="34">
        <f>AI25</f>
        <v/>
      </c>
      <c r="AJ25" s="34">
        <f>AJ25</f>
        <v/>
      </c>
      <c r="AK25" s="34">
        <f>AK25</f>
        <v/>
      </c>
      <c r="AL25" s="34">
        <f>AL25</f>
        <v/>
      </c>
      <c r="AM25" s="34">
        <f>AM25</f>
        <v/>
      </c>
      <c r="AN25" s="34">
        <f>AN25</f>
        <v/>
      </c>
      <c r="AO25" s="34">
        <f>AO25</f>
        <v/>
      </c>
      <c r="AP25" s="34">
        <f>AP25</f>
        <v/>
      </c>
      <c r="AQ25" s="34">
        <f>AQ25</f>
        <v/>
      </c>
      <c r="AR25" s="34">
        <f>AR25</f>
        <v/>
      </c>
      <c r="AS25" s="34">
        <f>AS25</f>
        <v/>
      </c>
      <c r="AT25" s="34">
        <f>AT25</f>
        <v/>
      </c>
      <c r="AU25" s="34">
        <f>AU25</f>
        <v/>
      </c>
      <c r="AV25" s="34">
        <f>AV25</f>
        <v/>
      </c>
      <c r="AW25" s="34">
        <f>AW25</f>
        <v/>
      </c>
      <c r="AX25" s="34">
        <f>AX25</f>
        <v/>
      </c>
      <c r="AY25" s="34">
        <f>AY25</f>
        <v/>
      </c>
      <c r="AZ25" s="34">
        <f>AZ25</f>
        <v/>
      </c>
      <c r="BA25" s="34">
        <f>BA25</f>
        <v/>
      </c>
      <c r="BB25" s="34">
        <f>BB25</f>
        <v/>
      </c>
      <c r="BC25" s="34">
        <f>BC25</f>
        <v/>
      </c>
      <c r="BD25" s="34">
        <f>BD25</f>
        <v/>
      </c>
      <c r="BE25" s="34">
        <f>BE25</f>
        <v/>
      </c>
      <c r="BF25" s="34">
        <f>BF25</f>
        <v/>
      </c>
      <c r="BG25" s="34">
        <f>BG25</f>
        <v/>
      </c>
      <c r="BH25" s="34">
        <f>BH25</f>
        <v/>
      </c>
      <c r="BI25" s="34">
        <f>BI25</f>
        <v/>
      </c>
      <c r="BJ25" s="34">
        <f>BJ25</f>
        <v/>
      </c>
      <c r="BK25" s="34">
        <f>BK25</f>
        <v/>
      </c>
      <c r="BL25" s="34">
        <f>BL25</f>
        <v/>
      </c>
      <c r="BM25" s="34">
        <f>BM25</f>
        <v/>
      </c>
      <c r="BN25" s="34">
        <f>BN25</f>
        <v/>
      </c>
      <c r="BO25" s="34">
        <f>BO25</f>
        <v/>
      </c>
      <c r="BP25" s="34">
        <f>BP25</f>
        <v/>
      </c>
      <c r="BQ25" s="34">
        <f>BQ25</f>
        <v/>
      </c>
      <c r="BR25" s="34">
        <f>BR25</f>
        <v/>
      </c>
      <c r="BS25" s="34">
        <f>BS25</f>
        <v/>
      </c>
      <c r="BT25" s="34">
        <f>BT25</f>
        <v/>
      </c>
      <c r="BU25" s="34">
        <f>BU25</f>
        <v/>
      </c>
      <c r="BV25" s="34">
        <f>BV25</f>
        <v/>
      </c>
      <c r="BW25" s="34">
        <f>BW25</f>
        <v/>
      </c>
      <c r="BX25" s="34">
        <f>BX25</f>
        <v/>
      </c>
      <c r="BY25" s="34">
        <f>BY25</f>
        <v/>
      </c>
      <c r="BZ25" s="34">
        <f>BZ25</f>
        <v/>
      </c>
      <c r="CA25" s="34">
        <f>CA25</f>
        <v/>
      </c>
      <c r="CB25" s="34">
        <f>CB25</f>
        <v/>
      </c>
      <c r="CC25" s="34">
        <f>CC25</f>
        <v/>
      </c>
      <c r="CD25" s="34">
        <f>CD25</f>
        <v/>
      </c>
      <c r="CE25" s="34">
        <f>CE25</f>
        <v/>
      </c>
      <c r="CF25" s="34">
        <f>CF25</f>
        <v/>
      </c>
      <c r="CG25" s="34">
        <f>CG25</f>
        <v/>
      </c>
      <c r="CH25" s="34">
        <f>CH25</f>
        <v/>
      </c>
      <c r="CI25" s="34">
        <f>CI25</f>
        <v/>
      </c>
      <c r="CJ25" s="34">
        <f>CJ25</f>
        <v/>
      </c>
      <c r="CK25" s="34">
        <f>CK25</f>
        <v/>
      </c>
      <c r="CL25" s="34">
        <f>CL25</f>
        <v/>
      </c>
      <c r="CM25" s="34">
        <f>CM25</f>
        <v/>
      </c>
      <c r="CN25" s="34">
        <f>CN25</f>
        <v/>
      </c>
      <c r="CO25" s="34">
        <f>CO25</f>
        <v/>
      </c>
      <c r="CP25" s="34">
        <f>CP25</f>
        <v/>
      </c>
      <c r="CQ25" s="34">
        <f>CQ25</f>
        <v/>
      </c>
      <c r="CR25" s="34">
        <f>CR25</f>
        <v/>
      </c>
      <c r="CS25" s="34">
        <f>CS25</f>
        <v/>
      </c>
      <c r="CT25" s="34">
        <f>CT25</f>
        <v/>
      </c>
      <c r="CU25" s="34">
        <f>CU25</f>
        <v/>
      </c>
      <c r="CV25" s="34">
        <f>CV25</f>
        <v/>
      </c>
      <c r="CW25" s="34">
        <f>CW25</f>
        <v/>
      </c>
      <c r="CX25" s="34">
        <f>CX25</f>
        <v/>
      </c>
      <c r="CY25" s="34">
        <f>CY25</f>
        <v/>
      </c>
      <c r="CZ25" s="34">
        <f>CZ25</f>
        <v/>
      </c>
      <c r="DA25" s="34">
        <f>DA25</f>
        <v/>
      </c>
      <c r="DB25" s="34">
        <f>DB25</f>
        <v/>
      </c>
      <c r="DC25" s="34">
        <f>DC25</f>
        <v/>
      </c>
      <c r="DD25" s="34">
        <f>DD25</f>
        <v/>
      </c>
      <c r="DE25" s="34">
        <f>DE25</f>
        <v/>
      </c>
      <c r="DF25" s="34">
        <f>DF25</f>
        <v/>
      </c>
      <c r="DG25" s="34">
        <f>DG25</f>
        <v/>
      </c>
      <c r="DH25" s="34">
        <f>DH25</f>
        <v/>
      </c>
      <c r="DI25" s="34">
        <f>DI25</f>
        <v/>
      </c>
      <c r="DJ25" s="34">
        <f>DJ25</f>
        <v/>
      </c>
      <c r="DK25" s="34">
        <f>DK25</f>
        <v/>
      </c>
      <c r="DL25" s="34">
        <f>DL25</f>
        <v/>
      </c>
      <c r="DM25" s="34">
        <f>DM25</f>
        <v/>
      </c>
      <c r="DN25" s="34">
        <f>DN25</f>
        <v/>
      </c>
      <c r="DO25" s="34">
        <f>DO25</f>
        <v/>
      </c>
      <c r="DP25" s="34">
        <f>DP25</f>
        <v/>
      </c>
      <c r="DQ25" s="34">
        <f>DQ25</f>
        <v/>
      </c>
    </row>
    <row r="26">
      <c r="A26" t="inlineStr"/>
    </row>
    <row r="27">
      <c r="A27" s="3" t="inlineStr">
        <is>
          <t>TOTAL LIABILITIES</t>
        </is>
      </c>
      <c r="B27" s="35">
        <f>B21+B26</f>
        <v/>
      </c>
      <c r="C27" s="35">
        <f>C21+C26</f>
        <v/>
      </c>
      <c r="D27" s="35">
        <f>D21+D26</f>
        <v/>
      </c>
      <c r="E27" s="35">
        <f>E21+E26</f>
        <v/>
      </c>
      <c r="F27" s="35">
        <f>F21+F26</f>
        <v/>
      </c>
      <c r="G27" s="35">
        <f>G21+G26</f>
        <v/>
      </c>
      <c r="H27" s="35">
        <f>H21+H26</f>
        <v/>
      </c>
      <c r="I27" s="35">
        <f>I21+I26</f>
        <v/>
      </c>
      <c r="J27" s="35">
        <f>J21+J26</f>
        <v/>
      </c>
      <c r="K27" s="35">
        <f>K21+K26</f>
        <v/>
      </c>
      <c r="L27" s="35">
        <f>L21+L26</f>
        <v/>
      </c>
      <c r="M27" s="35">
        <f>M21+M26</f>
        <v/>
      </c>
      <c r="N27" s="35">
        <f>N21+N26</f>
        <v/>
      </c>
      <c r="O27" s="35">
        <f>O21+O26</f>
        <v/>
      </c>
      <c r="P27" s="35">
        <f>P21+P26</f>
        <v/>
      </c>
      <c r="Q27" s="35">
        <f>Q21+Q26</f>
        <v/>
      </c>
      <c r="R27" s="35">
        <f>R21+R26</f>
        <v/>
      </c>
      <c r="S27" s="35">
        <f>S21+S26</f>
        <v/>
      </c>
      <c r="T27" s="35">
        <f>T21+T26</f>
        <v/>
      </c>
      <c r="U27" s="35">
        <f>U21+U26</f>
        <v/>
      </c>
      <c r="V27" s="35">
        <f>V21+V26</f>
        <v/>
      </c>
      <c r="W27" s="35">
        <f>W21+W26</f>
        <v/>
      </c>
      <c r="X27" s="35">
        <f>X21+X26</f>
        <v/>
      </c>
      <c r="Y27" s="35">
        <f>Y21+Y26</f>
        <v/>
      </c>
      <c r="Z27" s="35">
        <f>Z21+Z26</f>
        <v/>
      </c>
      <c r="AA27" s="35">
        <f>AA21+AA26</f>
        <v/>
      </c>
      <c r="AB27" s="35">
        <f>AB21+AB26</f>
        <v/>
      </c>
      <c r="AC27" s="35">
        <f>AC21+AC26</f>
        <v/>
      </c>
      <c r="AD27" s="35">
        <f>AD21+AD26</f>
        <v/>
      </c>
      <c r="AE27" s="35">
        <f>AE21+AE26</f>
        <v/>
      </c>
      <c r="AF27" s="35">
        <f>AF21+AF26</f>
        <v/>
      </c>
      <c r="AG27" s="35">
        <f>AG21+AG26</f>
        <v/>
      </c>
      <c r="AH27" s="35">
        <f>AH21+AH26</f>
        <v/>
      </c>
      <c r="AI27" s="35">
        <f>AI21+AI26</f>
        <v/>
      </c>
      <c r="AJ27" s="35">
        <f>AJ21+AJ26</f>
        <v/>
      </c>
      <c r="AK27" s="35">
        <f>AK21+AK26</f>
        <v/>
      </c>
      <c r="AL27" s="35">
        <f>AL21+AL26</f>
        <v/>
      </c>
      <c r="AM27" s="35">
        <f>AM21+AM26</f>
        <v/>
      </c>
      <c r="AN27" s="35">
        <f>AN21+AN26</f>
        <v/>
      </c>
      <c r="AO27" s="35">
        <f>AO21+AO26</f>
        <v/>
      </c>
      <c r="AP27" s="35">
        <f>AP21+AP26</f>
        <v/>
      </c>
      <c r="AQ27" s="35">
        <f>AQ21+AQ26</f>
        <v/>
      </c>
      <c r="AR27" s="35">
        <f>AR21+AR26</f>
        <v/>
      </c>
      <c r="AS27" s="35">
        <f>AS21+AS26</f>
        <v/>
      </c>
      <c r="AT27" s="35">
        <f>AT21+AT26</f>
        <v/>
      </c>
      <c r="AU27" s="35">
        <f>AU21+AU26</f>
        <v/>
      </c>
      <c r="AV27" s="35">
        <f>AV21+AV26</f>
        <v/>
      </c>
      <c r="AW27" s="35">
        <f>AW21+AW26</f>
        <v/>
      </c>
      <c r="AX27" s="35">
        <f>AX21+AX26</f>
        <v/>
      </c>
      <c r="AY27" s="35">
        <f>AY21+AY26</f>
        <v/>
      </c>
      <c r="AZ27" s="35">
        <f>AZ21+AZ26</f>
        <v/>
      </c>
      <c r="BA27" s="35">
        <f>BA21+BA26</f>
        <v/>
      </c>
      <c r="BB27" s="35">
        <f>BB21+BB26</f>
        <v/>
      </c>
      <c r="BC27" s="35">
        <f>BC21+BC26</f>
        <v/>
      </c>
      <c r="BD27" s="35">
        <f>BD21+BD26</f>
        <v/>
      </c>
      <c r="BE27" s="35">
        <f>BE21+BE26</f>
        <v/>
      </c>
      <c r="BF27" s="35">
        <f>BF21+BF26</f>
        <v/>
      </c>
      <c r="BG27" s="35">
        <f>BG21+BG26</f>
        <v/>
      </c>
      <c r="BH27" s="35">
        <f>BH21+BH26</f>
        <v/>
      </c>
      <c r="BI27" s="35">
        <f>BI21+BI26</f>
        <v/>
      </c>
      <c r="BJ27" s="35">
        <f>BJ21+BJ26</f>
        <v/>
      </c>
      <c r="BK27" s="35">
        <f>BK21+BK26</f>
        <v/>
      </c>
      <c r="BL27" s="35">
        <f>BL21+BL26</f>
        <v/>
      </c>
      <c r="BM27" s="35">
        <f>BM21+BM26</f>
        <v/>
      </c>
      <c r="BN27" s="35">
        <f>BN21+BN26</f>
        <v/>
      </c>
      <c r="BO27" s="35">
        <f>BO21+BO26</f>
        <v/>
      </c>
      <c r="BP27" s="35">
        <f>BP21+BP26</f>
        <v/>
      </c>
      <c r="BQ27" s="35">
        <f>BQ21+BQ26</f>
        <v/>
      </c>
      <c r="BR27" s="35">
        <f>BR21+BR26</f>
        <v/>
      </c>
      <c r="BS27" s="35">
        <f>BS21+BS26</f>
        <v/>
      </c>
      <c r="BT27" s="35">
        <f>BT21+BT26</f>
        <v/>
      </c>
      <c r="BU27" s="35">
        <f>BU21+BU26</f>
        <v/>
      </c>
      <c r="BV27" s="35">
        <f>BV21+BV26</f>
        <v/>
      </c>
      <c r="BW27" s="35">
        <f>BW21+BW26</f>
        <v/>
      </c>
      <c r="BX27" s="35">
        <f>BX21+BX26</f>
        <v/>
      </c>
      <c r="BY27" s="35">
        <f>BY21+BY26</f>
        <v/>
      </c>
      <c r="BZ27" s="35">
        <f>BZ21+BZ26</f>
        <v/>
      </c>
      <c r="CA27" s="35">
        <f>CA21+CA26</f>
        <v/>
      </c>
      <c r="CB27" s="35">
        <f>CB21+CB26</f>
        <v/>
      </c>
      <c r="CC27" s="35">
        <f>CC21+CC26</f>
        <v/>
      </c>
      <c r="CD27" s="35">
        <f>CD21+CD26</f>
        <v/>
      </c>
      <c r="CE27" s="35">
        <f>CE21+CE26</f>
        <v/>
      </c>
      <c r="CF27" s="35">
        <f>CF21+CF26</f>
        <v/>
      </c>
      <c r="CG27" s="35">
        <f>CG21+CG26</f>
        <v/>
      </c>
      <c r="CH27" s="35">
        <f>CH21+CH26</f>
        <v/>
      </c>
      <c r="CI27" s="35">
        <f>CI21+CI26</f>
        <v/>
      </c>
      <c r="CJ27" s="35">
        <f>CJ21+CJ26</f>
        <v/>
      </c>
      <c r="CK27" s="35">
        <f>CK21+CK26</f>
        <v/>
      </c>
      <c r="CL27" s="35">
        <f>CL21+CL26</f>
        <v/>
      </c>
      <c r="CM27" s="35">
        <f>CM21+CM26</f>
        <v/>
      </c>
      <c r="CN27" s="35">
        <f>CN21+CN26</f>
        <v/>
      </c>
      <c r="CO27" s="35">
        <f>CO21+CO26</f>
        <v/>
      </c>
      <c r="CP27" s="35">
        <f>CP21+CP26</f>
        <v/>
      </c>
      <c r="CQ27" s="35">
        <f>CQ21+CQ26</f>
        <v/>
      </c>
      <c r="CR27" s="35">
        <f>CR21+CR26</f>
        <v/>
      </c>
      <c r="CS27" s="35">
        <f>CS21+CS26</f>
        <v/>
      </c>
      <c r="CT27" s="35">
        <f>CT21+CT26</f>
        <v/>
      </c>
      <c r="CU27" s="35">
        <f>CU21+CU26</f>
        <v/>
      </c>
      <c r="CV27" s="35">
        <f>CV21+CV26</f>
        <v/>
      </c>
      <c r="CW27" s="35">
        <f>CW21+CW26</f>
        <v/>
      </c>
      <c r="CX27" s="35">
        <f>CX21+CX26</f>
        <v/>
      </c>
      <c r="CY27" s="35">
        <f>CY21+CY26</f>
        <v/>
      </c>
      <c r="CZ27" s="35">
        <f>CZ21+CZ26</f>
        <v/>
      </c>
      <c r="DA27" s="35">
        <f>DA21+DA26</f>
        <v/>
      </c>
      <c r="DB27" s="35">
        <f>DB21+DB26</f>
        <v/>
      </c>
      <c r="DC27" s="35">
        <f>DC21+DC26</f>
        <v/>
      </c>
      <c r="DD27" s="35">
        <f>DD21+DD26</f>
        <v/>
      </c>
      <c r="DE27" s="35">
        <f>DE21+DE26</f>
        <v/>
      </c>
      <c r="DF27" s="35">
        <f>DF21+DF26</f>
        <v/>
      </c>
      <c r="DG27" s="35">
        <f>DG21+DG26</f>
        <v/>
      </c>
      <c r="DH27" s="35">
        <f>DH21+DH26</f>
        <v/>
      </c>
      <c r="DI27" s="35">
        <f>DI21+DI26</f>
        <v/>
      </c>
      <c r="DJ27" s="35">
        <f>DJ21+DJ26</f>
        <v/>
      </c>
      <c r="DK27" s="35">
        <f>DK21+DK26</f>
        <v/>
      </c>
      <c r="DL27" s="35">
        <f>DL21+DL26</f>
        <v/>
      </c>
      <c r="DM27" s="35">
        <f>DM21+DM26</f>
        <v/>
      </c>
      <c r="DN27" s="35">
        <f>DN21+DN26</f>
        <v/>
      </c>
      <c r="DO27" s="35">
        <f>DO21+DO26</f>
        <v/>
      </c>
      <c r="DP27" s="35">
        <f>DP21+DP26</f>
        <v/>
      </c>
      <c r="DQ27" s="35">
        <f>DQ21+DQ26</f>
        <v/>
      </c>
    </row>
    <row r="28">
      <c r="A28" t="inlineStr"/>
    </row>
    <row r="29">
      <c r="A29" t="inlineStr">
        <is>
          <t>EQUITY</t>
        </is>
      </c>
    </row>
    <row r="30">
      <c r="A30" t="inlineStr">
        <is>
          <t xml:space="preserve">  Share Capital</t>
        </is>
      </c>
      <c r="B30" s="34" t="n">
        <v>25000</v>
      </c>
      <c r="C30" s="34" t="n">
        <v>25000</v>
      </c>
      <c r="D30" s="34" t="n">
        <v>25000</v>
      </c>
      <c r="E30" s="34" t="n">
        <v>25000</v>
      </c>
      <c r="F30" s="34" t="n">
        <v>25000</v>
      </c>
      <c r="G30" s="34" t="n">
        <v>25000</v>
      </c>
      <c r="H30" s="34" t="n">
        <v>25000</v>
      </c>
      <c r="I30" s="34" t="n">
        <v>25000</v>
      </c>
      <c r="J30" s="34" t="n">
        <v>25000</v>
      </c>
      <c r="K30" s="34" t="n">
        <v>25000</v>
      </c>
      <c r="L30" s="34" t="n">
        <v>25000</v>
      </c>
      <c r="M30" s="34" t="n">
        <v>25000</v>
      </c>
      <c r="N30" s="34" t="n">
        <v>25000</v>
      </c>
      <c r="O30" s="34" t="n">
        <v>25000</v>
      </c>
      <c r="P30" s="34" t="n">
        <v>25000</v>
      </c>
      <c r="Q30" s="34" t="n">
        <v>25000</v>
      </c>
      <c r="R30" s="34" t="n">
        <v>25000</v>
      </c>
      <c r="S30" s="34" t="n">
        <v>25000</v>
      </c>
      <c r="T30" s="34" t="n">
        <v>25000</v>
      </c>
      <c r="U30" s="34" t="n">
        <v>25000</v>
      </c>
      <c r="V30" s="34" t="n">
        <v>25000</v>
      </c>
      <c r="W30" s="34" t="n">
        <v>25000</v>
      </c>
      <c r="X30" s="34" t="n">
        <v>25000</v>
      </c>
      <c r="Y30" s="34" t="n">
        <v>25000</v>
      </c>
      <c r="Z30" s="34" t="n">
        <v>25000</v>
      </c>
      <c r="AA30" s="34" t="n">
        <v>25000</v>
      </c>
      <c r="AB30" s="34" t="n">
        <v>25000</v>
      </c>
      <c r="AC30" s="34" t="n">
        <v>25000</v>
      </c>
      <c r="AD30" s="34" t="n">
        <v>25000</v>
      </c>
      <c r="AE30" s="34" t="n">
        <v>25000</v>
      </c>
      <c r="AF30" s="34" t="n">
        <v>25000</v>
      </c>
      <c r="AG30" s="34" t="n">
        <v>25000</v>
      </c>
      <c r="AH30" s="34" t="n">
        <v>25000</v>
      </c>
      <c r="AI30" s="34" t="n">
        <v>25000</v>
      </c>
      <c r="AJ30" s="34" t="n">
        <v>25000</v>
      </c>
      <c r="AK30" s="34" t="n">
        <v>25000</v>
      </c>
      <c r="AL30" s="34" t="n">
        <v>25000</v>
      </c>
      <c r="AM30" s="34" t="n">
        <v>25000</v>
      </c>
      <c r="AN30" s="34" t="n">
        <v>25000</v>
      </c>
      <c r="AO30" s="34" t="n">
        <v>25000</v>
      </c>
      <c r="AP30" s="34" t="n">
        <v>25000</v>
      </c>
      <c r="AQ30" s="34" t="n">
        <v>25000</v>
      </c>
      <c r="AR30" s="34" t="n">
        <v>25000</v>
      </c>
      <c r="AS30" s="34" t="n">
        <v>25000</v>
      </c>
      <c r="AT30" s="34" t="n">
        <v>25000</v>
      </c>
      <c r="AU30" s="34" t="n">
        <v>25000</v>
      </c>
      <c r="AV30" s="34" t="n">
        <v>25000</v>
      </c>
      <c r="AW30" s="34" t="n">
        <v>25000</v>
      </c>
      <c r="AX30" s="34" t="n">
        <v>25000</v>
      </c>
      <c r="AY30" s="34" t="n">
        <v>25000</v>
      </c>
      <c r="AZ30" s="34" t="n">
        <v>25000</v>
      </c>
      <c r="BA30" s="34" t="n">
        <v>25000</v>
      </c>
      <c r="BB30" s="34" t="n">
        <v>25000</v>
      </c>
      <c r="BC30" s="34" t="n">
        <v>25000</v>
      </c>
      <c r="BD30" s="34" t="n">
        <v>25000</v>
      </c>
      <c r="BE30" s="34" t="n">
        <v>25000</v>
      </c>
      <c r="BF30" s="34" t="n">
        <v>25000</v>
      </c>
      <c r="BG30" s="34" t="n">
        <v>25000</v>
      </c>
      <c r="BH30" s="34" t="n">
        <v>25000</v>
      </c>
      <c r="BI30" s="34" t="n">
        <v>25000</v>
      </c>
      <c r="BJ30" s="34" t="n">
        <v>25000</v>
      </c>
      <c r="BK30" s="34" t="n">
        <v>25000</v>
      </c>
      <c r="BL30" s="34" t="n">
        <v>25000</v>
      </c>
      <c r="BM30" s="34" t="n">
        <v>25000</v>
      </c>
      <c r="BN30" s="34" t="n">
        <v>25000</v>
      </c>
      <c r="BO30" s="34" t="n">
        <v>25000</v>
      </c>
      <c r="BP30" s="34" t="n">
        <v>25000</v>
      </c>
      <c r="BQ30" s="34" t="n">
        <v>25000</v>
      </c>
      <c r="BR30" s="34" t="n">
        <v>25000</v>
      </c>
      <c r="BS30" s="34" t="n">
        <v>25000</v>
      </c>
      <c r="BT30" s="34" t="n">
        <v>25000</v>
      </c>
      <c r="BU30" s="34" t="n">
        <v>25000</v>
      </c>
      <c r="BV30" s="34" t="n">
        <v>25000</v>
      </c>
      <c r="BW30" s="34" t="n">
        <v>25000</v>
      </c>
      <c r="BX30" s="34" t="n">
        <v>25000</v>
      </c>
      <c r="BY30" s="34" t="n">
        <v>25000</v>
      </c>
      <c r="BZ30" s="34" t="n">
        <v>25000</v>
      </c>
      <c r="CA30" s="34" t="n">
        <v>25000</v>
      </c>
      <c r="CB30" s="34" t="n">
        <v>25000</v>
      </c>
      <c r="CC30" s="34" t="n">
        <v>25000</v>
      </c>
      <c r="CD30" s="34" t="n">
        <v>25000</v>
      </c>
      <c r="CE30" s="34" t="n">
        <v>25000</v>
      </c>
      <c r="CF30" s="34" t="n">
        <v>25000</v>
      </c>
      <c r="CG30" s="34" t="n">
        <v>25000</v>
      </c>
      <c r="CH30" s="34" t="n">
        <v>25000</v>
      </c>
      <c r="CI30" s="34" t="n">
        <v>25000</v>
      </c>
      <c r="CJ30" s="34" t="n">
        <v>25000</v>
      </c>
      <c r="CK30" s="34" t="n">
        <v>25000</v>
      </c>
      <c r="CL30" s="34" t="n">
        <v>25000</v>
      </c>
      <c r="CM30" s="34" t="n">
        <v>25000</v>
      </c>
      <c r="CN30" s="34" t="n">
        <v>25000</v>
      </c>
      <c r="CO30" s="34" t="n">
        <v>25000</v>
      </c>
      <c r="CP30" s="34" t="n">
        <v>25000</v>
      </c>
      <c r="CQ30" s="34" t="n">
        <v>25000</v>
      </c>
      <c r="CR30" s="34" t="n">
        <v>25000</v>
      </c>
      <c r="CS30" s="34" t="n">
        <v>25000</v>
      </c>
      <c r="CT30" s="34" t="n">
        <v>25000</v>
      </c>
      <c r="CU30" s="34" t="n">
        <v>25000</v>
      </c>
      <c r="CV30" s="34" t="n">
        <v>25000</v>
      </c>
      <c r="CW30" s="34" t="n">
        <v>25000</v>
      </c>
      <c r="CX30" s="34" t="n">
        <v>25000</v>
      </c>
      <c r="CY30" s="34" t="n">
        <v>25000</v>
      </c>
      <c r="CZ30" s="34" t="n">
        <v>25000</v>
      </c>
      <c r="DA30" s="34" t="n">
        <v>25000</v>
      </c>
      <c r="DB30" s="34" t="n">
        <v>25000</v>
      </c>
      <c r="DC30" s="34" t="n">
        <v>25000</v>
      </c>
      <c r="DD30" s="34" t="n">
        <v>25000</v>
      </c>
      <c r="DE30" s="34" t="n">
        <v>25000</v>
      </c>
      <c r="DF30" s="34" t="n">
        <v>25000</v>
      </c>
      <c r="DG30" s="34" t="n">
        <v>25000</v>
      </c>
      <c r="DH30" s="34" t="n">
        <v>25000</v>
      </c>
      <c r="DI30" s="34" t="n">
        <v>25000</v>
      </c>
      <c r="DJ30" s="34" t="n">
        <v>25000</v>
      </c>
      <c r="DK30" s="34" t="n">
        <v>25000</v>
      </c>
      <c r="DL30" s="34" t="n">
        <v>25000</v>
      </c>
      <c r="DM30" s="34" t="n">
        <v>25000</v>
      </c>
      <c r="DN30" s="34" t="n">
        <v>25000</v>
      </c>
      <c r="DO30" s="34" t="n">
        <v>25000</v>
      </c>
      <c r="DP30" s="34" t="n">
        <v>25000</v>
      </c>
      <c r="DQ30" s="34" t="n">
        <v>25000</v>
      </c>
    </row>
    <row r="31">
      <c r="A31" t="inlineStr">
        <is>
          <t xml:space="preserve">  Retained Earnings</t>
        </is>
      </c>
      <c r="B31" s="34" t="n">
        <v>0</v>
      </c>
      <c r="C31" s="34" t="n">
        <v>0</v>
      </c>
      <c r="D31" s="34" t="n">
        <v>0</v>
      </c>
      <c r="E31" s="34" t="n">
        <v>0</v>
      </c>
      <c r="F31" s="34" t="n">
        <v>0</v>
      </c>
      <c r="G31" s="34" t="n">
        <v>0</v>
      </c>
      <c r="H31" s="34" t="n">
        <v>0</v>
      </c>
      <c r="I31" s="34" t="n">
        <v>0</v>
      </c>
      <c r="J31" s="34" t="n">
        <v>0</v>
      </c>
      <c r="K31" s="34" t="n">
        <v>0</v>
      </c>
      <c r="L31" s="34" t="n">
        <v>0</v>
      </c>
      <c r="M31" s="34" t="n">
        <v>0</v>
      </c>
      <c r="N31" s="34" t="n">
        <v>0</v>
      </c>
      <c r="O31" s="34" t="n">
        <v>0</v>
      </c>
      <c r="P31" s="34" t="n">
        <v>0</v>
      </c>
      <c r="Q31" s="34" t="n">
        <v>0</v>
      </c>
      <c r="R31" s="34" t="n">
        <v>0</v>
      </c>
      <c r="S31" s="34" t="n">
        <v>0</v>
      </c>
      <c r="T31" s="34" t="n">
        <v>0</v>
      </c>
      <c r="U31" s="34" t="n">
        <v>0</v>
      </c>
      <c r="V31" s="34" t="n">
        <v>0</v>
      </c>
      <c r="W31" s="34" t="n">
        <v>0</v>
      </c>
      <c r="X31" s="34" t="n">
        <v>0</v>
      </c>
      <c r="Y31" s="34" t="n">
        <v>0</v>
      </c>
      <c r="Z31" s="34" t="n">
        <v>0</v>
      </c>
      <c r="AA31" s="34" t="n">
        <v>0</v>
      </c>
      <c r="AB31" s="34" t="n">
        <v>0</v>
      </c>
      <c r="AC31" s="34" t="n">
        <v>0</v>
      </c>
      <c r="AD31" s="34" t="n">
        <v>0</v>
      </c>
      <c r="AE31" s="34" t="n">
        <v>0</v>
      </c>
      <c r="AF31" s="34" t="n">
        <v>0</v>
      </c>
      <c r="AG31" s="34" t="n">
        <v>0</v>
      </c>
      <c r="AH31" s="34" t="n">
        <v>0</v>
      </c>
      <c r="AI31" s="34" t="n">
        <v>0</v>
      </c>
      <c r="AJ31" s="34" t="n">
        <v>0</v>
      </c>
      <c r="AK31" s="34" t="n">
        <v>0</v>
      </c>
      <c r="AL31" s="34" t="n">
        <v>0</v>
      </c>
      <c r="AM31" s="34" t="n">
        <v>0</v>
      </c>
      <c r="AN31" s="34" t="n">
        <v>0</v>
      </c>
      <c r="AO31" s="34" t="n">
        <v>0</v>
      </c>
      <c r="AP31" s="34" t="n">
        <v>0</v>
      </c>
      <c r="AQ31" s="34" t="n">
        <v>0</v>
      </c>
      <c r="AR31" s="34" t="n">
        <v>0</v>
      </c>
      <c r="AS31" s="34" t="n">
        <v>0</v>
      </c>
      <c r="AT31" s="34" t="n">
        <v>0</v>
      </c>
      <c r="AU31" s="34" t="n">
        <v>0</v>
      </c>
      <c r="AV31" s="34" t="n">
        <v>0</v>
      </c>
      <c r="AW31" s="34" t="n">
        <v>0</v>
      </c>
      <c r="AX31" s="34" t="n">
        <v>0</v>
      </c>
      <c r="AY31" s="34" t="n">
        <v>0</v>
      </c>
      <c r="AZ31" s="34" t="n">
        <v>0</v>
      </c>
      <c r="BA31" s="34" t="n">
        <v>0</v>
      </c>
      <c r="BB31" s="34" t="n">
        <v>0</v>
      </c>
      <c r="BC31" s="34" t="n">
        <v>0</v>
      </c>
      <c r="BD31" s="34" t="n">
        <v>0</v>
      </c>
      <c r="BE31" s="34" t="n">
        <v>0</v>
      </c>
      <c r="BF31" s="34" t="n">
        <v>0</v>
      </c>
      <c r="BG31" s="34" t="n">
        <v>0</v>
      </c>
      <c r="BH31" s="34" t="n">
        <v>0</v>
      </c>
      <c r="BI31" s="34" t="n">
        <v>0</v>
      </c>
      <c r="BJ31" s="34" t="n">
        <v>0</v>
      </c>
      <c r="BK31" s="34" t="n">
        <v>0</v>
      </c>
      <c r="BL31" s="34" t="n">
        <v>0</v>
      </c>
      <c r="BM31" s="34" t="n">
        <v>0</v>
      </c>
      <c r="BN31" s="34" t="n">
        <v>0</v>
      </c>
      <c r="BO31" s="34" t="n">
        <v>0</v>
      </c>
      <c r="BP31" s="34" t="n">
        <v>0</v>
      </c>
      <c r="BQ31" s="34" t="n">
        <v>0</v>
      </c>
      <c r="BR31" s="34" t="n">
        <v>0</v>
      </c>
      <c r="BS31" s="34" t="n">
        <v>0</v>
      </c>
      <c r="BT31" s="34" t="n">
        <v>0</v>
      </c>
      <c r="BU31" s="34" t="n">
        <v>0</v>
      </c>
      <c r="BV31" s="34" t="n">
        <v>0</v>
      </c>
      <c r="BW31" s="34" t="n">
        <v>0</v>
      </c>
      <c r="BX31" s="34" t="n">
        <v>0</v>
      </c>
      <c r="BY31" s="34" t="n">
        <v>0</v>
      </c>
      <c r="BZ31" s="34" t="n">
        <v>0</v>
      </c>
      <c r="CA31" s="34" t="n">
        <v>0</v>
      </c>
      <c r="CB31" s="34" t="n">
        <v>0</v>
      </c>
      <c r="CC31" s="34" t="n">
        <v>0</v>
      </c>
      <c r="CD31" s="34" t="n">
        <v>0</v>
      </c>
      <c r="CE31" s="34" t="n">
        <v>0</v>
      </c>
      <c r="CF31" s="34" t="n">
        <v>0</v>
      </c>
      <c r="CG31" s="34" t="n">
        <v>0</v>
      </c>
      <c r="CH31" s="34" t="n">
        <v>0</v>
      </c>
      <c r="CI31" s="34" t="n">
        <v>0</v>
      </c>
      <c r="CJ31" s="34" t="n">
        <v>0</v>
      </c>
      <c r="CK31" s="34" t="n">
        <v>0</v>
      </c>
      <c r="CL31" s="34" t="n">
        <v>0</v>
      </c>
      <c r="CM31" s="34" t="n">
        <v>0</v>
      </c>
      <c r="CN31" s="34" t="n">
        <v>0</v>
      </c>
      <c r="CO31" s="34" t="n">
        <v>0</v>
      </c>
      <c r="CP31" s="34" t="n">
        <v>0</v>
      </c>
      <c r="CQ31" s="34" t="n">
        <v>0</v>
      </c>
      <c r="CR31" s="34" t="n">
        <v>0</v>
      </c>
      <c r="CS31" s="34" t="n">
        <v>0</v>
      </c>
      <c r="CT31" s="34" t="n">
        <v>0</v>
      </c>
      <c r="CU31" s="34" t="n">
        <v>0</v>
      </c>
      <c r="CV31" s="34" t="n">
        <v>0</v>
      </c>
      <c r="CW31" s="34" t="n">
        <v>0</v>
      </c>
      <c r="CX31" s="34" t="n">
        <v>0</v>
      </c>
      <c r="CY31" s="34" t="n">
        <v>0</v>
      </c>
      <c r="CZ31" s="34" t="n">
        <v>0</v>
      </c>
      <c r="DA31" s="34" t="n">
        <v>0</v>
      </c>
      <c r="DB31" s="34" t="n">
        <v>0</v>
      </c>
      <c r="DC31" s="34" t="n">
        <v>0</v>
      </c>
      <c r="DD31" s="34" t="n">
        <v>0</v>
      </c>
      <c r="DE31" s="34" t="n">
        <v>0</v>
      </c>
      <c r="DF31" s="34" t="n">
        <v>0</v>
      </c>
      <c r="DG31" s="34" t="n">
        <v>0</v>
      </c>
      <c r="DH31" s="34" t="n">
        <v>0</v>
      </c>
      <c r="DI31" s="34" t="n">
        <v>0</v>
      </c>
      <c r="DJ31" s="34" t="n">
        <v>0</v>
      </c>
      <c r="DK31" s="34" t="n">
        <v>0</v>
      </c>
      <c r="DL31" s="34" t="n">
        <v>0</v>
      </c>
      <c r="DM31" s="34" t="n">
        <v>0</v>
      </c>
      <c r="DN31" s="34" t="n">
        <v>0</v>
      </c>
      <c r="DO31" s="34" t="n">
        <v>0</v>
      </c>
      <c r="DP31" s="34" t="n">
        <v>0</v>
      </c>
      <c r="DQ31" s="34" t="n">
        <v>0</v>
      </c>
    </row>
    <row r="32">
      <c r="A32" s="3" t="inlineStr">
        <is>
          <t>TOTAL EQUITY</t>
        </is>
      </c>
      <c r="B32" s="35">
        <f>B32+B33</f>
        <v/>
      </c>
      <c r="C32" s="35">
        <f>C32+C33</f>
        <v/>
      </c>
      <c r="D32" s="35">
        <f>D32+D33</f>
        <v/>
      </c>
      <c r="E32" s="35">
        <f>E32+E33</f>
        <v/>
      </c>
      <c r="F32" s="35">
        <f>F32+F33</f>
        <v/>
      </c>
      <c r="G32" s="35">
        <f>G32+G33</f>
        <v/>
      </c>
      <c r="H32" s="35">
        <f>H32+H33</f>
        <v/>
      </c>
      <c r="I32" s="35">
        <f>I32+I33</f>
        <v/>
      </c>
      <c r="J32" s="35">
        <f>J32+J33</f>
        <v/>
      </c>
      <c r="K32" s="35">
        <f>K32+K33</f>
        <v/>
      </c>
      <c r="L32" s="35">
        <f>L32+L33</f>
        <v/>
      </c>
      <c r="M32" s="35">
        <f>M32+M33</f>
        <v/>
      </c>
      <c r="N32" s="35">
        <f>N32+N33</f>
        <v/>
      </c>
      <c r="O32" s="35">
        <f>O32+O33</f>
        <v/>
      </c>
      <c r="P32" s="35">
        <f>P32+P33</f>
        <v/>
      </c>
      <c r="Q32" s="35">
        <f>Q32+Q33</f>
        <v/>
      </c>
      <c r="R32" s="35">
        <f>R32+R33</f>
        <v/>
      </c>
      <c r="S32" s="35">
        <f>S32+S33</f>
        <v/>
      </c>
      <c r="T32" s="35">
        <f>T32+T33</f>
        <v/>
      </c>
      <c r="U32" s="35">
        <f>U32+U33</f>
        <v/>
      </c>
      <c r="V32" s="35">
        <f>V32+V33</f>
        <v/>
      </c>
      <c r="W32" s="35">
        <f>W32+W33</f>
        <v/>
      </c>
      <c r="X32" s="35">
        <f>X32+X33</f>
        <v/>
      </c>
      <c r="Y32" s="35">
        <f>Y32+Y33</f>
        <v/>
      </c>
      <c r="Z32" s="35">
        <f>Z32+Z33</f>
        <v/>
      </c>
      <c r="AA32" s="35">
        <f>AA32+AA33</f>
        <v/>
      </c>
      <c r="AB32" s="35">
        <f>AB32+AB33</f>
        <v/>
      </c>
      <c r="AC32" s="35">
        <f>AC32+AC33</f>
        <v/>
      </c>
      <c r="AD32" s="35">
        <f>AD32+AD33</f>
        <v/>
      </c>
      <c r="AE32" s="35">
        <f>AE32+AE33</f>
        <v/>
      </c>
      <c r="AF32" s="35">
        <f>AF32+AF33</f>
        <v/>
      </c>
      <c r="AG32" s="35">
        <f>AG32+AG33</f>
        <v/>
      </c>
      <c r="AH32" s="35">
        <f>AH32+AH33</f>
        <v/>
      </c>
      <c r="AI32" s="35">
        <f>AI32+AI33</f>
        <v/>
      </c>
      <c r="AJ32" s="35">
        <f>AJ32+AJ33</f>
        <v/>
      </c>
      <c r="AK32" s="35">
        <f>AK32+AK33</f>
        <v/>
      </c>
      <c r="AL32" s="35">
        <f>AL32+AL33</f>
        <v/>
      </c>
      <c r="AM32" s="35">
        <f>AM32+AM33</f>
        <v/>
      </c>
      <c r="AN32" s="35">
        <f>AN32+AN33</f>
        <v/>
      </c>
      <c r="AO32" s="35">
        <f>AO32+AO33</f>
        <v/>
      </c>
      <c r="AP32" s="35">
        <f>AP32+AP33</f>
        <v/>
      </c>
      <c r="AQ32" s="35">
        <f>AQ32+AQ33</f>
        <v/>
      </c>
      <c r="AR32" s="35">
        <f>AR32+AR33</f>
        <v/>
      </c>
      <c r="AS32" s="35">
        <f>AS32+AS33</f>
        <v/>
      </c>
      <c r="AT32" s="35">
        <f>AT32+AT33</f>
        <v/>
      </c>
      <c r="AU32" s="35">
        <f>AU32+AU33</f>
        <v/>
      </c>
      <c r="AV32" s="35">
        <f>AV32+AV33</f>
        <v/>
      </c>
      <c r="AW32" s="35">
        <f>AW32+AW33</f>
        <v/>
      </c>
      <c r="AX32" s="35">
        <f>AX32+AX33</f>
        <v/>
      </c>
      <c r="AY32" s="35">
        <f>AY32+AY33</f>
        <v/>
      </c>
      <c r="AZ32" s="35">
        <f>AZ32+AZ33</f>
        <v/>
      </c>
      <c r="BA32" s="35">
        <f>BA32+BA33</f>
        <v/>
      </c>
      <c r="BB32" s="35">
        <f>BB32+BB33</f>
        <v/>
      </c>
      <c r="BC32" s="35">
        <f>BC32+BC33</f>
        <v/>
      </c>
      <c r="BD32" s="35">
        <f>BD32+BD33</f>
        <v/>
      </c>
      <c r="BE32" s="35">
        <f>BE32+BE33</f>
        <v/>
      </c>
      <c r="BF32" s="35">
        <f>BF32+BF33</f>
        <v/>
      </c>
      <c r="BG32" s="35">
        <f>BG32+BG33</f>
        <v/>
      </c>
      <c r="BH32" s="35">
        <f>BH32+BH33</f>
        <v/>
      </c>
      <c r="BI32" s="35">
        <f>BI32+BI33</f>
        <v/>
      </c>
      <c r="BJ32" s="35">
        <f>BJ32+BJ33</f>
        <v/>
      </c>
      <c r="BK32" s="35">
        <f>BK32+BK33</f>
        <v/>
      </c>
      <c r="BL32" s="35">
        <f>BL32+BL33</f>
        <v/>
      </c>
      <c r="BM32" s="35">
        <f>BM32+BM33</f>
        <v/>
      </c>
      <c r="BN32" s="35">
        <f>BN32+BN33</f>
        <v/>
      </c>
      <c r="BO32" s="35">
        <f>BO32+BO33</f>
        <v/>
      </c>
      <c r="BP32" s="35">
        <f>BP32+BP33</f>
        <v/>
      </c>
      <c r="BQ32" s="35">
        <f>BQ32+BQ33</f>
        <v/>
      </c>
      <c r="BR32" s="35">
        <f>BR32+BR33</f>
        <v/>
      </c>
      <c r="BS32" s="35">
        <f>BS32+BS33</f>
        <v/>
      </c>
      <c r="BT32" s="35">
        <f>BT32+BT33</f>
        <v/>
      </c>
      <c r="BU32" s="35">
        <f>BU32+BU33</f>
        <v/>
      </c>
      <c r="BV32" s="35">
        <f>BV32+BV33</f>
        <v/>
      </c>
      <c r="BW32" s="35">
        <f>BW32+BW33</f>
        <v/>
      </c>
      <c r="BX32" s="35">
        <f>BX32+BX33</f>
        <v/>
      </c>
      <c r="BY32" s="35">
        <f>BY32+BY33</f>
        <v/>
      </c>
      <c r="BZ32" s="35">
        <f>BZ32+BZ33</f>
        <v/>
      </c>
      <c r="CA32" s="35">
        <f>CA32+CA33</f>
        <v/>
      </c>
      <c r="CB32" s="35">
        <f>CB32+CB33</f>
        <v/>
      </c>
      <c r="CC32" s="35">
        <f>CC32+CC33</f>
        <v/>
      </c>
      <c r="CD32" s="35">
        <f>CD32+CD33</f>
        <v/>
      </c>
      <c r="CE32" s="35">
        <f>CE32+CE33</f>
        <v/>
      </c>
      <c r="CF32" s="35">
        <f>CF32+CF33</f>
        <v/>
      </c>
      <c r="CG32" s="35">
        <f>CG32+CG33</f>
        <v/>
      </c>
      <c r="CH32" s="35">
        <f>CH32+CH33</f>
        <v/>
      </c>
      <c r="CI32" s="35">
        <f>CI32+CI33</f>
        <v/>
      </c>
      <c r="CJ32" s="35">
        <f>CJ32+CJ33</f>
        <v/>
      </c>
      <c r="CK32" s="35">
        <f>CK32+CK33</f>
        <v/>
      </c>
      <c r="CL32" s="35">
        <f>CL32+CL33</f>
        <v/>
      </c>
      <c r="CM32" s="35">
        <f>CM32+CM33</f>
        <v/>
      </c>
      <c r="CN32" s="35">
        <f>CN32+CN33</f>
        <v/>
      </c>
      <c r="CO32" s="35">
        <f>CO32+CO33</f>
        <v/>
      </c>
      <c r="CP32" s="35">
        <f>CP32+CP33</f>
        <v/>
      </c>
      <c r="CQ32" s="35">
        <f>CQ32+CQ33</f>
        <v/>
      </c>
      <c r="CR32" s="35">
        <f>CR32+CR33</f>
        <v/>
      </c>
      <c r="CS32" s="35">
        <f>CS32+CS33</f>
        <v/>
      </c>
      <c r="CT32" s="35">
        <f>CT32+CT33</f>
        <v/>
      </c>
      <c r="CU32" s="35">
        <f>CU32+CU33</f>
        <v/>
      </c>
      <c r="CV32" s="35">
        <f>CV32+CV33</f>
        <v/>
      </c>
      <c r="CW32" s="35">
        <f>CW32+CW33</f>
        <v/>
      </c>
      <c r="CX32" s="35">
        <f>CX32+CX33</f>
        <v/>
      </c>
      <c r="CY32" s="35">
        <f>CY32+CY33</f>
        <v/>
      </c>
      <c r="CZ32" s="35">
        <f>CZ32+CZ33</f>
        <v/>
      </c>
      <c r="DA32" s="35">
        <f>DA32+DA33</f>
        <v/>
      </c>
      <c r="DB32" s="35">
        <f>DB32+DB33</f>
        <v/>
      </c>
      <c r="DC32" s="35">
        <f>DC32+DC33</f>
        <v/>
      </c>
      <c r="DD32" s="35">
        <f>DD32+DD33</f>
        <v/>
      </c>
      <c r="DE32" s="35">
        <f>DE32+DE33</f>
        <v/>
      </c>
      <c r="DF32" s="35">
        <f>DF32+DF33</f>
        <v/>
      </c>
      <c r="DG32" s="35">
        <f>DG32+DG33</f>
        <v/>
      </c>
      <c r="DH32" s="35">
        <f>DH32+DH33</f>
        <v/>
      </c>
      <c r="DI32" s="35">
        <f>DI32+DI33</f>
        <v/>
      </c>
      <c r="DJ32" s="35">
        <f>DJ32+DJ33</f>
        <v/>
      </c>
      <c r="DK32" s="35">
        <f>DK32+DK33</f>
        <v/>
      </c>
      <c r="DL32" s="35">
        <f>DL32+DL33</f>
        <v/>
      </c>
      <c r="DM32" s="35">
        <f>DM32+DM33</f>
        <v/>
      </c>
      <c r="DN32" s="35">
        <f>DN32+DN33</f>
        <v/>
      </c>
      <c r="DO32" s="35">
        <f>DO32+DO33</f>
        <v/>
      </c>
      <c r="DP32" s="35">
        <f>DP32+DP33</f>
        <v/>
      </c>
      <c r="DQ32" s="35">
        <f>DQ32+DQ33</f>
        <v/>
      </c>
    </row>
    <row r="33">
      <c r="A33" t="inlineStr"/>
    </row>
    <row r="34">
      <c r="A34" s="3" t="inlineStr">
        <is>
          <t>TOTAL LIAB &amp; EQUITY</t>
        </is>
      </c>
      <c r="B34" s="35">
        <f>B28+B34</f>
        <v/>
      </c>
      <c r="C34" s="35">
        <f>C28+C34</f>
        <v/>
      </c>
      <c r="D34" s="35">
        <f>D28+D34</f>
        <v/>
      </c>
      <c r="E34" s="35">
        <f>E28+E34</f>
        <v/>
      </c>
      <c r="F34" s="35">
        <f>F28+F34</f>
        <v/>
      </c>
      <c r="G34" s="35">
        <f>G28+G34</f>
        <v/>
      </c>
      <c r="H34" s="35">
        <f>H28+H34</f>
        <v/>
      </c>
      <c r="I34" s="35">
        <f>I28+I34</f>
        <v/>
      </c>
      <c r="J34" s="35">
        <f>J28+J34</f>
        <v/>
      </c>
      <c r="K34" s="35">
        <f>K28+K34</f>
        <v/>
      </c>
      <c r="L34" s="35">
        <f>L28+L34</f>
        <v/>
      </c>
      <c r="M34" s="35">
        <f>M28+M34</f>
        <v/>
      </c>
      <c r="N34" s="35">
        <f>N28+N34</f>
        <v/>
      </c>
      <c r="O34" s="35">
        <f>O28+O34</f>
        <v/>
      </c>
      <c r="P34" s="35">
        <f>P28+P34</f>
        <v/>
      </c>
      <c r="Q34" s="35">
        <f>Q28+Q34</f>
        <v/>
      </c>
      <c r="R34" s="35">
        <f>R28+R34</f>
        <v/>
      </c>
      <c r="S34" s="35">
        <f>S28+S34</f>
        <v/>
      </c>
      <c r="T34" s="35">
        <f>T28+T34</f>
        <v/>
      </c>
      <c r="U34" s="35">
        <f>U28+U34</f>
        <v/>
      </c>
      <c r="V34" s="35">
        <f>V28+V34</f>
        <v/>
      </c>
      <c r="W34" s="35">
        <f>W28+W34</f>
        <v/>
      </c>
      <c r="X34" s="35">
        <f>X28+X34</f>
        <v/>
      </c>
      <c r="Y34" s="35">
        <f>Y28+Y34</f>
        <v/>
      </c>
      <c r="Z34" s="35">
        <f>Z28+Z34</f>
        <v/>
      </c>
      <c r="AA34" s="35">
        <f>AA28+AA34</f>
        <v/>
      </c>
      <c r="AB34" s="35">
        <f>AB28+AB34</f>
        <v/>
      </c>
      <c r="AC34" s="35">
        <f>AC28+AC34</f>
        <v/>
      </c>
      <c r="AD34" s="35">
        <f>AD28+AD34</f>
        <v/>
      </c>
      <c r="AE34" s="35">
        <f>AE28+AE34</f>
        <v/>
      </c>
      <c r="AF34" s="35">
        <f>AF28+AF34</f>
        <v/>
      </c>
      <c r="AG34" s="35">
        <f>AG28+AG34</f>
        <v/>
      </c>
      <c r="AH34" s="35">
        <f>AH28+AH34</f>
        <v/>
      </c>
      <c r="AI34" s="35">
        <f>AI28+AI34</f>
        <v/>
      </c>
      <c r="AJ34" s="35">
        <f>AJ28+AJ34</f>
        <v/>
      </c>
      <c r="AK34" s="35">
        <f>AK28+AK34</f>
        <v/>
      </c>
      <c r="AL34" s="35">
        <f>AL28+AL34</f>
        <v/>
      </c>
      <c r="AM34" s="35">
        <f>AM28+AM34</f>
        <v/>
      </c>
      <c r="AN34" s="35">
        <f>AN28+AN34</f>
        <v/>
      </c>
      <c r="AO34" s="35">
        <f>AO28+AO34</f>
        <v/>
      </c>
      <c r="AP34" s="35">
        <f>AP28+AP34</f>
        <v/>
      </c>
      <c r="AQ34" s="35">
        <f>AQ28+AQ34</f>
        <v/>
      </c>
      <c r="AR34" s="35">
        <f>AR28+AR34</f>
        <v/>
      </c>
      <c r="AS34" s="35">
        <f>AS28+AS34</f>
        <v/>
      </c>
      <c r="AT34" s="35">
        <f>AT28+AT34</f>
        <v/>
      </c>
      <c r="AU34" s="35">
        <f>AU28+AU34</f>
        <v/>
      </c>
      <c r="AV34" s="35">
        <f>AV28+AV34</f>
        <v/>
      </c>
      <c r="AW34" s="35">
        <f>AW28+AW34</f>
        <v/>
      </c>
      <c r="AX34" s="35">
        <f>AX28+AX34</f>
        <v/>
      </c>
      <c r="AY34" s="35">
        <f>AY28+AY34</f>
        <v/>
      </c>
      <c r="AZ34" s="35">
        <f>AZ28+AZ34</f>
        <v/>
      </c>
      <c r="BA34" s="35">
        <f>BA28+BA34</f>
        <v/>
      </c>
      <c r="BB34" s="35">
        <f>BB28+BB34</f>
        <v/>
      </c>
      <c r="BC34" s="35">
        <f>BC28+BC34</f>
        <v/>
      </c>
      <c r="BD34" s="35">
        <f>BD28+BD34</f>
        <v/>
      </c>
      <c r="BE34" s="35">
        <f>BE28+BE34</f>
        <v/>
      </c>
      <c r="BF34" s="35">
        <f>BF28+BF34</f>
        <v/>
      </c>
      <c r="BG34" s="35">
        <f>BG28+BG34</f>
        <v/>
      </c>
      <c r="BH34" s="35">
        <f>BH28+BH34</f>
        <v/>
      </c>
      <c r="BI34" s="35">
        <f>BI28+BI34</f>
        <v/>
      </c>
      <c r="BJ34" s="35">
        <f>BJ28+BJ34</f>
        <v/>
      </c>
      <c r="BK34" s="35">
        <f>BK28+BK34</f>
        <v/>
      </c>
      <c r="BL34" s="35">
        <f>BL28+BL34</f>
        <v/>
      </c>
      <c r="BM34" s="35">
        <f>BM28+BM34</f>
        <v/>
      </c>
      <c r="BN34" s="35">
        <f>BN28+BN34</f>
        <v/>
      </c>
      <c r="BO34" s="35">
        <f>BO28+BO34</f>
        <v/>
      </c>
      <c r="BP34" s="35">
        <f>BP28+BP34</f>
        <v/>
      </c>
      <c r="BQ34" s="35">
        <f>BQ28+BQ34</f>
        <v/>
      </c>
      <c r="BR34" s="35">
        <f>BR28+BR34</f>
        <v/>
      </c>
      <c r="BS34" s="35">
        <f>BS28+BS34</f>
        <v/>
      </c>
      <c r="BT34" s="35">
        <f>BT28+BT34</f>
        <v/>
      </c>
      <c r="BU34" s="35">
        <f>BU28+BU34</f>
        <v/>
      </c>
      <c r="BV34" s="35">
        <f>BV28+BV34</f>
        <v/>
      </c>
      <c r="BW34" s="35">
        <f>BW28+BW34</f>
        <v/>
      </c>
      <c r="BX34" s="35">
        <f>BX28+BX34</f>
        <v/>
      </c>
      <c r="BY34" s="35">
        <f>BY28+BY34</f>
        <v/>
      </c>
      <c r="BZ34" s="35">
        <f>BZ28+BZ34</f>
        <v/>
      </c>
      <c r="CA34" s="35">
        <f>CA28+CA34</f>
        <v/>
      </c>
      <c r="CB34" s="35">
        <f>CB28+CB34</f>
        <v/>
      </c>
      <c r="CC34" s="35">
        <f>CC28+CC34</f>
        <v/>
      </c>
      <c r="CD34" s="35">
        <f>CD28+CD34</f>
        <v/>
      </c>
      <c r="CE34" s="35">
        <f>CE28+CE34</f>
        <v/>
      </c>
      <c r="CF34" s="35">
        <f>CF28+CF34</f>
        <v/>
      </c>
      <c r="CG34" s="35">
        <f>CG28+CG34</f>
        <v/>
      </c>
      <c r="CH34" s="35">
        <f>CH28+CH34</f>
        <v/>
      </c>
      <c r="CI34" s="35">
        <f>CI28+CI34</f>
        <v/>
      </c>
      <c r="CJ34" s="35">
        <f>CJ28+CJ34</f>
        <v/>
      </c>
      <c r="CK34" s="35">
        <f>CK28+CK34</f>
        <v/>
      </c>
      <c r="CL34" s="35">
        <f>CL28+CL34</f>
        <v/>
      </c>
      <c r="CM34" s="35">
        <f>CM28+CM34</f>
        <v/>
      </c>
      <c r="CN34" s="35">
        <f>CN28+CN34</f>
        <v/>
      </c>
      <c r="CO34" s="35">
        <f>CO28+CO34</f>
        <v/>
      </c>
      <c r="CP34" s="35">
        <f>CP28+CP34</f>
        <v/>
      </c>
      <c r="CQ34" s="35">
        <f>CQ28+CQ34</f>
        <v/>
      </c>
      <c r="CR34" s="35">
        <f>CR28+CR34</f>
        <v/>
      </c>
      <c r="CS34" s="35">
        <f>CS28+CS34</f>
        <v/>
      </c>
      <c r="CT34" s="35">
        <f>CT28+CT34</f>
        <v/>
      </c>
      <c r="CU34" s="35">
        <f>CU28+CU34</f>
        <v/>
      </c>
      <c r="CV34" s="35">
        <f>CV28+CV34</f>
        <v/>
      </c>
      <c r="CW34" s="35">
        <f>CW28+CW34</f>
        <v/>
      </c>
      <c r="CX34" s="35">
        <f>CX28+CX34</f>
        <v/>
      </c>
      <c r="CY34" s="35">
        <f>CY28+CY34</f>
        <v/>
      </c>
      <c r="CZ34" s="35">
        <f>CZ28+CZ34</f>
        <v/>
      </c>
      <c r="DA34" s="35">
        <f>DA28+DA34</f>
        <v/>
      </c>
      <c r="DB34" s="35">
        <f>DB28+DB34</f>
        <v/>
      </c>
      <c r="DC34" s="35">
        <f>DC28+DC34</f>
        <v/>
      </c>
      <c r="DD34" s="35">
        <f>DD28+DD34</f>
        <v/>
      </c>
      <c r="DE34" s="35">
        <f>DE28+DE34</f>
        <v/>
      </c>
      <c r="DF34" s="35">
        <f>DF28+DF34</f>
        <v/>
      </c>
      <c r="DG34" s="35">
        <f>DG28+DG34</f>
        <v/>
      </c>
      <c r="DH34" s="35">
        <f>DH28+DH34</f>
        <v/>
      </c>
      <c r="DI34" s="35">
        <f>DI28+DI34</f>
        <v/>
      </c>
      <c r="DJ34" s="35">
        <f>DJ28+DJ34</f>
        <v/>
      </c>
      <c r="DK34" s="35">
        <f>DK28+DK34</f>
        <v/>
      </c>
      <c r="DL34" s="35">
        <f>DL28+DL34</f>
        <v/>
      </c>
      <c r="DM34" s="35">
        <f>DM28+DM34</f>
        <v/>
      </c>
      <c r="DN34" s="35">
        <f>DN28+DN34</f>
        <v/>
      </c>
      <c r="DO34" s="35">
        <f>DO28+DO34</f>
        <v/>
      </c>
      <c r="DP34" s="35">
        <f>DP28+DP34</f>
        <v/>
      </c>
      <c r="DQ34" s="35">
        <f>DQ28+DQ34</f>
        <v/>
      </c>
    </row>
    <row r="35">
      <c r="A35" t="inlineStr"/>
    </row>
    <row r="36">
      <c r="A36" s="3" t="inlineStr">
        <is>
          <t>BALANCE CHECK</t>
        </is>
      </c>
      <c r="B36" s="35">
        <f>B15-B36</f>
        <v/>
      </c>
      <c r="C36" s="35">
        <f>C15-C36</f>
        <v/>
      </c>
      <c r="D36" s="35">
        <f>D15-D36</f>
        <v/>
      </c>
      <c r="E36" s="35">
        <f>E15-E36</f>
        <v/>
      </c>
      <c r="F36" s="35">
        <f>F15-F36</f>
        <v/>
      </c>
      <c r="G36" s="35">
        <f>G15-G36</f>
        <v/>
      </c>
      <c r="H36" s="35">
        <f>H15-H36</f>
        <v/>
      </c>
      <c r="I36" s="35">
        <f>I15-I36</f>
        <v/>
      </c>
      <c r="J36" s="35">
        <f>J15-J36</f>
        <v/>
      </c>
      <c r="K36" s="35">
        <f>K15-K36</f>
        <v/>
      </c>
      <c r="L36" s="35">
        <f>L15-L36</f>
        <v/>
      </c>
      <c r="M36" s="35">
        <f>M15-M36</f>
        <v/>
      </c>
      <c r="N36" s="35">
        <f>N15-N36</f>
        <v/>
      </c>
      <c r="O36" s="35">
        <f>O15-O36</f>
        <v/>
      </c>
      <c r="P36" s="35">
        <f>P15-P36</f>
        <v/>
      </c>
      <c r="Q36" s="35">
        <f>Q15-Q36</f>
        <v/>
      </c>
      <c r="R36" s="35">
        <f>R15-R36</f>
        <v/>
      </c>
      <c r="S36" s="35">
        <f>S15-S36</f>
        <v/>
      </c>
      <c r="T36" s="35">
        <f>T15-T36</f>
        <v/>
      </c>
      <c r="U36" s="35">
        <f>U15-U36</f>
        <v/>
      </c>
      <c r="V36" s="35">
        <f>V15-V36</f>
        <v/>
      </c>
      <c r="W36" s="35">
        <f>W15-W36</f>
        <v/>
      </c>
      <c r="X36" s="35">
        <f>X15-X36</f>
        <v/>
      </c>
      <c r="Y36" s="35">
        <f>Y15-Y36</f>
        <v/>
      </c>
      <c r="Z36" s="35">
        <f>Z15-Z36</f>
        <v/>
      </c>
      <c r="AA36" s="35">
        <f>AA15-AA36</f>
        <v/>
      </c>
      <c r="AB36" s="35">
        <f>AB15-AB36</f>
        <v/>
      </c>
      <c r="AC36" s="35">
        <f>AC15-AC36</f>
        <v/>
      </c>
      <c r="AD36" s="35">
        <f>AD15-AD36</f>
        <v/>
      </c>
      <c r="AE36" s="35">
        <f>AE15-AE36</f>
        <v/>
      </c>
      <c r="AF36" s="35">
        <f>AF15-AF36</f>
        <v/>
      </c>
      <c r="AG36" s="35">
        <f>AG15-AG36</f>
        <v/>
      </c>
      <c r="AH36" s="35">
        <f>AH15-AH36</f>
        <v/>
      </c>
      <c r="AI36" s="35">
        <f>AI15-AI36</f>
        <v/>
      </c>
      <c r="AJ36" s="35">
        <f>AJ15-AJ36</f>
        <v/>
      </c>
      <c r="AK36" s="35">
        <f>AK15-AK36</f>
        <v/>
      </c>
      <c r="AL36" s="35">
        <f>AL15-AL36</f>
        <v/>
      </c>
      <c r="AM36" s="35">
        <f>AM15-AM36</f>
        <v/>
      </c>
      <c r="AN36" s="35">
        <f>AN15-AN36</f>
        <v/>
      </c>
      <c r="AO36" s="35">
        <f>AO15-AO36</f>
        <v/>
      </c>
      <c r="AP36" s="35">
        <f>AP15-AP36</f>
        <v/>
      </c>
      <c r="AQ36" s="35">
        <f>AQ15-AQ36</f>
        <v/>
      </c>
      <c r="AR36" s="35">
        <f>AR15-AR36</f>
        <v/>
      </c>
      <c r="AS36" s="35">
        <f>AS15-AS36</f>
        <v/>
      </c>
      <c r="AT36" s="35">
        <f>AT15-AT36</f>
        <v/>
      </c>
      <c r="AU36" s="35">
        <f>AU15-AU36</f>
        <v/>
      </c>
      <c r="AV36" s="35">
        <f>AV15-AV36</f>
        <v/>
      </c>
      <c r="AW36" s="35">
        <f>AW15-AW36</f>
        <v/>
      </c>
      <c r="AX36" s="35">
        <f>AX15-AX36</f>
        <v/>
      </c>
      <c r="AY36" s="35">
        <f>AY15-AY36</f>
        <v/>
      </c>
      <c r="AZ36" s="35">
        <f>AZ15-AZ36</f>
        <v/>
      </c>
      <c r="BA36" s="35">
        <f>BA15-BA36</f>
        <v/>
      </c>
      <c r="BB36" s="35">
        <f>BB15-BB36</f>
        <v/>
      </c>
      <c r="BC36" s="35">
        <f>BC15-BC36</f>
        <v/>
      </c>
      <c r="BD36" s="35">
        <f>BD15-BD36</f>
        <v/>
      </c>
      <c r="BE36" s="35">
        <f>BE15-BE36</f>
        <v/>
      </c>
      <c r="BF36" s="35">
        <f>BF15-BF36</f>
        <v/>
      </c>
      <c r="BG36" s="35">
        <f>BG15-BG36</f>
        <v/>
      </c>
      <c r="BH36" s="35">
        <f>BH15-BH36</f>
        <v/>
      </c>
      <c r="BI36" s="35">
        <f>BI15-BI36</f>
        <v/>
      </c>
      <c r="BJ36" s="35">
        <f>BJ15-BJ36</f>
        <v/>
      </c>
      <c r="BK36" s="35">
        <f>BK15-BK36</f>
        <v/>
      </c>
      <c r="BL36" s="35">
        <f>BL15-BL36</f>
        <v/>
      </c>
      <c r="BM36" s="35">
        <f>BM15-BM36</f>
        <v/>
      </c>
      <c r="BN36" s="35">
        <f>BN15-BN36</f>
        <v/>
      </c>
      <c r="BO36" s="35">
        <f>BO15-BO36</f>
        <v/>
      </c>
      <c r="BP36" s="35">
        <f>BP15-BP36</f>
        <v/>
      </c>
      <c r="BQ36" s="35">
        <f>BQ15-BQ36</f>
        <v/>
      </c>
      <c r="BR36" s="35">
        <f>BR15-BR36</f>
        <v/>
      </c>
      <c r="BS36" s="35">
        <f>BS15-BS36</f>
        <v/>
      </c>
      <c r="BT36" s="35">
        <f>BT15-BT36</f>
        <v/>
      </c>
      <c r="BU36" s="35">
        <f>BU15-BU36</f>
        <v/>
      </c>
      <c r="BV36" s="35">
        <f>BV15-BV36</f>
        <v/>
      </c>
      <c r="BW36" s="35">
        <f>BW15-BW36</f>
        <v/>
      </c>
      <c r="BX36" s="35">
        <f>BX15-BX36</f>
        <v/>
      </c>
      <c r="BY36" s="35">
        <f>BY15-BY36</f>
        <v/>
      </c>
      <c r="BZ36" s="35">
        <f>BZ15-BZ36</f>
        <v/>
      </c>
      <c r="CA36" s="35">
        <f>CA15-CA36</f>
        <v/>
      </c>
      <c r="CB36" s="35">
        <f>CB15-CB36</f>
        <v/>
      </c>
      <c r="CC36" s="35">
        <f>CC15-CC36</f>
        <v/>
      </c>
      <c r="CD36" s="35">
        <f>CD15-CD36</f>
        <v/>
      </c>
      <c r="CE36" s="35">
        <f>CE15-CE36</f>
        <v/>
      </c>
      <c r="CF36" s="35">
        <f>CF15-CF36</f>
        <v/>
      </c>
      <c r="CG36" s="35">
        <f>CG15-CG36</f>
        <v/>
      </c>
      <c r="CH36" s="35">
        <f>CH15-CH36</f>
        <v/>
      </c>
      <c r="CI36" s="35">
        <f>CI15-CI36</f>
        <v/>
      </c>
      <c r="CJ36" s="35">
        <f>CJ15-CJ36</f>
        <v/>
      </c>
      <c r="CK36" s="35">
        <f>CK15-CK36</f>
        <v/>
      </c>
      <c r="CL36" s="35">
        <f>CL15-CL36</f>
        <v/>
      </c>
      <c r="CM36" s="35">
        <f>CM15-CM36</f>
        <v/>
      </c>
      <c r="CN36" s="35">
        <f>CN15-CN36</f>
        <v/>
      </c>
      <c r="CO36" s="35">
        <f>CO15-CO36</f>
        <v/>
      </c>
      <c r="CP36" s="35">
        <f>CP15-CP36</f>
        <v/>
      </c>
      <c r="CQ36" s="35">
        <f>CQ15-CQ36</f>
        <v/>
      </c>
      <c r="CR36" s="35">
        <f>CR15-CR36</f>
        <v/>
      </c>
      <c r="CS36" s="35">
        <f>CS15-CS36</f>
        <v/>
      </c>
      <c r="CT36" s="35">
        <f>CT15-CT36</f>
        <v/>
      </c>
      <c r="CU36" s="35">
        <f>CU15-CU36</f>
        <v/>
      </c>
      <c r="CV36" s="35">
        <f>CV15-CV36</f>
        <v/>
      </c>
      <c r="CW36" s="35">
        <f>CW15-CW36</f>
        <v/>
      </c>
      <c r="CX36" s="35">
        <f>CX15-CX36</f>
        <v/>
      </c>
      <c r="CY36" s="35">
        <f>CY15-CY36</f>
        <v/>
      </c>
      <c r="CZ36" s="35">
        <f>CZ15-CZ36</f>
        <v/>
      </c>
      <c r="DA36" s="35">
        <f>DA15-DA36</f>
        <v/>
      </c>
      <c r="DB36" s="35">
        <f>DB15-DB36</f>
        <v/>
      </c>
      <c r="DC36" s="35">
        <f>DC15-DC36</f>
        <v/>
      </c>
      <c r="DD36" s="35">
        <f>DD15-DD36</f>
        <v/>
      </c>
      <c r="DE36" s="35">
        <f>DE15-DE36</f>
        <v/>
      </c>
      <c r="DF36" s="35">
        <f>DF15-DF36</f>
        <v/>
      </c>
      <c r="DG36" s="35">
        <f>DG15-DG36</f>
        <v/>
      </c>
      <c r="DH36" s="35">
        <f>DH15-DH36</f>
        <v/>
      </c>
      <c r="DI36" s="35">
        <f>DI15-DI36</f>
        <v/>
      </c>
      <c r="DJ36" s="35">
        <f>DJ15-DJ36</f>
        <v/>
      </c>
      <c r="DK36" s="35">
        <f>DK15-DK36</f>
        <v/>
      </c>
      <c r="DL36" s="35">
        <f>DL15-DL36</f>
        <v/>
      </c>
      <c r="DM36" s="35">
        <f>DM15-DM36</f>
        <v/>
      </c>
      <c r="DN36" s="35">
        <f>DN15-DN36</f>
        <v/>
      </c>
      <c r="DO36" s="35">
        <f>DO15-DO36</f>
        <v/>
      </c>
      <c r="DP36" s="35">
        <f>DP15-DP36</f>
        <v/>
      </c>
      <c r="DQ36" s="35">
        <f>DQ15-DQ36</f>
        <v/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KPIS VOLUME</t>
        </is>
      </c>
    </row>
    <row r="3">
      <c r="A3" s="17" t="inlineStr">
        <is>
          <t>Sheet structure to be completed in Phase 2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KPIS REVENUE</t>
        </is>
      </c>
    </row>
    <row r="3">
      <c r="A3" s="17" t="inlineStr">
        <is>
          <t>Sheet structure to be completed in Phase 2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KPIS PROFITABILITY</t>
        </is>
      </c>
    </row>
    <row r="3">
      <c r="A3" s="17" t="inlineStr">
        <is>
          <t>Sheet structure to be completed in Phase 2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KPIS OPERATIONS</t>
        </is>
      </c>
    </row>
    <row r="3">
      <c r="A3" s="17" t="inlineStr">
        <is>
          <t>Sheet structure to be completed in Phase 2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KPIS WORKINGCAPITAL</t>
        </is>
      </c>
    </row>
    <row r="3">
      <c r="A3" s="17" t="inlineStr">
        <is>
          <t>Sheet structure to be completed in Phase 2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KPIS LEVERAGE</t>
        </is>
      </c>
    </row>
    <row r="3">
      <c r="A3" s="17" t="inlineStr">
        <is>
          <t>Sheet structure to be completed in Phase 2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COVENANTS</t>
        </is>
      </c>
    </row>
    <row r="3">
      <c r="A3" s="17" t="inlineStr">
        <is>
          <t>Sheet structure to be completed in Phase 2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BRAND CHANNEL PL</t>
        </is>
      </c>
    </row>
    <row r="3">
      <c r="A3" s="17" t="inlineStr">
        <is>
          <t>Sheet structure to be completed in Phase 2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</cols>
  <sheetData>
    <row r="1">
      <c r="A1" s="2" t="inlineStr">
        <is>
          <t>MODEL INTEGRITY CHECKS</t>
        </is>
      </c>
    </row>
    <row r="3">
      <c r="A3" s="6" t="inlineStr">
        <is>
          <t>Check</t>
        </is>
      </c>
      <c r="B3" s="6" t="inlineStr">
        <is>
          <t>Month 1</t>
        </is>
      </c>
      <c r="C3" s="6" t="inlineStr">
        <is>
          <t>Month 12</t>
        </is>
      </c>
      <c r="D3" s="6" t="inlineStr">
        <is>
          <t>Status</t>
        </is>
      </c>
    </row>
    <row r="4">
      <c r="A4" t="inlineStr">
        <is>
          <t>Balance Sheet Balance</t>
        </is>
      </c>
      <c r="B4" s="34">
        <f>BS!B39</f>
        <v/>
      </c>
      <c r="C4" s="34">
        <f>BS!M39</f>
        <v/>
      </c>
      <c r="D4" s="8">
        <f>IF(ABS(B4)&lt;0.01,"OK","ERROR")</f>
        <v/>
      </c>
    </row>
    <row r="5">
      <c r="A5" t="inlineStr">
        <is>
          <t>Cash Flow Reconciliation</t>
        </is>
      </c>
      <c r="B5" s="34">
        <f>CF!B22-(CF!B24-CF!A24)</f>
        <v/>
      </c>
      <c r="C5" s="34">
        <f>CF!M22-(CF!M24-CF!L24)</f>
        <v/>
      </c>
      <c r="D5" s="8">
        <f>IF(ABS(B5)&lt;0.01,"OK","ERROR")</f>
        <v/>
      </c>
    </row>
    <row r="6">
      <c r="A6" t="inlineStr">
        <is>
          <t>Revenue &gt; 0</t>
        </is>
      </c>
      <c r="B6" s="34">
        <f>Revenue!B9</f>
        <v/>
      </c>
      <c r="C6" s="34">
        <f>Revenue!M9</f>
        <v/>
      </c>
      <c r="D6" s="8">
        <f>IF(B6&gt;0,"OK","ERROR")</f>
        <v/>
      </c>
    </row>
    <row r="7">
      <c r="A7" t="inlineStr">
        <is>
          <t>EBITDA Margin reasonable</t>
        </is>
      </c>
      <c r="B7" s="34">
        <f>IS!B17</f>
        <v/>
      </c>
      <c r="C7" s="34">
        <f>IS!M17</f>
        <v/>
      </c>
      <c r="D7" s="8">
        <f>IF(AND(B7&gt;-0.5,B7&lt;1),"OK","CHECK")</f>
        <v/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SENSITIVITY</t>
        </is>
      </c>
    </row>
    <row r="3">
      <c r="A3" s="17" t="inlineStr">
        <is>
          <t>Sheet structure to be completed in Phase 2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SCENARIOS SUMMARY</t>
        </is>
      </c>
    </row>
    <row r="3">
      <c r="A3" s="17" t="inlineStr">
        <is>
          <t>Sheet structure to be completed in Phase 2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DEFINITIONS</t>
        </is>
      </c>
    </row>
    <row r="3">
      <c r="A3" s="17" t="inlineStr">
        <is>
          <t>Sheet structure to be completed in Phase 2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CHANGE LOG</t>
        </is>
      </c>
    </row>
    <row r="3">
      <c r="A3" s="17" t="inlineStr">
        <is>
          <t>Sheet structure to be completed in Phase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2025-11-13T21:33:41Z</dcterms:created>
  <dcterms:modified xsi:type="dcterms:W3CDTF">2025-11-13T21:36:40Z</dcterms:modified>
</cp:coreProperties>
</file>